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60" yWindow="-60" windowWidth="15480" windowHeight="11640"/>
  </bookViews>
  <sheets>
    <sheet name="Dataset" sheetId="1" r:id="rId1"/>
    <sheet name="Sheet2" sheetId="3" r:id="rId2"/>
    <sheet name="pivot" sheetId="4" r:id="rId3"/>
  </sheets>
  <calcPr calcId="144525"/>
  <pivotCaches>
    <pivotCache cacheId="1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455" i="1"/>
  <c r="V653" i="1"/>
  <c r="V670" i="1"/>
  <c r="V656" i="1"/>
  <c r="V658" i="1"/>
  <c r="V641" i="1"/>
  <c r="V921" i="1"/>
  <c r="V526" i="1"/>
  <c r="V777" i="1"/>
  <c r="V567" i="1"/>
  <c r="V767" i="1"/>
  <c r="V718" i="1"/>
  <c r="V704" i="1"/>
  <c r="V691" i="1"/>
  <c r="V768" i="1"/>
  <c r="V941" i="1"/>
  <c r="V764" i="1"/>
  <c r="V469" i="1"/>
  <c r="V734" i="1"/>
  <c r="V661" i="1"/>
  <c r="V657" i="1"/>
  <c r="V650" i="1"/>
  <c r="V720" i="1"/>
  <c r="V719" i="1"/>
  <c r="V730" i="1"/>
  <c r="V723" i="1"/>
  <c r="V703" i="1"/>
  <c r="V710" i="1"/>
  <c r="V726" i="1"/>
  <c r="V981" i="1"/>
  <c r="V980" i="1"/>
  <c r="V976" i="1"/>
  <c r="V986" i="1"/>
  <c r="V985" i="1"/>
  <c r="V676" i="1"/>
  <c r="V929" i="1"/>
  <c r="V917" i="1"/>
  <c r="V944" i="1"/>
  <c r="V905" i="1"/>
  <c r="V951" i="1"/>
  <c r="V687" i="1"/>
  <c r="V935" i="1"/>
  <c r="V654" i="1"/>
  <c r="V744" i="1"/>
  <c r="V729" i="1"/>
  <c r="V741" i="1"/>
  <c r="V738" i="1"/>
  <c r="V759" i="1"/>
  <c r="V760" i="1"/>
  <c r="V735" i="1"/>
  <c r="V356" i="1"/>
  <c r="V357" i="1"/>
  <c r="V340" i="1"/>
  <c r="V330" i="1"/>
  <c r="V306" i="1"/>
  <c r="V347" i="1"/>
  <c r="V351" i="1"/>
  <c r="V3" i="1"/>
  <c r="V4" i="1"/>
  <c r="V5" i="1"/>
  <c r="V6" i="1"/>
  <c r="V555" i="1"/>
  <c r="V441" i="1"/>
  <c r="V240" i="1"/>
  <c r="V332" i="1"/>
  <c r="V378" i="1"/>
  <c r="V7" i="1"/>
  <c r="V224" i="1"/>
  <c r="V8" i="1"/>
  <c r="V568" i="1"/>
  <c r="V358" i="1"/>
  <c r="V9" i="1"/>
  <c r="V514" i="1"/>
  <c r="V10" i="1"/>
  <c r="V218" i="1"/>
  <c r="V11" i="1"/>
  <c r="V333" i="1"/>
  <c r="V12" i="1"/>
  <c r="V552" i="1"/>
  <c r="V376" i="1"/>
  <c r="V465" i="1"/>
  <c r="V13" i="1"/>
  <c r="V365" i="1"/>
  <c r="V14" i="1"/>
  <c r="V15" i="1"/>
  <c r="V210" i="1"/>
  <c r="V529" i="1"/>
  <c r="V16" i="1"/>
  <c r="V17" i="1"/>
  <c r="V257" i="1"/>
  <c r="V454" i="1"/>
  <c r="V419" i="1"/>
  <c r="V219" i="1"/>
  <c r="V428" i="1"/>
  <c r="V18" i="1"/>
  <c r="V334" i="1"/>
  <c r="V540" i="1"/>
  <c r="V19" i="1"/>
  <c r="V245" i="1"/>
  <c r="V20" i="1"/>
  <c r="V335" i="1"/>
  <c r="V379" i="1"/>
  <c r="V21" i="1"/>
  <c r="V510" i="1"/>
  <c r="V362" i="1"/>
  <c r="V277" i="1"/>
  <c r="V344" i="1"/>
  <c r="V190" i="1"/>
  <c r="V326" i="1"/>
  <c r="V278" i="1"/>
  <c r="V307" i="1"/>
  <c r="V337" i="1"/>
  <c r="V261" i="1"/>
  <c r="V293" i="1"/>
  <c r="V273" i="1"/>
  <c r="V264" i="1"/>
  <c r="V251" i="1"/>
  <c r="V284" i="1"/>
  <c r="V286" i="1"/>
  <c r="V288" i="1"/>
  <c r="V281" i="1"/>
  <c r="V144" i="1"/>
  <c r="V152" i="1"/>
  <c r="V134" i="1"/>
  <c r="V160" i="1"/>
  <c r="V161" i="1"/>
  <c r="V246" i="1"/>
  <c r="V180" i="1"/>
  <c r="V170" i="1"/>
  <c r="V241" i="1"/>
  <c r="V225" i="1"/>
  <c r="V242" i="1"/>
  <c r="V185" i="1"/>
  <c r="V22" i="1"/>
  <c r="V348" i="1"/>
  <c r="V243" i="1"/>
  <c r="V279" i="1"/>
  <c r="V135" i="1"/>
  <c r="V23" i="1"/>
  <c r="V24" i="1"/>
  <c r="V25" i="1"/>
  <c r="V270" i="1"/>
  <c r="V129" i="1"/>
  <c r="V265" i="1"/>
  <c r="V136" i="1"/>
  <c r="V226" i="1"/>
  <c r="V274" i="1"/>
  <c r="V140" i="1"/>
  <c r="V233" i="1"/>
  <c r="V266" i="1"/>
  <c r="V128" i="1"/>
  <c r="V26" i="1"/>
  <c r="V27" i="1"/>
  <c r="V28" i="1"/>
  <c r="V250" i="1"/>
  <c r="V908" i="1"/>
  <c r="V867" i="1"/>
  <c r="V827" i="1"/>
  <c r="V887" i="1"/>
  <c r="V828" i="1"/>
  <c r="V843" i="1"/>
  <c r="V883" i="1"/>
  <c r="V879" i="1"/>
  <c r="V872" i="1"/>
  <c r="V881" i="1"/>
  <c r="V818" i="1"/>
  <c r="V878" i="1"/>
  <c r="V859" i="1"/>
  <c r="V851" i="1"/>
  <c r="V588" i="1"/>
  <c r="V437" i="1"/>
  <c r="V598" i="1"/>
  <c r="V422" i="1"/>
  <c r="V644" i="1"/>
  <c r="V586" i="1"/>
  <c r="V585" i="1"/>
  <c r="V591" i="1"/>
  <c r="V666" i="1"/>
  <c r="V29" i="1"/>
  <c r="V30" i="1"/>
  <c r="V31" i="1"/>
  <c r="V32" i="1"/>
  <c r="V421" i="1"/>
  <c r="V33" i="1"/>
  <c r="V341" i="1"/>
  <c r="V331" i="1"/>
  <c r="V34" i="1"/>
  <c r="V249" i="1"/>
  <c r="V255" i="1"/>
  <c r="V35" i="1"/>
  <c r="V282" i="1"/>
  <c r="V349" i="1"/>
  <c r="V36" i="1"/>
  <c r="V446" i="1"/>
  <c r="V37" i="1"/>
  <c r="V130" i="1"/>
  <c r="V295" i="1"/>
  <c r="V383" i="1"/>
  <c r="V545" i="1"/>
  <c r="V38" i="1"/>
  <c r="V39" i="1"/>
  <c r="V126" i="1"/>
  <c r="V40" i="1"/>
  <c r="V435" i="1"/>
  <c r="V41" i="1"/>
  <c r="V42" i="1"/>
  <c r="V43" i="1"/>
  <c r="V280" i="1"/>
  <c r="V44" i="1"/>
  <c r="V418" i="1"/>
  <c r="V380" i="1"/>
  <c r="V401" i="1"/>
  <c r="V45" i="1"/>
  <c r="V399" i="1"/>
  <c r="V338" i="1"/>
  <c r="V259" i="1"/>
  <c r="V46" i="1"/>
  <c r="V131" i="1"/>
  <c r="V375" i="1"/>
  <c r="V325" i="1"/>
  <c r="V442" i="1"/>
  <c r="V289" i="1"/>
  <c r="V370" i="1"/>
  <c r="V47" i="1"/>
  <c r="V290" i="1"/>
  <c r="V473" i="1"/>
  <c r="V48" i="1"/>
  <c r="V489" i="1"/>
  <c r="V49" i="1"/>
  <c r="V50" i="1"/>
  <c r="V51" i="1"/>
  <c r="V220" i="1"/>
  <c r="V342" i="1"/>
  <c r="V262" i="1"/>
  <c r="V52" i="1"/>
  <c r="V53" i="1"/>
  <c r="V54" i="1"/>
  <c r="V664" i="1"/>
  <c r="V667" i="1"/>
  <c r="V681" i="1"/>
  <c r="V895" i="1"/>
  <c r="V896" i="1"/>
  <c r="V897" i="1"/>
  <c r="V898" i="1"/>
  <c r="V816" i="1"/>
  <c r="V782" i="1"/>
  <c r="V795" i="1"/>
  <c r="V830" i="1"/>
  <c r="V796" i="1"/>
  <c r="V780" i="1"/>
  <c r="V811" i="1"/>
  <c r="V773" i="1"/>
  <c r="V983" i="1"/>
  <c r="V874" i="1"/>
  <c r="V861" i="1"/>
  <c r="V873" i="1"/>
  <c r="V984" i="1"/>
  <c r="V977" i="1"/>
  <c r="V854" i="1"/>
  <c r="V868" i="1"/>
  <c r="V581" i="1"/>
  <c r="V584" i="1"/>
  <c r="V912" i="1"/>
  <c r="V752" i="1"/>
  <c r="V893" i="1"/>
  <c r="V756" i="1"/>
  <c r="V926" i="1"/>
  <c r="V763" i="1"/>
  <c r="V743" i="1"/>
  <c r="V732" i="1"/>
  <c r="V903" i="1"/>
  <c r="V689" i="1"/>
  <c r="V619" i="1"/>
  <c r="V610" i="1"/>
  <c r="V621" i="1"/>
  <c r="V769" i="1"/>
  <c r="V605" i="1"/>
  <c r="V359" i="1"/>
  <c r="V685" i="1"/>
  <c r="V597" i="1"/>
  <c r="V602" i="1"/>
  <c r="V628" i="1"/>
  <c r="V709" i="1"/>
  <c r="V702" i="1"/>
  <c r="V779" i="1"/>
  <c r="V889" i="1"/>
  <c r="V775" i="1"/>
  <c r="V625" i="1"/>
  <c r="V886" i="1"/>
  <c r="V603" i="1"/>
  <c r="V772" i="1"/>
  <c r="V914" i="1"/>
  <c r="V754" i="1"/>
  <c r="V774" i="1"/>
  <c r="V268" i="1"/>
  <c r="V566" i="1"/>
  <c r="V506" i="1"/>
  <c r="V565" i="1"/>
  <c r="V539" i="1"/>
  <c r="V579" i="1"/>
  <c r="V558" i="1"/>
  <c r="V532" i="1"/>
  <c r="V535" i="1"/>
  <c r="V560" i="1"/>
  <c r="V618" i="1"/>
  <c r="V600" i="1"/>
  <c r="V620" i="1"/>
  <c r="V616" i="1"/>
  <c r="V639" i="1"/>
  <c r="V599" i="1"/>
  <c r="V594" i="1"/>
  <c r="V615" i="1"/>
  <c r="V606" i="1"/>
  <c r="V589" i="1"/>
  <c r="V623" i="1"/>
  <c r="V831" i="1"/>
  <c r="V819" i="1"/>
  <c r="V864" i="1"/>
  <c r="V834" i="1"/>
  <c r="V55" i="1"/>
  <c r="V456" i="1"/>
  <c r="V457" i="1"/>
  <c r="V458" i="1"/>
  <c r="V459" i="1"/>
  <c r="V460" i="1"/>
  <c r="V461" i="1"/>
  <c r="V577" i="1"/>
  <c r="V462" i="1"/>
  <c r="V574" i="1"/>
  <c r="V463" i="1"/>
  <c r="V478" i="1"/>
  <c r="V626" i="1"/>
  <c r="V488" i="1"/>
  <c r="V501" i="1"/>
  <c r="V613" i="1"/>
  <c r="V430" i="1"/>
  <c r="V806" i="1"/>
  <c r="V910" i="1"/>
  <c r="V906" i="1"/>
  <c r="V823" i="1"/>
  <c r="V918" i="1"/>
  <c r="V822" i="1"/>
  <c r="V909" i="1"/>
  <c r="V807" i="1"/>
  <c r="V820" i="1"/>
  <c r="V797" i="1"/>
  <c r="V829" i="1"/>
  <c r="V892" i="1"/>
  <c r="V973" i="1"/>
  <c r="V907" i="1"/>
  <c r="V904" i="1"/>
  <c r="V943" i="1"/>
  <c r="V959" i="1"/>
  <c r="V900" i="1"/>
  <c r="V913" i="1"/>
  <c r="V978" i="1"/>
  <c r="V952" i="1"/>
  <c r="V963" i="1"/>
  <c r="V960" i="1"/>
  <c r="V901" i="1"/>
  <c r="V928" i="1"/>
  <c r="V982" i="1"/>
  <c r="V972" i="1"/>
  <c r="V933" i="1"/>
  <c r="V979" i="1"/>
  <c r="V894" i="1"/>
  <c r="V651" i="1"/>
  <c r="V643" i="1"/>
  <c r="V805" i="1"/>
  <c r="V642" i="1"/>
  <c r="V809" i="1"/>
  <c r="V612" i="1"/>
  <c r="V884" i="1"/>
  <c r="V916" i="1"/>
  <c r="V611" i="1"/>
  <c r="V814" i="1"/>
  <c r="V640" i="1"/>
  <c r="V786" i="1"/>
  <c r="V875" i="1"/>
  <c r="V826" i="1"/>
  <c r="V922" i="1"/>
  <c r="V592" i="1"/>
  <c r="V792" i="1"/>
  <c r="V596" i="1"/>
  <c r="V790" i="1"/>
  <c r="V630" i="1"/>
  <c r="V817" i="1"/>
  <c r="V652" i="1"/>
  <c r="V614" i="1"/>
  <c r="V899" i="1"/>
  <c r="V841" i="1"/>
  <c r="V787" i="1"/>
  <c r="V821" i="1"/>
  <c r="V844" i="1"/>
  <c r="V842" i="1"/>
  <c r="V725" i="1"/>
  <c r="V737" i="1"/>
  <c r="V731" i="1"/>
  <c r="V721" i="1"/>
  <c r="V739" i="1"/>
  <c r="V740" i="1"/>
  <c r="V853" i="1"/>
  <c r="V866" i="1"/>
  <c r="V815" i="1"/>
  <c r="V837" i="1"/>
  <c r="V283" i="1"/>
  <c r="V502" i="1"/>
  <c r="V575" i="1"/>
  <c r="V549" i="1"/>
  <c r="V184" i="1"/>
  <c r="V56" i="1"/>
  <c r="V443" i="1"/>
  <c r="V235" i="1"/>
  <c r="V507" i="1"/>
  <c r="V504" i="1"/>
  <c r="V57" i="1"/>
  <c r="V548" i="1"/>
  <c r="V424" i="1"/>
  <c r="V269" i="1"/>
  <c r="V537" i="1"/>
  <c r="V166" i="1"/>
  <c r="V449" i="1"/>
  <c r="V177" i="1"/>
  <c r="V474" i="1"/>
  <c r="V252" i="1"/>
  <c r="V520" i="1"/>
  <c r="V472" i="1"/>
  <c r="V479" i="1"/>
  <c r="V253" i="1"/>
  <c r="V531" i="1"/>
  <c r="V497" i="1"/>
  <c r="V452" i="1"/>
  <c r="V271" i="1"/>
  <c r="V409" i="1"/>
  <c r="V247" i="1"/>
  <c r="V528" i="1"/>
  <c r="V516" i="1"/>
  <c r="V58" i="1"/>
  <c r="V490" i="1"/>
  <c r="V587" i="1"/>
  <c r="V470" i="1"/>
  <c r="V582" i="1"/>
  <c r="V546" i="1"/>
  <c r="V590" i="1"/>
  <c r="V553" i="1"/>
  <c r="V527" i="1"/>
  <c r="V698" i="1"/>
  <c r="V677" i="1"/>
  <c r="V688" i="1"/>
  <c r="V746" i="1"/>
  <c r="V745" i="1"/>
  <c r="V765" i="1"/>
  <c r="V690" i="1"/>
  <c r="V660" i="1"/>
  <c r="V665" i="1"/>
  <c r="V629" i="1"/>
  <c r="V617" i="1"/>
  <c r="V622" i="1"/>
  <c r="V882" i="1"/>
  <c r="V888" i="1"/>
  <c r="V858" i="1"/>
  <c r="V869" i="1"/>
  <c r="V880" i="1"/>
  <c r="V845" i="1"/>
  <c r="V865" i="1"/>
  <c r="V856" i="1"/>
  <c r="V850" i="1"/>
  <c r="V855" i="1"/>
  <c r="V417" i="1"/>
  <c r="V412" i="1"/>
  <c r="V444" i="1"/>
  <c r="V405" i="1"/>
  <c r="V447" i="1"/>
  <c r="V662" i="1"/>
  <c r="V678" i="1"/>
  <c r="V755" i="1"/>
  <c r="V766" i="1"/>
  <c r="V761" i="1"/>
  <c r="V757" i="1"/>
  <c r="V569" i="1"/>
  <c r="V561" i="1"/>
  <c r="V534" i="1"/>
  <c r="V339" i="1"/>
  <c r="V309" i="1"/>
  <c r="V352" i="1"/>
  <c r="V59" i="1"/>
  <c r="V355" i="1"/>
  <c r="V174" i="1"/>
  <c r="V230" i="1"/>
  <c r="V60" i="1"/>
  <c r="V228" i="1"/>
  <c r="V345" i="1"/>
  <c r="V158" i="1"/>
  <c r="V221" i="1"/>
  <c r="V61" i="1"/>
  <c r="V62" i="1"/>
  <c r="V63" i="1"/>
  <c r="V366" i="1"/>
  <c r="V64" i="1"/>
  <c r="V164" i="1"/>
  <c r="V65" i="1"/>
  <c r="V413" i="1"/>
  <c r="V187" i="1"/>
  <c r="V201" i="1"/>
  <c r="V186" i="1"/>
  <c r="V200" i="1"/>
  <c r="V178" i="1"/>
  <c r="V193" i="1"/>
  <c r="V163" i="1"/>
  <c r="V272" i="1"/>
  <c r="V360" i="1"/>
  <c r="V571" i="1"/>
  <c r="V336" i="1"/>
  <c r="V363" i="1"/>
  <c r="V361" i="1"/>
  <c r="V267" i="1"/>
  <c r="V573" i="1"/>
  <c r="V368" i="1"/>
  <c r="V263" i="1"/>
  <c r="V146" i="1"/>
  <c r="V66" i="1"/>
  <c r="V67" i="1"/>
  <c r="V988" i="1"/>
  <c r="V989" i="1"/>
  <c r="V987" i="1"/>
  <c r="V294" i="1"/>
  <c r="V291" i="1"/>
  <c r="V285" i="1"/>
  <c r="V275" i="1"/>
  <c r="V301" i="1"/>
  <c r="V179" i="1"/>
  <c r="V192" i="1"/>
  <c r="V304" i="1"/>
  <c r="V297" i="1"/>
  <c r="V188" i="1"/>
  <c r="V303" i="1"/>
  <c r="V244" i="1"/>
  <c r="V68" i="1"/>
  <c r="V508" i="1"/>
  <c r="V315" i="1"/>
  <c r="V231" i="1"/>
  <c r="V316" i="1"/>
  <c r="V312" i="1"/>
  <c r="V147" i="1"/>
  <c r="V69" i="1"/>
  <c r="V143" i="1"/>
  <c r="V491" i="1"/>
  <c r="V216" i="1"/>
  <c r="V70" i="1"/>
  <c r="V524" i="1"/>
  <c r="V71" i="1"/>
  <c r="V227" i="1"/>
  <c r="V141" i="1"/>
  <c r="V300" i="1"/>
  <c r="V317" i="1"/>
  <c r="V415" i="1"/>
  <c r="V572" i="1"/>
  <c r="V212" i="1"/>
  <c r="V72" i="1"/>
  <c r="V292" i="1"/>
  <c r="V550" i="1"/>
  <c r="V318" i="1"/>
  <c r="V468" i="1"/>
  <c r="V197" i="1"/>
  <c r="V213" i="1"/>
  <c r="V73" i="1"/>
  <c r="V319" i="1"/>
  <c r="V205" i="1"/>
  <c r="V467" i="1"/>
  <c r="V438" i="1"/>
  <c r="V74" i="1"/>
  <c r="V583" i="1"/>
  <c r="V556" i="1"/>
  <c r="V206" i="1"/>
  <c r="V287" i="1"/>
  <c r="V75" i="1"/>
  <c r="V329" i="1"/>
  <c r="V236" i="1"/>
  <c r="V154" i="1"/>
  <c r="V404" i="1"/>
  <c r="V320" i="1"/>
  <c r="V234" i="1"/>
  <c r="V145" i="1"/>
  <c r="V214" i="1"/>
  <c r="V321" i="1"/>
  <c r="V343" i="1"/>
  <c r="V505" i="1"/>
  <c r="V322" i="1"/>
  <c r="V391" i="1"/>
  <c r="V346" i="1"/>
  <c r="V148" i="1"/>
  <c r="V76" i="1"/>
  <c r="V137" i="1"/>
  <c r="V496" i="1"/>
  <c r="V153" i="1"/>
  <c r="V525" i="1"/>
  <c r="V77" i="1"/>
  <c r="V551" i="1"/>
  <c r="V207" i="1"/>
  <c r="V78" i="1"/>
  <c r="V511" i="1"/>
  <c r="V198" i="1"/>
  <c r="V232" i="1"/>
  <c r="V79" i="1"/>
  <c r="V254" i="1"/>
  <c r="V149" i="1"/>
  <c r="V142" i="1"/>
  <c r="V208" i="1"/>
  <c r="V327" i="1"/>
  <c r="V80" i="1"/>
  <c r="V429" i="1"/>
  <c r="V238" i="1"/>
  <c r="V203" i="1"/>
  <c r="V323" i="1"/>
  <c r="V305" i="1"/>
  <c r="V150" i="1"/>
  <c r="V543" i="1"/>
  <c r="V81" i="1"/>
  <c r="V324" i="1"/>
  <c r="V132" i="1"/>
  <c r="V608" i="1"/>
  <c r="V420" i="1"/>
  <c r="V394" i="1"/>
  <c r="V256" i="1"/>
  <c r="V395" i="1"/>
  <c r="V398" i="1"/>
  <c r="V237" i="1"/>
  <c r="V400" i="1"/>
  <c r="V396" i="1"/>
  <c r="V410" i="1"/>
  <c r="V258" i="1"/>
  <c r="V434" i="1"/>
  <c r="V82" i="1"/>
  <c r="V83" i="1"/>
  <c r="V84" i="1"/>
  <c r="V402" i="1"/>
  <c r="V475" i="1"/>
  <c r="V485" i="1"/>
  <c r="V440" i="1"/>
  <c r="V486" i="1"/>
  <c r="V432" i="1"/>
  <c r="V450" i="1"/>
  <c r="V503" i="1"/>
  <c r="V480" i="1"/>
  <c r="V483" i="1"/>
  <c r="V492" i="1"/>
  <c r="V85" i="1"/>
  <c r="V239" i="1"/>
  <c r="V157" i="1"/>
  <c r="V86" i="1"/>
  <c r="V181" i="1"/>
  <c r="V189" i="1"/>
  <c r="V87" i="1"/>
  <c r="V88" i="1"/>
  <c r="V89" i="1"/>
  <c r="V155" i="1"/>
  <c r="V171" i="1"/>
  <c r="V90" i="1"/>
  <c r="V209" i="1"/>
  <c r="V91" i="1"/>
  <c r="V92" i="1"/>
  <c r="V793" i="1"/>
  <c r="V863" i="1"/>
  <c r="V451" i="1"/>
  <c r="V800" i="1"/>
  <c r="V862" i="1"/>
  <c r="V436" i="1"/>
  <c r="V476" i="1"/>
  <c r="V849" i="1"/>
  <c r="V781" i="1"/>
  <c r="V785" i="1"/>
  <c r="V607" i="1"/>
  <c r="V847" i="1"/>
  <c r="V601" i="1"/>
  <c r="V838" i="1"/>
  <c r="V835" i="1"/>
  <c r="V172" i="1"/>
  <c r="V162" i="1"/>
  <c r="V156" i="1"/>
  <c r="V175" i="1"/>
  <c r="V173" i="1"/>
  <c r="V182" i="1"/>
  <c r="V168" i="1"/>
  <c r="V183" i="1"/>
  <c r="V276" i="1"/>
  <c r="V93" i="1"/>
  <c r="V390" i="1"/>
  <c r="V384" i="1"/>
  <c r="V742" i="1"/>
  <c r="V377" i="1"/>
  <c r="V94" i="1"/>
  <c r="V403" i="1"/>
  <c r="V387" i="1"/>
  <c r="V95" i="1"/>
  <c r="V96" i="1"/>
  <c r="V930" i="1"/>
  <c r="V927" i="1"/>
  <c r="V938" i="1"/>
  <c r="V97" i="1"/>
  <c r="V98" i="1"/>
  <c r="V99" i="1"/>
  <c r="V518" i="1"/>
  <c r="V448" i="1"/>
  <c r="V493" i="1"/>
  <c r="V199" i="1"/>
  <c r="V260" i="1"/>
  <c r="V536" i="1"/>
  <c r="V133" i="1"/>
  <c r="V554" i="1"/>
  <c r="V388" i="1"/>
  <c r="V100" i="1"/>
  <c r="V127" i="1"/>
  <c r="V494" i="1"/>
  <c r="V466" i="1"/>
  <c r="V416" i="1"/>
  <c r="V513" i="1"/>
  <c r="V204" i="1"/>
  <c r="V431" i="1"/>
  <c r="V101" i="1"/>
  <c r="V222" i="1"/>
  <c r="V515" i="1"/>
  <c r="V138" i="1"/>
  <c r="V385" i="1"/>
  <c r="V563" i="1"/>
  <c r="V522" i="1"/>
  <c r="V439" i="1"/>
  <c r="V102" i="1"/>
  <c r="V103" i="1"/>
  <c r="V544" i="1"/>
  <c r="V104" i="1"/>
  <c r="V105" i="1"/>
  <c r="V106" i="1"/>
  <c r="V107" i="1"/>
  <c r="V108" i="1"/>
  <c r="V109" i="1"/>
  <c r="V110" i="1"/>
  <c r="V111" i="1"/>
  <c r="V217" i="1"/>
  <c r="V223" i="1"/>
  <c r="V194" i="1"/>
  <c r="V248" i="1"/>
  <c r="V923" i="1"/>
  <c r="V202" i="1"/>
  <c r="V229" i="1"/>
  <c r="V557" i="1"/>
  <c r="V562" i="1"/>
  <c r="V564" i="1"/>
  <c r="V570" i="1"/>
  <c r="V604" i="1"/>
  <c r="V364" i="1"/>
  <c r="V920" i="1"/>
  <c r="V593" i="1"/>
  <c r="V911" i="1"/>
  <c r="V371" i="1"/>
  <c r="V580" i="1"/>
  <c r="V924" i="1"/>
  <c r="V945" i="1"/>
  <c r="V389" i="1"/>
  <c r="V484" i="1"/>
  <c r="V393" i="1"/>
  <c r="V382" i="1"/>
  <c r="V406" i="1"/>
  <c r="V392" i="1"/>
  <c r="V487" i="1"/>
  <c r="V804" i="1"/>
  <c r="V801" i="1"/>
  <c r="V803" i="1"/>
  <c r="V799" i="1"/>
  <c r="V668" i="1"/>
  <c r="V675" i="1"/>
  <c r="V646" i="1"/>
  <c r="V679" i="1"/>
  <c r="V411" i="1"/>
  <c r="V425" i="1"/>
  <c r="V541" i="1"/>
  <c r="V810" i="1"/>
  <c r="V833" i="1"/>
  <c r="V824" i="1"/>
  <c r="V852" i="1"/>
  <c r="V812" i="1"/>
  <c r="V825" i="1"/>
  <c r="V947" i="1"/>
  <c r="V648" i="1"/>
  <c r="V940" i="1"/>
  <c r="V633" i="1"/>
  <c r="V714" i="1"/>
  <c r="V891" i="1"/>
  <c r="V885" i="1"/>
  <c r="V722" i="1"/>
  <c r="V902" i="1"/>
  <c r="V707" i="1"/>
  <c r="V890" i="1"/>
  <c r="V705" i="1"/>
  <c r="V877" i="1"/>
  <c r="V727" i="1"/>
  <c r="V728" i="1"/>
  <c r="V876" i="1"/>
  <c r="V968" i="1"/>
  <c r="V970" i="1"/>
  <c r="V974" i="1"/>
  <c r="V956" i="1"/>
  <c r="V962" i="1"/>
  <c r="V637" i="1"/>
  <c r="V663" i="1"/>
  <c r="V659" i="1"/>
  <c r="V635" i="1"/>
  <c r="V647" i="1"/>
  <c r="V638" i="1"/>
  <c r="V636" i="1"/>
  <c r="V634" i="1"/>
  <c r="V937" i="1"/>
  <c r="V627" i="1"/>
  <c r="V645" i="1"/>
  <c r="V957" i="1"/>
  <c r="V953" i="1"/>
  <c r="V950" i="1"/>
  <c r="V624" i="1"/>
  <c r="V655" i="1"/>
  <c r="V919" i="1"/>
  <c r="V632" i="1"/>
  <c r="V674" i="1"/>
  <c r="V948" i="1"/>
  <c r="V958" i="1"/>
  <c r="V949" i="1"/>
  <c r="V932" i="1"/>
  <c r="V609" i="1"/>
  <c r="V839" i="1"/>
  <c r="V538" i="1"/>
  <c r="V521" i="1"/>
  <c r="V631" i="1"/>
  <c r="V693" i="1"/>
  <c r="V686" i="1"/>
  <c r="V964" i="1"/>
  <c r="V971" i="1"/>
  <c r="V967" i="1"/>
  <c r="V942" i="1"/>
  <c r="V498" i="1"/>
  <c r="V495" i="1"/>
  <c r="V481" i="1"/>
  <c r="V445" i="1"/>
  <c r="V407" i="1"/>
  <c r="V813" i="1"/>
  <c r="V770" i="1"/>
  <c r="V697" i="1"/>
  <c r="V966" i="1"/>
  <c r="V939" i="1"/>
  <c r="V836" i="1"/>
  <c r="V946" i="1"/>
  <c r="V694" i="1"/>
  <c r="V931" i="1"/>
  <c r="V871" i="1"/>
  <c r="V794" i="1"/>
  <c r="V669" i="1"/>
  <c r="V778" i="1"/>
  <c r="V955" i="1"/>
  <c r="V808" i="1"/>
  <c r="V776" i="1"/>
  <c r="V915" i="1"/>
  <c r="V925" i="1"/>
  <c r="V700" i="1"/>
  <c r="V682" i="1"/>
  <c r="V708" i="1"/>
  <c r="V680" i="1"/>
  <c r="V695" i="1"/>
  <c r="V699" i="1"/>
  <c r="V683" i="1"/>
  <c r="V523" i="1"/>
  <c r="V471" i="1"/>
  <c r="V547" i="1"/>
  <c r="V533" i="1"/>
  <c r="V311" i="1"/>
  <c r="V308" i="1"/>
  <c r="V298" i="1"/>
  <c r="V414" i="1"/>
  <c r="V112" i="1"/>
  <c r="V196" i="1"/>
  <c r="V159" i="1"/>
  <c r="V195" i="1"/>
  <c r="V113" i="1"/>
  <c r="V114" i="1"/>
  <c r="V191" i="1"/>
  <c r="V115" i="1"/>
  <c r="V433" i="1"/>
  <c r="V167" i="1"/>
  <c r="V176" i="1"/>
  <c r="V211" i="1"/>
  <c r="V116" i="1"/>
  <c r="V408" i="1"/>
  <c r="V117" i="1"/>
  <c r="V118" i="1"/>
  <c r="V165" i="1"/>
  <c r="V119" i="1"/>
  <c r="V120" i="1"/>
  <c r="V121" i="1"/>
  <c r="V215" i="1"/>
  <c r="V783" i="1"/>
  <c r="V791" i="1"/>
  <c r="V788" i="1"/>
  <c r="V848" i="1"/>
  <c r="V857" i="1"/>
  <c r="V860" i="1"/>
  <c r="V840" i="1"/>
  <c r="V122" i="1"/>
  <c r="V123" i="1"/>
  <c r="V517" i="1"/>
  <c r="V464" i="1"/>
  <c r="V477" i="1"/>
  <c r="V509" i="1"/>
  <c r="V530" i="1"/>
  <c r="V712" i="1"/>
  <c r="V706" i="1"/>
  <c r="V798" i="1"/>
  <c r="V758" i="1"/>
  <c r="V711" i="1"/>
  <c r="V747" i="1"/>
  <c r="V724" i="1"/>
  <c r="V771" i="1"/>
  <c r="V696" i="1"/>
  <c r="V701" i="1"/>
  <c r="V784" i="1"/>
  <c r="V802" i="1"/>
  <c r="V736" i="1"/>
  <c r="V789" i="1"/>
  <c r="V748" i="1"/>
  <c r="V749" i="1"/>
  <c r="V762" i="1"/>
  <c r="V733" i="1"/>
  <c r="V753" i="1"/>
  <c r="V716" i="1"/>
  <c r="V751" i="1"/>
  <c r="V713" i="1"/>
  <c r="V750" i="1"/>
  <c r="V954" i="1"/>
  <c r="V965" i="1"/>
  <c r="V936" i="1"/>
  <c r="V934" i="1"/>
  <c r="V500" i="1"/>
  <c r="V542" i="1"/>
  <c r="V499" i="1"/>
  <c r="V482" i="1"/>
  <c r="V512" i="1"/>
  <c r="V519" i="1"/>
  <c r="V717" i="1"/>
  <c r="V386" i="1"/>
  <c r="V151" i="1"/>
  <c r="V354" i="1"/>
  <c r="V310" i="1"/>
  <c r="V427" i="1"/>
  <c r="V684" i="1"/>
  <c r="V426" i="1"/>
  <c r="V671" i="1"/>
  <c r="V559" i="1"/>
  <c r="V870" i="1"/>
  <c r="V576" i="1"/>
  <c r="V328" i="1"/>
  <c r="V969" i="1"/>
  <c r="V672" i="1"/>
  <c r="V313" i="1"/>
  <c r="V961" i="1"/>
  <c r="V372" i="1"/>
  <c r="V595" i="1"/>
  <c r="V673" i="1"/>
  <c r="V649" i="1"/>
  <c r="V314" i="1"/>
  <c r="V299" i="1"/>
  <c r="V381" i="1"/>
  <c r="V367" i="1"/>
  <c r="V423" i="1"/>
  <c r="V374" i="1"/>
  <c r="V832" i="1"/>
  <c r="V169" i="1"/>
  <c r="V453" i="1"/>
  <c r="V692" i="1"/>
  <c r="V369" i="1"/>
  <c r="V302" i="1"/>
  <c r="V139" i="1"/>
  <c r="V124" i="1"/>
  <c r="V578" i="1"/>
  <c r="V715" i="1"/>
  <c r="V125" i="1"/>
  <c r="V350" i="1"/>
  <c r="V296" i="1"/>
  <c r="V397" i="1"/>
  <c r="V846" i="1"/>
  <c r="V353" i="1"/>
  <c r="V373" i="1"/>
  <c r="V975" i="1"/>
  <c r="T975" i="1"/>
  <c r="W455" i="1" l="1"/>
  <c r="W2" i="1"/>
  <c r="W653" i="1"/>
  <c r="W670" i="1"/>
  <c r="W656" i="1"/>
  <c r="W658" i="1"/>
  <c r="W641" i="1"/>
  <c r="W921" i="1"/>
  <c r="W526" i="1"/>
  <c r="W777" i="1"/>
  <c r="W567" i="1"/>
  <c r="W767" i="1"/>
  <c r="W718" i="1"/>
  <c r="W704" i="1"/>
  <c r="W691" i="1"/>
  <c r="W768" i="1"/>
  <c r="W941" i="1"/>
  <c r="W764" i="1"/>
  <c r="W469" i="1"/>
  <c r="W734" i="1"/>
  <c r="W661" i="1"/>
  <c r="W657" i="1"/>
  <c r="W650" i="1"/>
  <c r="W720" i="1"/>
  <c r="W719" i="1"/>
  <c r="W730" i="1"/>
  <c r="W723" i="1"/>
  <c r="W703" i="1"/>
  <c r="W710" i="1"/>
  <c r="W726" i="1"/>
  <c r="W981" i="1"/>
  <c r="W980" i="1"/>
  <c r="W976" i="1"/>
  <c r="W986" i="1"/>
  <c r="W985" i="1"/>
  <c r="W676" i="1"/>
  <c r="W929" i="1"/>
  <c r="W917" i="1"/>
  <c r="W944" i="1"/>
  <c r="W905" i="1"/>
  <c r="W951" i="1"/>
  <c r="W687" i="1"/>
  <c r="W935" i="1"/>
  <c r="W654" i="1"/>
  <c r="W744" i="1"/>
  <c r="W729" i="1"/>
  <c r="W741" i="1"/>
  <c r="W356" i="1"/>
  <c r="W357" i="1"/>
  <c r="W340" i="1"/>
  <c r="W330" i="1"/>
  <c r="W306" i="1"/>
  <c r="W347" i="1"/>
  <c r="W351" i="1"/>
  <c r="W3" i="1"/>
  <c r="W4" i="1"/>
  <c r="W5" i="1"/>
  <c r="W6" i="1"/>
  <c r="W555" i="1"/>
  <c r="W441" i="1"/>
  <c r="W240" i="1"/>
  <c r="W332" i="1"/>
  <c r="W378" i="1"/>
  <c r="W7" i="1"/>
  <c r="W224" i="1"/>
  <c r="W8" i="1"/>
  <c r="W568" i="1"/>
  <c r="W358" i="1"/>
  <c r="W9" i="1"/>
  <c r="W514" i="1"/>
  <c r="W10" i="1"/>
  <c r="W218" i="1"/>
  <c r="W11" i="1"/>
  <c r="W333" i="1"/>
  <c r="W12" i="1"/>
  <c r="W552" i="1"/>
  <c r="W376" i="1"/>
  <c r="W465" i="1"/>
  <c r="W13" i="1"/>
  <c r="W365" i="1"/>
  <c r="W14" i="1"/>
  <c r="W15" i="1"/>
  <c r="W210" i="1"/>
  <c r="W529" i="1"/>
  <c r="W16" i="1"/>
  <c r="W17" i="1"/>
  <c r="W257" i="1"/>
  <c r="W454" i="1"/>
  <c r="W419" i="1"/>
  <c r="W219" i="1"/>
  <c r="W428" i="1"/>
  <c r="W18" i="1"/>
  <c r="W334" i="1"/>
  <c r="W540" i="1"/>
  <c r="W19" i="1"/>
  <c r="W245" i="1"/>
  <c r="W20" i="1"/>
  <c r="W335" i="1"/>
  <c r="W379" i="1"/>
  <c r="W21" i="1"/>
  <c r="W510" i="1"/>
  <c r="W362" i="1"/>
  <c r="W277" i="1"/>
  <c r="W344" i="1"/>
  <c r="W190" i="1"/>
  <c r="W326" i="1"/>
  <c r="W278" i="1"/>
  <c r="W307" i="1"/>
  <c r="W337" i="1"/>
  <c r="W261" i="1"/>
  <c r="W293" i="1"/>
  <c r="W273" i="1"/>
  <c r="W264" i="1"/>
  <c r="W251" i="1"/>
  <c r="W284" i="1"/>
  <c r="W286" i="1"/>
  <c r="W288" i="1"/>
  <c r="W281" i="1"/>
  <c r="W144" i="1"/>
  <c r="W152" i="1"/>
  <c r="W134" i="1"/>
  <c r="W160" i="1"/>
  <c r="W161" i="1"/>
  <c r="W246" i="1"/>
  <c r="W180" i="1"/>
  <c r="W170" i="1"/>
  <c r="W241" i="1"/>
  <c r="W225" i="1"/>
  <c r="W242" i="1"/>
  <c r="W185" i="1"/>
  <c r="W22" i="1"/>
  <c r="W348" i="1"/>
  <c r="W243" i="1"/>
  <c r="W279" i="1"/>
  <c r="W135" i="1"/>
  <c r="W23" i="1"/>
  <c r="W24" i="1"/>
  <c r="W25" i="1"/>
  <c r="W270" i="1"/>
  <c r="W129" i="1"/>
  <c r="W265" i="1"/>
  <c r="W136" i="1"/>
  <c r="W226" i="1"/>
  <c r="W274" i="1"/>
  <c r="W140" i="1"/>
  <c r="W233" i="1"/>
  <c r="W266" i="1"/>
  <c r="W128" i="1"/>
  <c r="W26" i="1"/>
  <c r="W27" i="1"/>
  <c r="W28" i="1"/>
  <c r="W250" i="1"/>
  <c r="W908" i="1"/>
  <c r="W827" i="1"/>
  <c r="W887" i="1"/>
  <c r="W828" i="1"/>
  <c r="W843" i="1"/>
  <c r="W818" i="1"/>
  <c r="W851" i="1"/>
  <c r="W588" i="1"/>
  <c r="W437" i="1"/>
  <c r="W598" i="1"/>
  <c r="W422" i="1"/>
  <c r="W644" i="1"/>
  <c r="W586" i="1"/>
  <c r="W585" i="1"/>
  <c r="W591" i="1"/>
  <c r="W666" i="1"/>
  <c r="W29" i="1"/>
  <c r="W30" i="1"/>
  <c r="W31" i="1"/>
  <c r="W32" i="1"/>
  <c r="W421" i="1"/>
  <c r="W33" i="1"/>
  <c r="W341" i="1"/>
  <c r="W331" i="1"/>
  <c r="W34" i="1"/>
  <c r="W249" i="1"/>
  <c r="W255" i="1"/>
  <c r="W35" i="1"/>
  <c r="W282" i="1"/>
  <c r="W349" i="1"/>
  <c r="W446" i="1"/>
  <c r="W37" i="1"/>
  <c r="W130" i="1"/>
  <c r="W295" i="1"/>
  <c r="W383" i="1"/>
  <c r="W545" i="1"/>
  <c r="W38" i="1"/>
  <c r="W39" i="1"/>
  <c r="W126" i="1"/>
  <c r="W40" i="1"/>
  <c r="W435" i="1"/>
  <c r="W41" i="1"/>
  <c r="W42" i="1"/>
  <c r="W43" i="1"/>
  <c r="W280" i="1"/>
  <c r="W44" i="1"/>
  <c r="W418" i="1"/>
  <c r="W380" i="1"/>
  <c r="W401" i="1"/>
  <c r="W399" i="1"/>
  <c r="W338" i="1"/>
  <c r="W259" i="1"/>
  <c r="W131" i="1"/>
  <c r="W375" i="1"/>
  <c r="W325" i="1"/>
  <c r="W442" i="1"/>
  <c r="W289" i="1"/>
  <c r="W370" i="1"/>
  <c r="W47" i="1"/>
  <c r="W290" i="1"/>
  <c r="W473" i="1"/>
  <c r="W48" i="1"/>
  <c r="W489" i="1"/>
  <c r="W49" i="1"/>
  <c r="W50" i="1"/>
  <c r="W51" i="1"/>
  <c r="W220" i="1"/>
  <c r="W342" i="1"/>
  <c r="W262" i="1"/>
  <c r="W52" i="1"/>
  <c r="W53" i="1"/>
  <c r="W54" i="1"/>
  <c r="W664" i="1"/>
  <c r="W667" i="1"/>
  <c r="W681" i="1"/>
  <c r="W895" i="1"/>
  <c r="W896" i="1"/>
  <c r="W897" i="1"/>
  <c r="W898" i="1"/>
  <c r="W816" i="1"/>
  <c r="W782" i="1"/>
  <c r="W795" i="1"/>
  <c r="W830" i="1"/>
  <c r="W796" i="1"/>
  <c r="W780" i="1"/>
  <c r="W811" i="1"/>
  <c r="W773" i="1"/>
  <c r="W983" i="1"/>
  <c r="W874" i="1"/>
  <c r="W861" i="1"/>
  <c r="W873" i="1"/>
  <c r="W984" i="1"/>
  <c r="W977" i="1"/>
  <c r="W854" i="1"/>
  <c r="W868" i="1"/>
  <c r="W581" i="1"/>
  <c r="W584" i="1"/>
  <c r="W912" i="1"/>
  <c r="W752" i="1"/>
  <c r="W893" i="1"/>
  <c r="W756" i="1"/>
  <c r="W926" i="1"/>
  <c r="W763" i="1"/>
  <c r="W743" i="1"/>
  <c r="W732" i="1"/>
  <c r="W903" i="1"/>
  <c r="W689" i="1"/>
  <c r="W619" i="1"/>
  <c r="W610" i="1"/>
  <c r="W621" i="1"/>
  <c r="W769" i="1"/>
  <c r="W605" i="1"/>
  <c r="W359" i="1"/>
  <c r="W685" i="1"/>
  <c r="W597" i="1"/>
  <c r="W602" i="1"/>
  <c r="W628" i="1"/>
  <c r="W709" i="1"/>
  <c r="W702" i="1"/>
  <c r="W779" i="1"/>
  <c r="W889" i="1"/>
  <c r="W775" i="1"/>
  <c r="W625" i="1"/>
  <c r="W886" i="1"/>
  <c r="W603" i="1"/>
  <c r="W772" i="1"/>
  <c r="W914" i="1"/>
  <c r="W754" i="1"/>
  <c r="W774" i="1"/>
  <c r="W268" i="1"/>
  <c r="W566" i="1"/>
  <c r="W506" i="1"/>
  <c r="W565" i="1"/>
  <c r="W539" i="1"/>
  <c r="W579" i="1"/>
  <c r="W558" i="1"/>
  <c r="W532" i="1"/>
  <c r="W535" i="1"/>
  <c r="W560" i="1"/>
  <c r="W618" i="1"/>
  <c r="W600" i="1"/>
  <c r="W620" i="1"/>
  <c r="W616" i="1"/>
  <c r="W639" i="1"/>
  <c r="W599" i="1"/>
  <c r="W594" i="1"/>
  <c r="W831" i="1"/>
  <c r="W819" i="1"/>
  <c r="W864" i="1"/>
  <c r="W834" i="1"/>
  <c r="W55" i="1"/>
  <c r="W456" i="1"/>
  <c r="W457" i="1"/>
  <c r="W458" i="1"/>
  <c r="W459" i="1"/>
  <c r="W460" i="1"/>
  <c r="W461" i="1"/>
  <c r="W577" i="1"/>
  <c r="W462" i="1"/>
  <c r="W574" i="1"/>
  <c r="W463" i="1"/>
  <c r="W478" i="1"/>
  <c r="W488" i="1"/>
  <c r="W501" i="1"/>
  <c r="W430" i="1"/>
  <c r="W806" i="1"/>
  <c r="W910" i="1"/>
  <c r="W906" i="1"/>
  <c r="W823" i="1"/>
  <c r="W918" i="1"/>
  <c r="W822" i="1"/>
  <c r="W909" i="1"/>
  <c r="W807" i="1"/>
  <c r="W820" i="1"/>
  <c r="W797" i="1"/>
  <c r="W829" i="1"/>
  <c r="W892" i="1"/>
  <c r="W973" i="1"/>
  <c r="W907" i="1"/>
  <c r="W904" i="1"/>
  <c r="W900" i="1"/>
  <c r="W913" i="1"/>
  <c r="W978" i="1"/>
  <c r="W901" i="1"/>
  <c r="W928" i="1"/>
  <c r="W982" i="1"/>
  <c r="W972" i="1"/>
  <c r="W979" i="1"/>
  <c r="W894" i="1"/>
  <c r="W651" i="1"/>
  <c r="W643" i="1"/>
  <c r="W805" i="1"/>
  <c r="W642" i="1"/>
  <c r="W809" i="1"/>
  <c r="W612" i="1"/>
  <c r="W884" i="1"/>
  <c r="W916" i="1"/>
  <c r="W611" i="1"/>
  <c r="W814" i="1"/>
  <c r="W640" i="1"/>
  <c r="W786" i="1"/>
  <c r="W875" i="1"/>
  <c r="W826" i="1"/>
  <c r="W922" i="1"/>
  <c r="W592" i="1"/>
  <c r="W792" i="1"/>
  <c r="W596" i="1"/>
  <c r="W790" i="1"/>
  <c r="W630" i="1"/>
  <c r="W817" i="1"/>
  <c r="W652" i="1"/>
  <c r="W614" i="1"/>
  <c r="W899" i="1"/>
  <c r="W841" i="1"/>
  <c r="W787" i="1"/>
  <c r="W821" i="1"/>
  <c r="W844" i="1"/>
  <c r="W842" i="1"/>
  <c r="W725" i="1"/>
  <c r="W737" i="1"/>
  <c r="W731" i="1"/>
  <c r="W721" i="1"/>
  <c r="W739" i="1"/>
  <c r="W740" i="1"/>
  <c r="W853" i="1"/>
  <c r="W866" i="1"/>
  <c r="W815" i="1"/>
  <c r="W837" i="1"/>
  <c r="W283" i="1"/>
  <c r="W502" i="1"/>
  <c r="W575" i="1"/>
  <c r="W549" i="1"/>
  <c r="W184" i="1"/>
  <c r="W56" i="1"/>
  <c r="W443" i="1"/>
  <c r="W235" i="1"/>
  <c r="W507" i="1"/>
  <c r="W504" i="1"/>
  <c r="W57" i="1"/>
  <c r="W548" i="1"/>
  <c r="W424" i="1"/>
  <c r="W269" i="1"/>
  <c r="W537" i="1"/>
  <c r="W166" i="1"/>
  <c r="W449" i="1"/>
  <c r="W177" i="1"/>
  <c r="W474" i="1"/>
  <c r="W252" i="1"/>
  <c r="W520" i="1"/>
  <c r="W472" i="1"/>
  <c r="W479" i="1"/>
  <c r="W253" i="1"/>
  <c r="W531" i="1"/>
  <c r="W497" i="1"/>
  <c r="W452" i="1"/>
  <c r="W271" i="1"/>
  <c r="W409" i="1"/>
  <c r="W247" i="1"/>
  <c r="W528" i="1"/>
  <c r="W516" i="1"/>
  <c r="W58" i="1"/>
  <c r="W490" i="1"/>
  <c r="W587" i="1"/>
  <c r="W470" i="1"/>
  <c r="W582" i="1"/>
  <c r="W546" i="1"/>
  <c r="W590" i="1"/>
  <c r="W553" i="1"/>
  <c r="W527" i="1"/>
  <c r="W698" i="1"/>
  <c r="W677" i="1"/>
  <c r="W688" i="1"/>
  <c r="W746" i="1"/>
  <c r="W745" i="1"/>
  <c r="W765" i="1"/>
  <c r="W690" i="1"/>
  <c r="W660" i="1"/>
  <c r="W665" i="1"/>
  <c r="W629" i="1"/>
  <c r="W617" i="1"/>
  <c r="W622" i="1"/>
  <c r="W882" i="1"/>
  <c r="W888" i="1"/>
  <c r="W858" i="1"/>
  <c r="W869" i="1"/>
  <c r="W880" i="1"/>
  <c r="W845" i="1"/>
  <c r="W865" i="1"/>
  <c r="W856" i="1"/>
  <c r="W850" i="1"/>
  <c r="W855" i="1"/>
  <c r="W417" i="1"/>
  <c r="W412" i="1"/>
  <c r="W444" i="1"/>
  <c r="W405" i="1"/>
  <c r="W447" i="1"/>
  <c r="W662" i="1"/>
  <c r="W678" i="1"/>
  <c r="W755" i="1"/>
  <c r="W766" i="1"/>
  <c r="W761" i="1"/>
  <c r="W757" i="1"/>
  <c r="W569" i="1"/>
  <c r="W561" i="1"/>
  <c r="W534" i="1"/>
  <c r="W339" i="1"/>
  <c r="W309" i="1"/>
  <c r="W352" i="1"/>
  <c r="W59" i="1"/>
  <c r="W355" i="1"/>
  <c r="W174" i="1"/>
  <c r="W230" i="1"/>
  <c r="W60" i="1"/>
  <c r="W228" i="1"/>
  <c r="W345" i="1"/>
  <c r="W158" i="1"/>
  <c r="W221" i="1"/>
  <c r="W61" i="1"/>
  <c r="W62" i="1"/>
  <c r="W63" i="1"/>
  <c r="W366" i="1"/>
  <c r="W64" i="1"/>
  <c r="W164" i="1"/>
  <c r="W65" i="1"/>
  <c r="W413" i="1"/>
  <c r="W187" i="1"/>
  <c r="W201" i="1"/>
  <c r="W186" i="1"/>
  <c r="W200" i="1"/>
  <c r="W178" i="1"/>
  <c r="W193" i="1"/>
  <c r="W163" i="1"/>
  <c r="W272" i="1"/>
  <c r="W360" i="1"/>
  <c r="W571" i="1"/>
  <c r="W336" i="1"/>
  <c r="W363" i="1"/>
  <c r="W361" i="1"/>
  <c r="W267" i="1"/>
  <c r="W573" i="1"/>
  <c r="W368" i="1"/>
  <c r="W263" i="1"/>
  <c r="W146" i="1"/>
  <c r="W66" i="1"/>
  <c r="W67" i="1"/>
  <c r="W988" i="1"/>
  <c r="W989" i="1"/>
  <c r="W987" i="1"/>
  <c r="W294" i="1"/>
  <c r="W291" i="1"/>
  <c r="W285" i="1"/>
  <c r="W275" i="1"/>
  <c r="W301" i="1"/>
  <c r="W179" i="1"/>
  <c r="W192" i="1"/>
  <c r="W304" i="1"/>
  <c r="W297" i="1"/>
  <c r="W188" i="1"/>
  <c r="W303" i="1"/>
  <c r="W244" i="1"/>
  <c r="W68" i="1"/>
  <c r="W508" i="1"/>
  <c r="W315" i="1"/>
  <c r="W312" i="1"/>
  <c r="W147" i="1"/>
  <c r="W69" i="1"/>
  <c r="W143" i="1"/>
  <c r="W491" i="1"/>
  <c r="W216" i="1"/>
  <c r="W70" i="1"/>
  <c r="W524" i="1"/>
  <c r="W71" i="1"/>
  <c r="W227" i="1"/>
  <c r="W141" i="1"/>
  <c r="W300" i="1"/>
  <c r="W317" i="1"/>
  <c r="W415" i="1"/>
  <c r="W572" i="1"/>
  <c r="W212" i="1"/>
  <c r="W72" i="1"/>
  <c r="W292" i="1"/>
  <c r="W550" i="1"/>
  <c r="W318" i="1"/>
  <c r="W468" i="1"/>
  <c r="W197" i="1"/>
  <c r="W213" i="1"/>
  <c r="W73" i="1"/>
  <c r="W205" i="1"/>
  <c r="W467" i="1"/>
  <c r="W438" i="1"/>
  <c r="W74" i="1"/>
  <c r="W583" i="1"/>
  <c r="W556" i="1"/>
  <c r="W206" i="1"/>
  <c r="W287" i="1"/>
  <c r="W75" i="1"/>
  <c r="W329" i="1"/>
  <c r="W154" i="1"/>
  <c r="W404" i="1"/>
  <c r="W320" i="1"/>
  <c r="W234" i="1"/>
  <c r="W145" i="1"/>
  <c r="W321" i="1"/>
  <c r="W343" i="1"/>
  <c r="W505" i="1"/>
  <c r="W391" i="1"/>
  <c r="W346" i="1"/>
  <c r="W148" i="1"/>
  <c r="W76" i="1"/>
  <c r="W137" i="1"/>
  <c r="W496" i="1"/>
  <c r="W153" i="1"/>
  <c r="W525" i="1"/>
  <c r="W77" i="1"/>
  <c r="W551" i="1"/>
  <c r="W207" i="1"/>
  <c r="W78" i="1"/>
  <c r="W511" i="1"/>
  <c r="W198" i="1"/>
  <c r="W79" i="1"/>
  <c r="W254" i="1"/>
  <c r="W149" i="1"/>
  <c r="W142" i="1"/>
  <c r="W327" i="1"/>
  <c r="W80" i="1"/>
  <c r="W429" i="1"/>
  <c r="W203" i="1"/>
  <c r="W305" i="1"/>
  <c r="W150" i="1"/>
  <c r="W543" i="1"/>
  <c r="W81" i="1"/>
  <c r="W132" i="1"/>
  <c r="W608" i="1"/>
  <c r="W420" i="1"/>
  <c r="W394" i="1"/>
  <c r="W256" i="1"/>
  <c r="W395" i="1"/>
  <c r="W398" i="1"/>
  <c r="W237" i="1"/>
  <c r="W400" i="1"/>
  <c r="W396" i="1"/>
  <c r="W410" i="1"/>
  <c r="W258" i="1"/>
  <c r="W434" i="1"/>
  <c r="W82" i="1"/>
  <c r="W83" i="1"/>
  <c r="W84" i="1"/>
  <c r="W402" i="1"/>
  <c r="W475" i="1"/>
  <c r="W485" i="1"/>
  <c r="W440" i="1"/>
  <c r="W486" i="1"/>
  <c r="W432" i="1"/>
  <c r="W450" i="1"/>
  <c r="W503" i="1"/>
  <c r="W480" i="1"/>
  <c r="W483" i="1"/>
  <c r="W492" i="1"/>
  <c r="W85" i="1"/>
  <c r="W239" i="1"/>
  <c r="W157" i="1"/>
  <c r="W86" i="1"/>
  <c r="W181" i="1"/>
  <c r="W189" i="1"/>
  <c r="W87" i="1"/>
  <c r="W88" i="1"/>
  <c r="W89" i="1"/>
  <c r="W155" i="1"/>
  <c r="W171" i="1"/>
  <c r="W90" i="1"/>
  <c r="W209" i="1"/>
  <c r="W91" i="1"/>
  <c r="W92" i="1"/>
  <c r="W793" i="1"/>
  <c r="W863" i="1"/>
  <c r="W451" i="1"/>
  <c r="W800" i="1"/>
  <c r="W862" i="1"/>
  <c r="W436" i="1"/>
  <c r="W476" i="1"/>
  <c r="W849" i="1"/>
  <c r="W781" i="1"/>
  <c r="W785" i="1"/>
  <c r="W607" i="1"/>
  <c r="W847" i="1"/>
  <c r="W601" i="1"/>
  <c r="W838" i="1"/>
  <c r="W835" i="1"/>
  <c r="W172" i="1"/>
  <c r="W162" i="1"/>
  <c r="W156" i="1"/>
  <c r="W175" i="1"/>
  <c r="W173" i="1"/>
  <c r="W182" i="1"/>
  <c r="W168" i="1"/>
  <c r="W183" i="1"/>
  <c r="W276" i="1"/>
  <c r="W93" i="1"/>
  <c r="W390" i="1"/>
  <c r="W384" i="1"/>
  <c r="W742" i="1"/>
  <c r="W377" i="1"/>
  <c r="W94" i="1"/>
  <c r="W403" i="1"/>
  <c r="W387" i="1"/>
  <c r="W95" i="1"/>
  <c r="W96" i="1"/>
  <c r="W930" i="1"/>
  <c r="W927" i="1"/>
  <c r="W938" i="1"/>
  <c r="W97" i="1"/>
  <c r="W98" i="1"/>
  <c r="W99" i="1"/>
  <c r="W518" i="1"/>
  <c r="W448" i="1"/>
  <c r="W493" i="1"/>
  <c r="W199" i="1"/>
  <c r="W260" i="1"/>
  <c r="W536" i="1"/>
  <c r="W133" i="1"/>
  <c r="W554" i="1"/>
  <c r="W388" i="1"/>
  <c r="W100" i="1"/>
  <c r="W127" i="1"/>
  <c r="W494" i="1"/>
  <c r="W466" i="1"/>
  <c r="W416" i="1"/>
  <c r="W513" i="1"/>
  <c r="W204" i="1"/>
  <c r="W431" i="1"/>
  <c r="W101" i="1"/>
  <c r="W222" i="1"/>
  <c r="W515" i="1"/>
  <c r="W138" i="1"/>
  <c r="W385" i="1"/>
  <c r="W563" i="1"/>
  <c r="W522" i="1"/>
  <c r="W439" i="1"/>
  <c r="W102" i="1"/>
  <c r="W103" i="1"/>
  <c r="W544" i="1"/>
  <c r="W104" i="1"/>
  <c r="W105" i="1"/>
  <c r="W106" i="1"/>
  <c r="W107" i="1"/>
  <c r="W108" i="1"/>
  <c r="W109" i="1"/>
  <c r="W110" i="1"/>
  <c r="W111" i="1"/>
  <c r="W217" i="1"/>
  <c r="W223" i="1"/>
  <c r="W194" i="1"/>
  <c r="W248" i="1"/>
  <c r="W923" i="1"/>
  <c r="W202" i="1"/>
  <c r="W229" i="1"/>
  <c r="W557" i="1"/>
  <c r="W562" i="1"/>
  <c r="W564" i="1"/>
  <c r="W570" i="1"/>
  <c r="W604" i="1"/>
  <c r="W364" i="1"/>
  <c r="W920" i="1"/>
  <c r="W593" i="1"/>
  <c r="W911" i="1"/>
  <c r="W371" i="1"/>
  <c r="W580" i="1"/>
  <c r="W924" i="1"/>
  <c r="W945" i="1"/>
  <c r="W389" i="1"/>
  <c r="W484" i="1"/>
  <c r="W393" i="1"/>
  <c r="W382" i="1"/>
  <c r="W406" i="1"/>
  <c r="W392" i="1"/>
  <c r="W487" i="1"/>
  <c r="W804" i="1"/>
  <c r="W801" i="1"/>
  <c r="W803" i="1"/>
  <c r="W799" i="1"/>
  <c r="W411" i="1"/>
  <c r="W425" i="1"/>
  <c r="W541" i="1"/>
  <c r="W810" i="1"/>
  <c r="W833" i="1"/>
  <c r="W824" i="1"/>
  <c r="W852" i="1"/>
  <c r="W812" i="1"/>
  <c r="W825" i="1"/>
  <c r="W947" i="1"/>
  <c r="W648" i="1"/>
  <c r="W940" i="1"/>
  <c r="W633" i="1"/>
  <c r="W714" i="1"/>
  <c r="W891" i="1"/>
  <c r="W885" i="1"/>
  <c r="W722" i="1"/>
  <c r="W902" i="1"/>
  <c r="W707" i="1"/>
  <c r="W890" i="1"/>
  <c r="W705" i="1"/>
  <c r="W877" i="1"/>
  <c r="W727" i="1"/>
  <c r="W728" i="1"/>
  <c r="W876" i="1"/>
  <c r="W968" i="1"/>
  <c r="W970" i="1"/>
  <c r="W974" i="1"/>
  <c r="W956" i="1"/>
  <c r="W962" i="1"/>
  <c r="W637" i="1"/>
  <c r="W663" i="1"/>
  <c r="W659" i="1"/>
  <c r="W635" i="1"/>
  <c r="W647" i="1"/>
  <c r="W638" i="1"/>
  <c r="W636" i="1"/>
  <c r="W634" i="1"/>
  <c r="W937" i="1"/>
  <c r="W627" i="1"/>
  <c r="W645" i="1"/>
  <c r="W957" i="1"/>
  <c r="W953" i="1"/>
  <c r="W950" i="1"/>
  <c r="W624" i="1"/>
  <c r="W655" i="1"/>
  <c r="W919" i="1"/>
  <c r="W632" i="1"/>
  <c r="W674" i="1"/>
  <c r="W948" i="1"/>
  <c r="W958" i="1"/>
  <c r="W949" i="1"/>
  <c r="W932" i="1"/>
  <c r="W609" i="1"/>
  <c r="W839" i="1"/>
  <c r="W538" i="1"/>
  <c r="W521" i="1"/>
  <c r="W631" i="1"/>
  <c r="W693" i="1"/>
  <c r="W686" i="1"/>
  <c r="W964" i="1"/>
  <c r="W971" i="1"/>
  <c r="W967" i="1"/>
  <c r="W942" i="1"/>
  <c r="W498" i="1"/>
  <c r="W495" i="1"/>
  <c r="W481" i="1"/>
  <c r="W445" i="1"/>
  <c r="W407" i="1"/>
  <c r="W813" i="1"/>
  <c r="W770" i="1"/>
  <c r="W697" i="1"/>
  <c r="W966" i="1"/>
  <c r="W939" i="1"/>
  <c r="W836" i="1"/>
  <c r="W946" i="1"/>
  <c r="W694" i="1"/>
  <c r="W931" i="1"/>
  <c r="W871" i="1"/>
  <c r="W794" i="1"/>
  <c r="W669" i="1"/>
  <c r="W778" i="1"/>
  <c r="W955" i="1"/>
  <c r="W808" i="1"/>
  <c r="W776" i="1"/>
  <c r="W915" i="1"/>
  <c r="W925" i="1"/>
  <c r="W700" i="1"/>
  <c r="W682" i="1"/>
  <c r="W708" i="1"/>
  <c r="W680" i="1"/>
  <c r="W695" i="1"/>
  <c r="W699" i="1"/>
  <c r="W683" i="1"/>
  <c r="W523" i="1"/>
  <c r="W471" i="1"/>
  <c r="W547" i="1"/>
  <c r="W533" i="1"/>
  <c r="W311" i="1"/>
  <c r="W308" i="1"/>
  <c r="W298" i="1"/>
  <c r="W414" i="1"/>
  <c r="W112" i="1"/>
  <c r="W196" i="1"/>
  <c r="W159" i="1"/>
  <c r="W195" i="1"/>
  <c r="W113" i="1"/>
  <c r="W114" i="1"/>
  <c r="W191" i="1"/>
  <c r="W115" i="1"/>
  <c r="W433" i="1"/>
  <c r="W167" i="1"/>
  <c r="W176" i="1"/>
  <c r="W211" i="1"/>
  <c r="W116" i="1"/>
  <c r="W408" i="1"/>
  <c r="W117" i="1"/>
  <c r="W118" i="1"/>
  <c r="W165" i="1"/>
  <c r="W119" i="1"/>
  <c r="W120" i="1"/>
  <c r="W121" i="1"/>
  <c r="W215" i="1"/>
  <c r="W783" i="1"/>
  <c r="W791" i="1"/>
  <c r="W788" i="1"/>
  <c r="W848" i="1"/>
  <c r="W857" i="1"/>
  <c r="W860" i="1"/>
  <c r="W840" i="1"/>
  <c r="W122" i="1"/>
  <c r="W123" i="1"/>
  <c r="W517" i="1"/>
  <c r="W464" i="1"/>
  <c r="W477" i="1"/>
  <c r="W509" i="1"/>
  <c r="W530" i="1"/>
  <c r="W712" i="1"/>
  <c r="W706" i="1"/>
  <c r="W798" i="1"/>
  <c r="W758" i="1"/>
  <c r="W711" i="1"/>
  <c r="W747" i="1"/>
  <c r="W724" i="1"/>
  <c r="W771" i="1"/>
  <c r="W696" i="1"/>
  <c r="W701" i="1"/>
  <c r="W784" i="1"/>
  <c r="W802" i="1"/>
  <c r="W736" i="1"/>
  <c r="W789" i="1"/>
  <c r="W748" i="1"/>
  <c r="W749" i="1"/>
  <c r="W762" i="1"/>
  <c r="W733" i="1"/>
  <c r="W753" i="1"/>
  <c r="W716" i="1"/>
  <c r="W751" i="1"/>
  <c r="W713" i="1"/>
  <c r="W750" i="1"/>
  <c r="W954" i="1"/>
  <c r="W965" i="1"/>
  <c r="W936" i="1"/>
  <c r="W934" i="1"/>
  <c r="W500" i="1"/>
  <c r="W542" i="1"/>
  <c r="W499" i="1"/>
  <c r="W482" i="1"/>
  <c r="W512" i="1"/>
  <c r="W519" i="1"/>
  <c r="W717" i="1"/>
  <c r="W386" i="1"/>
  <c r="W151" i="1"/>
  <c r="W354" i="1"/>
  <c r="W310" i="1"/>
  <c r="W427" i="1"/>
  <c r="W684" i="1"/>
  <c r="W426" i="1"/>
  <c r="W671" i="1"/>
  <c r="W559" i="1"/>
  <c r="W870" i="1"/>
  <c r="W576" i="1"/>
  <c r="W328" i="1"/>
  <c r="W672" i="1"/>
  <c r="W313" i="1"/>
  <c r="W372" i="1"/>
  <c r="W595" i="1"/>
  <c r="W673" i="1"/>
  <c r="W649" i="1"/>
  <c r="W314" i="1"/>
  <c r="W299" i="1"/>
  <c r="W381" i="1"/>
  <c r="W367" i="1"/>
  <c r="W423" i="1"/>
  <c r="W374" i="1"/>
  <c r="W832" i="1"/>
  <c r="W169" i="1"/>
  <c r="W453" i="1"/>
  <c r="W692" i="1"/>
  <c r="W369" i="1"/>
  <c r="W302" i="1"/>
  <c r="W139" i="1"/>
  <c r="W124" i="1"/>
  <c r="W578" i="1"/>
  <c r="W715" i="1"/>
  <c r="W125" i="1"/>
  <c r="W350" i="1"/>
  <c r="W296" i="1"/>
  <c r="W397" i="1"/>
  <c r="W846" i="1"/>
  <c r="W353" i="1"/>
  <c r="W373" i="1"/>
  <c r="O940" i="1"/>
  <c r="O947" i="1"/>
  <c r="O825" i="1"/>
  <c r="O812" i="1"/>
  <c r="O852" i="1"/>
  <c r="O824" i="1"/>
  <c r="O487" i="1"/>
  <c r="O484" i="1"/>
  <c r="O111" i="1"/>
  <c r="O110" i="1"/>
  <c r="O109" i="1"/>
  <c r="O321" i="1"/>
  <c r="O320" i="1"/>
  <c r="O318" i="1"/>
  <c r="O317" i="1"/>
  <c r="O913" i="1"/>
  <c r="W969" i="1" s="1"/>
  <c r="O900" i="1"/>
  <c r="O904" i="1"/>
  <c r="W738" i="1" l="1"/>
  <c r="W975" i="1"/>
  <c r="W675" i="1"/>
  <c r="W323" i="1"/>
  <c r="W236" i="1"/>
  <c r="W316" i="1"/>
  <c r="W963" i="1"/>
  <c r="W589" i="1"/>
  <c r="W883" i="1"/>
  <c r="W735" i="1"/>
  <c r="W668" i="1"/>
  <c r="W231" i="1"/>
  <c r="W952" i="1"/>
  <c r="W959" i="1"/>
  <c r="W606" i="1"/>
  <c r="W46" i="1"/>
  <c r="W45" i="1"/>
  <c r="W36" i="1"/>
  <c r="W881" i="1"/>
  <c r="W867" i="1"/>
  <c r="W760" i="1"/>
  <c r="W679" i="1"/>
  <c r="W238" i="1"/>
  <c r="W208" i="1"/>
  <c r="W322" i="1"/>
  <c r="W214" i="1"/>
  <c r="W933" i="1"/>
  <c r="W943" i="1"/>
  <c r="W626" i="1"/>
  <c r="W615" i="1"/>
  <c r="W859" i="1"/>
  <c r="W872" i="1"/>
  <c r="W759" i="1"/>
  <c r="W961" i="1"/>
  <c r="W646" i="1"/>
  <c r="W324" i="1"/>
  <c r="W232" i="1"/>
  <c r="W319" i="1"/>
  <c r="W960" i="1"/>
  <c r="W613" i="1"/>
  <c r="W623" i="1"/>
  <c r="W878" i="1"/>
  <c r="W879" i="1"/>
  <c r="U124" i="1" l="1"/>
  <c r="U231" i="1"/>
  <c r="U315" i="1"/>
  <c r="U508" i="1"/>
  <c r="U68" i="1"/>
  <c r="U244" i="1"/>
  <c r="U303" i="1"/>
  <c r="U188" i="1"/>
  <c r="U297" i="1"/>
  <c r="U304" i="1"/>
  <c r="U192" i="1"/>
  <c r="U179" i="1"/>
  <c r="U301" i="1"/>
  <c r="U275" i="1"/>
  <c r="U285" i="1"/>
  <c r="U291" i="1"/>
  <c r="U294" i="1"/>
  <c r="U987" i="1"/>
  <c r="U989" i="1"/>
  <c r="U988" i="1"/>
  <c r="U67" i="1"/>
  <c r="U66" i="1"/>
  <c r="U146" i="1"/>
  <c r="U263" i="1"/>
  <c r="U368" i="1"/>
  <c r="U573" i="1"/>
  <c r="U267" i="1"/>
  <c r="U361" i="1"/>
  <c r="U363" i="1"/>
  <c r="U336" i="1"/>
  <c r="U571" i="1"/>
  <c r="U360" i="1"/>
  <c r="U272" i="1"/>
  <c r="U163" i="1"/>
  <c r="U193" i="1"/>
  <c r="U178" i="1"/>
  <c r="U200" i="1"/>
  <c r="U186" i="1"/>
  <c r="U201" i="1"/>
  <c r="U187" i="1"/>
  <c r="U413" i="1"/>
  <c r="U65" i="1"/>
  <c r="U164" i="1"/>
  <c r="U64" i="1"/>
  <c r="U366" i="1"/>
  <c r="U63" i="1"/>
  <c r="U62" i="1"/>
  <c r="U61" i="1"/>
  <c r="U221" i="1"/>
  <c r="U158" i="1"/>
  <c r="U345" i="1"/>
  <c r="U228" i="1"/>
  <c r="U60" i="1"/>
  <c r="U230" i="1"/>
  <c r="U174" i="1"/>
  <c r="U355" i="1"/>
  <c r="U59" i="1"/>
  <c r="U352" i="1"/>
  <c r="U309" i="1"/>
  <c r="U339" i="1"/>
  <c r="U534" i="1"/>
  <c r="U561" i="1"/>
  <c r="U569" i="1"/>
  <c r="U757" i="1"/>
  <c r="U761" i="1"/>
  <c r="U766" i="1"/>
  <c r="U755" i="1"/>
  <c r="U678" i="1"/>
  <c r="U662" i="1"/>
  <c r="U447" i="1"/>
  <c r="U405" i="1"/>
  <c r="U444" i="1"/>
  <c r="U412" i="1"/>
  <c r="U417" i="1"/>
  <c r="U855" i="1"/>
  <c r="U850" i="1"/>
  <c r="U856" i="1"/>
  <c r="U865" i="1"/>
  <c r="U845" i="1"/>
  <c r="U880" i="1"/>
  <c r="U869" i="1"/>
  <c r="U858" i="1"/>
  <c r="U888" i="1"/>
  <c r="U882" i="1"/>
  <c r="U622" i="1"/>
  <c r="U617" i="1"/>
  <c r="U629" i="1"/>
  <c r="U665" i="1"/>
  <c r="U660" i="1"/>
  <c r="U690" i="1"/>
  <c r="U765" i="1"/>
  <c r="U745" i="1"/>
  <c r="U746" i="1"/>
  <c r="U688" i="1"/>
  <c r="U677" i="1"/>
  <c r="U698" i="1"/>
  <c r="U527" i="1"/>
  <c r="U553" i="1"/>
  <c r="U590" i="1"/>
  <c r="U546" i="1"/>
  <c r="U582" i="1"/>
  <c r="U470" i="1"/>
  <c r="U587" i="1"/>
  <c r="U490" i="1"/>
  <c r="U58" i="1"/>
  <c r="U516" i="1"/>
  <c r="U528" i="1"/>
  <c r="U247" i="1"/>
  <c r="U409" i="1"/>
  <c r="U271" i="1"/>
  <c r="U452" i="1"/>
  <c r="U497" i="1"/>
  <c r="U531" i="1"/>
  <c r="U253" i="1"/>
  <c r="U479" i="1"/>
  <c r="U472" i="1"/>
  <c r="U520" i="1"/>
  <c r="U252" i="1"/>
  <c r="U474" i="1"/>
  <c r="U177" i="1"/>
  <c r="U449" i="1"/>
  <c r="U166" i="1"/>
  <c r="U537" i="1"/>
  <c r="U269" i="1"/>
  <c r="U424" i="1"/>
  <c r="U548" i="1"/>
  <c r="U57" i="1"/>
  <c r="U504" i="1"/>
  <c r="U507" i="1"/>
  <c r="U235" i="1"/>
  <c r="U443" i="1"/>
  <c r="U56" i="1"/>
  <c r="U184" i="1"/>
  <c r="U549" i="1"/>
  <c r="U575" i="1"/>
  <c r="U502" i="1"/>
  <c r="U283" i="1"/>
  <c r="U837" i="1"/>
  <c r="U815" i="1"/>
  <c r="U866" i="1"/>
  <c r="U853" i="1"/>
  <c r="U740" i="1"/>
  <c r="U739" i="1"/>
  <c r="U721" i="1"/>
  <c r="U731" i="1"/>
  <c r="U737" i="1"/>
  <c r="U725" i="1"/>
  <c r="U842" i="1"/>
  <c r="U844" i="1"/>
  <c r="U821" i="1"/>
  <c r="U787" i="1"/>
  <c r="U841" i="1"/>
  <c r="U899" i="1"/>
  <c r="U614" i="1"/>
  <c r="U652" i="1"/>
  <c r="U817" i="1"/>
  <c r="U630" i="1"/>
  <c r="U790" i="1"/>
  <c r="U596" i="1"/>
  <c r="U792" i="1"/>
  <c r="U592" i="1"/>
  <c r="U922" i="1"/>
  <c r="U826" i="1"/>
  <c r="U875" i="1"/>
  <c r="U786" i="1"/>
  <c r="U640" i="1"/>
  <c r="U814" i="1"/>
  <c r="U611" i="1"/>
  <c r="U916" i="1"/>
  <c r="U884" i="1"/>
  <c r="U612" i="1"/>
  <c r="U809" i="1"/>
  <c r="U642" i="1"/>
  <c r="U805" i="1"/>
  <c r="U643" i="1"/>
  <c r="U651" i="1"/>
  <c r="U894" i="1"/>
  <c r="U979" i="1"/>
  <c r="U933" i="1"/>
  <c r="U972" i="1"/>
  <c r="U982" i="1"/>
  <c r="U928" i="1"/>
  <c r="U901" i="1"/>
  <c r="U960" i="1"/>
  <c r="U963" i="1"/>
  <c r="U952" i="1"/>
  <c r="U978" i="1"/>
  <c r="U913" i="1"/>
  <c r="U900" i="1"/>
  <c r="U959" i="1"/>
  <c r="U943" i="1"/>
  <c r="U904" i="1"/>
  <c r="U907" i="1"/>
  <c r="U973" i="1"/>
  <c r="U892" i="1"/>
  <c r="U829" i="1"/>
  <c r="U797" i="1"/>
  <c r="U820" i="1"/>
  <c r="U807" i="1"/>
  <c r="U909" i="1"/>
  <c r="U822" i="1"/>
  <c r="U918" i="1"/>
  <c r="U823" i="1"/>
  <c r="U906" i="1"/>
  <c r="U910" i="1"/>
  <c r="U806" i="1"/>
  <c r="U430" i="1"/>
  <c r="U613" i="1"/>
  <c r="U501" i="1"/>
  <c r="U488" i="1"/>
  <c r="U626" i="1"/>
  <c r="U478" i="1"/>
  <c r="U895" i="1"/>
  <c r="U681" i="1"/>
  <c r="U667" i="1"/>
  <c r="U664" i="1"/>
  <c r="U54" i="1"/>
  <c r="U53" i="1"/>
  <c r="U52" i="1"/>
  <c r="U262" i="1"/>
  <c r="U342" i="1"/>
  <c r="U220" i="1"/>
  <c r="U51" i="1"/>
  <c r="U135" i="1"/>
  <c r="U23" i="1"/>
  <c r="U24" i="1"/>
  <c r="U25" i="1"/>
  <c r="U270" i="1"/>
  <c r="U129" i="1"/>
  <c r="U265" i="1"/>
  <c r="U136" i="1"/>
  <c r="U226" i="1"/>
  <c r="U274" i="1"/>
  <c r="U140" i="1"/>
  <c r="U233" i="1"/>
  <c r="U266" i="1"/>
  <c r="U128" i="1"/>
  <c r="U26" i="1"/>
  <c r="U27" i="1"/>
  <c r="U28" i="1"/>
  <c r="U250" i="1"/>
  <c r="U908" i="1"/>
  <c r="U867" i="1"/>
  <c r="U827" i="1"/>
  <c r="U887" i="1"/>
  <c r="U828" i="1"/>
  <c r="U843" i="1"/>
  <c r="U883" i="1"/>
  <c r="U879" i="1"/>
  <c r="U872" i="1"/>
  <c r="U881" i="1"/>
  <c r="U818" i="1"/>
  <c r="U878" i="1"/>
  <c r="U859" i="1"/>
  <c r="U851" i="1"/>
  <c r="U588" i="1"/>
  <c r="U437" i="1"/>
  <c r="U598" i="1"/>
  <c r="U422" i="1"/>
  <c r="U644" i="1"/>
  <c r="U586" i="1"/>
  <c r="U585" i="1"/>
  <c r="U591" i="1"/>
  <c r="U666" i="1"/>
  <c r="U29" i="1"/>
  <c r="U30" i="1"/>
  <c r="U31" i="1"/>
  <c r="U32" i="1"/>
  <c r="U421" i="1"/>
  <c r="U33" i="1"/>
  <c r="U341" i="1"/>
  <c r="U331" i="1"/>
  <c r="U34" i="1"/>
  <c r="U249" i="1"/>
  <c r="U255" i="1"/>
  <c r="U35" i="1"/>
  <c r="U282" i="1"/>
  <c r="U349" i="1"/>
  <c r="U36" i="1"/>
  <c r="U446" i="1"/>
  <c r="U37" i="1"/>
  <c r="U130" i="1"/>
  <c r="U295" i="1"/>
  <c r="U383" i="1"/>
  <c r="U545" i="1"/>
  <c r="U38" i="1"/>
  <c r="U39" i="1"/>
  <c r="U126" i="1"/>
  <c r="U40" i="1"/>
  <c r="U435" i="1"/>
  <c r="U41" i="1"/>
  <c r="U42" i="1"/>
  <c r="U43" i="1"/>
  <c r="U280" i="1"/>
  <c r="U44" i="1"/>
  <c r="U418" i="1"/>
  <c r="U380" i="1"/>
  <c r="U401" i="1"/>
  <c r="U45" i="1"/>
  <c r="U399" i="1"/>
  <c r="U338" i="1"/>
  <c r="U259" i="1"/>
  <c r="U46" i="1"/>
  <c r="U131" i="1"/>
  <c r="U375" i="1"/>
  <c r="U325" i="1"/>
  <c r="U442" i="1"/>
  <c r="U289" i="1"/>
  <c r="U370" i="1"/>
  <c r="U47" i="1"/>
  <c r="U290" i="1"/>
  <c r="U473" i="1"/>
  <c r="U48" i="1"/>
  <c r="U489" i="1"/>
  <c r="U49" i="1"/>
  <c r="U50" i="1"/>
  <c r="U20" i="1"/>
  <c r="U245" i="1"/>
  <c r="U19" i="1"/>
  <c r="U540" i="1"/>
  <c r="U567" i="1"/>
  <c r="U777" i="1"/>
  <c r="U526" i="1"/>
  <c r="U921" i="1"/>
  <c r="U641" i="1"/>
  <c r="U658" i="1"/>
  <c r="U656" i="1"/>
  <c r="U670" i="1"/>
  <c r="U653" i="1"/>
  <c r="T2" i="1"/>
  <c r="U2" i="1" s="1"/>
  <c r="U279" i="1"/>
  <c r="U243" i="1"/>
  <c r="U348" i="1"/>
  <c r="U22" i="1"/>
  <c r="U185" i="1"/>
  <c r="U242" i="1"/>
  <c r="U225" i="1"/>
  <c r="U241" i="1"/>
  <c r="U170" i="1"/>
  <c r="U180" i="1"/>
  <c r="U246" i="1"/>
  <c r="U161" i="1"/>
  <c r="U160" i="1"/>
  <c r="U134" i="1"/>
  <c r="U152" i="1"/>
  <c r="U144" i="1"/>
  <c r="U281" i="1"/>
  <c r="U288" i="1"/>
  <c r="U286" i="1"/>
  <c r="U284" i="1"/>
  <c r="U251" i="1"/>
  <c r="U264" i="1"/>
  <c r="U273" i="1"/>
  <c r="U293" i="1"/>
  <c r="U261" i="1"/>
  <c r="U337" i="1"/>
  <c r="U307" i="1"/>
  <c r="U278" i="1"/>
  <c r="U326" i="1"/>
  <c r="U190" i="1"/>
  <c r="U344" i="1"/>
  <c r="U277" i="1"/>
  <c r="U362" i="1"/>
  <c r="U510" i="1"/>
  <c r="U21" i="1"/>
  <c r="U379" i="1"/>
  <c r="U718" i="1"/>
  <c r="U704" i="1"/>
  <c r="U691" i="1"/>
  <c r="U941" i="1"/>
  <c r="U764" i="1"/>
  <c r="U469" i="1"/>
  <c r="U734" i="1"/>
  <c r="U661" i="1"/>
  <c r="U657" i="1"/>
  <c r="U650" i="1"/>
  <c r="U720" i="1"/>
  <c r="U719" i="1"/>
  <c r="U730" i="1"/>
  <c r="U723" i="1"/>
  <c r="U703" i="1"/>
  <c r="U710" i="1"/>
  <c r="U726" i="1"/>
  <c r="U981" i="1"/>
  <c r="U980" i="1"/>
  <c r="U976" i="1"/>
  <c r="U986" i="1"/>
  <c r="U985" i="1"/>
  <c r="U676" i="1"/>
  <c r="U929" i="1"/>
  <c r="U917" i="1"/>
  <c r="U944" i="1"/>
  <c r="U905" i="1"/>
  <c r="U951" i="1"/>
  <c r="U687" i="1"/>
  <c r="U935" i="1"/>
  <c r="U654" i="1"/>
  <c r="U744" i="1"/>
  <c r="U729" i="1"/>
  <c r="U741" i="1"/>
  <c r="U738" i="1"/>
  <c r="U759" i="1"/>
  <c r="U760" i="1"/>
  <c r="U735" i="1"/>
  <c r="U356" i="1"/>
  <c r="U357" i="1"/>
  <c r="U340" i="1"/>
  <c r="U330" i="1"/>
  <c r="U306" i="1"/>
  <c r="U347" i="1"/>
  <c r="U351" i="1"/>
  <c r="U3" i="1"/>
  <c r="U4" i="1"/>
  <c r="U5" i="1"/>
  <c r="U6" i="1"/>
  <c r="U555" i="1"/>
  <c r="U441" i="1"/>
  <c r="U240" i="1"/>
  <c r="U378" i="1"/>
  <c r="U7" i="1"/>
  <c r="U224" i="1"/>
  <c r="U8" i="1"/>
  <c r="U568" i="1"/>
  <c r="U358" i="1"/>
  <c r="U9" i="1"/>
  <c r="U514" i="1"/>
  <c r="U10" i="1"/>
  <c r="U218" i="1"/>
  <c r="U11" i="1"/>
  <c r="U12" i="1"/>
  <c r="U552" i="1"/>
  <c r="U376" i="1"/>
  <c r="U465" i="1"/>
  <c r="U13" i="1"/>
  <c r="U365" i="1"/>
  <c r="U14" i="1"/>
  <c r="U15" i="1"/>
  <c r="U210" i="1"/>
  <c r="U529" i="1"/>
  <c r="U16" i="1"/>
  <c r="U17" i="1"/>
  <c r="U257" i="1"/>
  <c r="U454" i="1"/>
  <c r="U419" i="1"/>
  <c r="U219" i="1"/>
  <c r="U428" i="1"/>
  <c r="U18" i="1"/>
  <c r="U816" i="1"/>
  <c r="U782" i="1"/>
  <c r="U795" i="1"/>
  <c r="U830" i="1"/>
  <c r="U796" i="1"/>
  <c r="U780" i="1"/>
  <c r="U811" i="1"/>
  <c r="U773" i="1"/>
  <c r="U983" i="1"/>
  <c r="U874" i="1"/>
  <c r="U861" i="1"/>
  <c r="U873" i="1"/>
  <c r="U984" i="1"/>
  <c r="U977" i="1"/>
  <c r="U854" i="1"/>
  <c r="U868" i="1"/>
  <c r="U581" i="1"/>
  <c r="U584" i="1"/>
  <c r="U912" i="1"/>
  <c r="U752" i="1"/>
  <c r="U893" i="1"/>
  <c r="U756" i="1"/>
  <c r="U926" i="1"/>
  <c r="U763" i="1"/>
  <c r="U743" i="1"/>
  <c r="U732" i="1"/>
  <c r="U903" i="1"/>
  <c r="U689" i="1"/>
  <c r="U619" i="1"/>
  <c r="U610" i="1"/>
  <c r="U621" i="1"/>
  <c r="U769" i="1"/>
  <c r="U605" i="1"/>
  <c r="U359" i="1"/>
  <c r="U685" i="1"/>
  <c r="U597" i="1"/>
  <c r="U602" i="1"/>
  <c r="U628" i="1"/>
  <c r="U709" i="1"/>
  <c r="U702" i="1"/>
  <c r="U779" i="1"/>
  <c r="U889" i="1"/>
  <c r="U775" i="1"/>
  <c r="U625" i="1"/>
  <c r="U886" i="1"/>
  <c r="U603" i="1"/>
  <c r="U772" i="1"/>
  <c r="U914" i="1"/>
  <c r="U754" i="1"/>
  <c r="U774" i="1"/>
  <c r="U268" i="1"/>
  <c r="U566" i="1"/>
  <c r="U506" i="1"/>
  <c r="U565" i="1"/>
  <c r="U539" i="1"/>
  <c r="U579" i="1"/>
  <c r="U558" i="1"/>
  <c r="U532" i="1"/>
  <c r="U535" i="1"/>
  <c r="U560" i="1"/>
  <c r="U618" i="1"/>
  <c r="U600" i="1"/>
  <c r="U620" i="1"/>
  <c r="U616" i="1"/>
  <c r="U639" i="1"/>
  <c r="U599" i="1"/>
  <c r="U594" i="1"/>
  <c r="U615" i="1"/>
  <c r="U606" i="1"/>
  <c r="U589" i="1"/>
  <c r="U623" i="1"/>
  <c r="U831" i="1"/>
  <c r="U819" i="1"/>
  <c r="U864" i="1"/>
  <c r="U834" i="1"/>
  <c r="U55" i="1"/>
  <c r="U577" i="1"/>
  <c r="U574" i="1"/>
  <c r="U312" i="1"/>
  <c r="U147" i="1"/>
  <c r="U69" i="1"/>
  <c r="U143" i="1"/>
  <c r="U491" i="1"/>
  <c r="U216" i="1"/>
  <c r="U70" i="1"/>
  <c r="U524" i="1"/>
  <c r="U71" i="1"/>
  <c r="U227" i="1"/>
  <c r="U141" i="1"/>
  <c r="U300" i="1"/>
  <c r="U415" i="1"/>
  <c r="U572" i="1"/>
  <c r="U212" i="1"/>
  <c r="U72" i="1"/>
  <c r="U292" i="1"/>
  <c r="U550" i="1"/>
  <c r="U468" i="1"/>
  <c r="U197" i="1"/>
  <c r="U213" i="1"/>
  <c r="U73" i="1"/>
  <c r="U205" i="1"/>
  <c r="U467" i="1"/>
  <c r="U438" i="1"/>
  <c r="U74" i="1"/>
  <c r="U583" i="1"/>
  <c r="U556" i="1"/>
  <c r="U206" i="1"/>
  <c r="U287" i="1"/>
  <c r="U75" i="1"/>
  <c r="U329" i="1"/>
  <c r="U236" i="1"/>
  <c r="U154" i="1"/>
  <c r="U404" i="1"/>
  <c r="U234" i="1"/>
  <c r="U145" i="1"/>
  <c r="U214" i="1"/>
  <c r="U343" i="1"/>
  <c r="U505" i="1"/>
  <c r="U391" i="1"/>
  <c r="U346" i="1"/>
  <c r="U148" i="1"/>
  <c r="U76" i="1"/>
  <c r="U137" i="1"/>
  <c r="U496" i="1"/>
  <c r="U153" i="1"/>
  <c r="U525" i="1"/>
  <c r="U77" i="1"/>
  <c r="U551" i="1"/>
  <c r="U207" i="1"/>
  <c r="U78" i="1"/>
  <c r="U511" i="1"/>
  <c r="U198" i="1"/>
  <c r="U232" i="1"/>
  <c r="U79" i="1"/>
  <c r="U254" i="1"/>
  <c r="U149" i="1"/>
  <c r="U142" i="1"/>
  <c r="U208" i="1"/>
  <c r="U327" i="1"/>
  <c r="U80" i="1"/>
  <c r="U429" i="1"/>
  <c r="U238" i="1"/>
  <c r="U203" i="1"/>
  <c r="U305" i="1"/>
  <c r="U150" i="1"/>
  <c r="U543" i="1"/>
  <c r="U81" i="1"/>
  <c r="U132" i="1"/>
  <c r="U608" i="1"/>
  <c r="U420" i="1"/>
  <c r="U256" i="1"/>
  <c r="U398" i="1"/>
  <c r="U237" i="1"/>
  <c r="U400" i="1"/>
  <c r="U410" i="1"/>
  <c r="U258" i="1"/>
  <c r="U434" i="1"/>
  <c r="U82" i="1"/>
  <c r="U83" i="1"/>
  <c r="U84" i="1"/>
  <c r="U402" i="1"/>
  <c r="U475" i="1"/>
  <c r="U485" i="1"/>
  <c r="U440" i="1"/>
  <c r="U486" i="1"/>
  <c r="U432" i="1"/>
  <c r="U450" i="1"/>
  <c r="U503" i="1"/>
  <c r="U480" i="1"/>
  <c r="U483" i="1"/>
  <c r="U492" i="1"/>
  <c r="U85" i="1"/>
  <c r="U239" i="1"/>
  <c r="U157" i="1"/>
  <c r="U86" i="1"/>
  <c r="U181" i="1"/>
  <c r="U189" i="1"/>
  <c r="U87" i="1"/>
  <c r="U88" i="1"/>
  <c r="U89" i="1"/>
  <c r="U155" i="1"/>
  <c r="U171" i="1"/>
  <c r="U90" i="1"/>
  <c r="U209" i="1"/>
  <c r="U91" i="1"/>
  <c r="U92" i="1"/>
  <c r="U793" i="1"/>
  <c r="U863" i="1"/>
  <c r="U451" i="1"/>
  <c r="U800" i="1"/>
  <c r="U862" i="1"/>
  <c r="U436" i="1"/>
  <c r="U476" i="1"/>
  <c r="U849" i="1"/>
  <c r="U781" i="1"/>
  <c r="U785" i="1"/>
  <c r="U607" i="1"/>
  <c r="U847" i="1"/>
  <c r="U601" i="1"/>
  <c r="U838" i="1"/>
  <c r="U835" i="1"/>
  <c r="U172" i="1"/>
  <c r="U162" i="1"/>
  <c r="U156" i="1"/>
  <c r="U175" i="1"/>
  <c r="U173" i="1"/>
  <c r="U182" i="1"/>
  <c r="U168" i="1"/>
  <c r="U183" i="1"/>
  <c r="U276" i="1"/>
  <c r="U93" i="1"/>
  <c r="U390" i="1"/>
  <c r="U384" i="1"/>
  <c r="U742" i="1"/>
  <c r="U377" i="1"/>
  <c r="U94" i="1"/>
  <c r="U403" i="1"/>
  <c r="U387" i="1"/>
  <c r="U95" i="1"/>
  <c r="U96" i="1"/>
  <c r="U930" i="1"/>
  <c r="U927" i="1"/>
  <c r="U938" i="1"/>
  <c r="U97" i="1"/>
  <c r="U98" i="1"/>
  <c r="U99" i="1"/>
  <c r="U518" i="1"/>
  <c r="U448" i="1"/>
  <c r="U493" i="1"/>
  <c r="U199" i="1"/>
  <c r="U260" i="1"/>
  <c r="U536" i="1"/>
  <c r="U133" i="1"/>
  <c r="U554" i="1"/>
  <c r="U388" i="1"/>
  <c r="U100" i="1"/>
  <c r="U127" i="1"/>
  <c r="U494" i="1"/>
  <c r="U466" i="1"/>
  <c r="U416" i="1"/>
  <c r="U513" i="1"/>
  <c r="U204" i="1"/>
  <c r="U431" i="1"/>
  <c r="U101" i="1"/>
  <c r="U222" i="1"/>
  <c r="U515" i="1"/>
  <c r="U138" i="1"/>
  <c r="U385" i="1"/>
  <c r="U563" i="1"/>
  <c r="U522" i="1"/>
  <c r="U439" i="1"/>
  <c r="U102" i="1"/>
  <c r="U103" i="1"/>
  <c r="U544" i="1"/>
  <c r="U104" i="1"/>
  <c r="U105" i="1"/>
  <c r="U106" i="1"/>
  <c r="U107" i="1"/>
  <c r="U108" i="1"/>
  <c r="U217" i="1"/>
  <c r="U223" i="1"/>
  <c r="U194" i="1"/>
  <c r="U248" i="1"/>
  <c r="U923" i="1"/>
  <c r="U202" i="1"/>
  <c r="U229" i="1"/>
  <c r="U557" i="1"/>
  <c r="U562" i="1"/>
  <c r="U564" i="1"/>
  <c r="U570" i="1"/>
  <c r="U604" i="1"/>
  <c r="U364" i="1"/>
  <c r="U920" i="1"/>
  <c r="U593" i="1"/>
  <c r="U911" i="1"/>
  <c r="U371" i="1"/>
  <c r="U580" i="1"/>
  <c r="U924" i="1"/>
  <c r="U945" i="1"/>
  <c r="U389" i="1"/>
  <c r="U484" i="1"/>
  <c r="U393" i="1"/>
  <c r="U382" i="1"/>
  <c r="U406" i="1"/>
  <c r="U392" i="1"/>
  <c r="U487" i="1"/>
  <c r="U804" i="1"/>
  <c r="U801" i="1"/>
  <c r="U803" i="1"/>
  <c r="U799" i="1"/>
  <c r="U668" i="1"/>
  <c r="U675" i="1"/>
  <c r="U646" i="1"/>
  <c r="U679" i="1"/>
  <c r="U411" i="1"/>
  <c r="U425" i="1"/>
  <c r="U541" i="1"/>
  <c r="U810" i="1"/>
  <c r="U833" i="1"/>
  <c r="U824" i="1"/>
  <c r="U852" i="1"/>
  <c r="U812" i="1"/>
  <c r="U825" i="1"/>
  <c r="U947" i="1"/>
  <c r="U648" i="1"/>
  <c r="U940" i="1"/>
  <c r="U633" i="1"/>
  <c r="U714" i="1"/>
  <c r="U891" i="1"/>
  <c r="U885" i="1"/>
  <c r="U722" i="1"/>
  <c r="U902" i="1"/>
  <c r="U707" i="1"/>
  <c r="U890" i="1"/>
  <c r="U705" i="1"/>
  <c r="U877" i="1"/>
  <c r="U727" i="1"/>
  <c r="U728" i="1"/>
  <c r="U876" i="1"/>
  <c r="U968" i="1"/>
  <c r="U970" i="1"/>
  <c r="U974" i="1"/>
  <c r="U956" i="1"/>
  <c r="U962" i="1"/>
  <c r="U637" i="1"/>
  <c r="U663" i="1"/>
  <c r="U659" i="1"/>
  <c r="U635" i="1"/>
  <c r="U647" i="1"/>
  <c r="U638" i="1"/>
  <c r="U636" i="1"/>
  <c r="U634" i="1"/>
  <c r="U937" i="1"/>
  <c r="U627" i="1"/>
  <c r="U645" i="1"/>
  <c r="U957" i="1"/>
  <c r="U953" i="1"/>
  <c r="U950" i="1"/>
  <c r="U624" i="1"/>
  <c r="U655" i="1"/>
  <c r="U919" i="1"/>
  <c r="U632" i="1"/>
  <c r="U674" i="1"/>
  <c r="U948" i="1"/>
  <c r="U958" i="1"/>
  <c r="U949" i="1"/>
  <c r="U932" i="1"/>
  <c r="U609" i="1"/>
  <c r="U839" i="1"/>
  <c r="U538" i="1"/>
  <c r="U521" i="1"/>
  <c r="U631" i="1"/>
  <c r="U693" i="1"/>
  <c r="U686" i="1"/>
  <c r="U964" i="1"/>
  <c r="U971" i="1"/>
  <c r="U967" i="1"/>
  <c r="U942" i="1"/>
  <c r="U498" i="1"/>
  <c r="U495" i="1"/>
  <c r="U481" i="1"/>
  <c r="U445" i="1"/>
  <c r="U407" i="1"/>
  <c r="U813" i="1"/>
  <c r="U770" i="1"/>
  <c r="U697" i="1"/>
  <c r="U966" i="1"/>
  <c r="U939" i="1"/>
  <c r="U836" i="1"/>
  <c r="U946" i="1"/>
  <c r="U694" i="1"/>
  <c r="U931" i="1"/>
  <c r="U871" i="1"/>
  <c r="U794" i="1"/>
  <c r="U669" i="1"/>
  <c r="U778" i="1"/>
  <c r="U955" i="1"/>
  <c r="U808" i="1"/>
  <c r="U776" i="1"/>
  <c r="U915" i="1"/>
  <c r="U925" i="1"/>
  <c r="U700" i="1"/>
  <c r="U682" i="1"/>
  <c r="U708" i="1"/>
  <c r="U680" i="1"/>
  <c r="U695" i="1"/>
  <c r="U699" i="1"/>
  <c r="U683" i="1"/>
  <c r="U523" i="1"/>
  <c r="U471" i="1"/>
  <c r="U547" i="1"/>
  <c r="U533" i="1"/>
  <c r="U311" i="1"/>
  <c r="U308" i="1"/>
  <c r="U298" i="1"/>
  <c r="U414" i="1"/>
  <c r="U112" i="1"/>
  <c r="U196" i="1"/>
  <c r="U159" i="1"/>
  <c r="U195" i="1"/>
  <c r="U113" i="1"/>
  <c r="U114" i="1"/>
  <c r="U191" i="1"/>
  <c r="U115" i="1"/>
  <c r="U433" i="1"/>
  <c r="U167" i="1"/>
  <c r="U176" i="1"/>
  <c r="U211" i="1"/>
  <c r="U116" i="1"/>
  <c r="U408" i="1"/>
  <c r="U117" i="1"/>
  <c r="U118" i="1"/>
  <c r="U165" i="1"/>
  <c r="U119" i="1"/>
  <c r="U120" i="1"/>
  <c r="U121" i="1"/>
  <c r="U215" i="1"/>
  <c r="U783" i="1"/>
  <c r="U791" i="1"/>
  <c r="U788" i="1"/>
  <c r="U848" i="1"/>
  <c r="U857" i="1"/>
  <c r="U860" i="1"/>
  <c r="U840" i="1"/>
  <c r="U122" i="1"/>
  <c r="U123" i="1"/>
  <c r="U517" i="1"/>
  <c r="U464" i="1"/>
  <c r="U477" i="1"/>
  <c r="U509" i="1"/>
  <c r="U530" i="1"/>
  <c r="U712" i="1"/>
  <c r="U706" i="1"/>
  <c r="U798" i="1"/>
  <c r="U758" i="1"/>
  <c r="U711" i="1"/>
  <c r="U724" i="1"/>
  <c r="U771" i="1"/>
  <c r="U696" i="1"/>
  <c r="U701" i="1"/>
  <c r="U784" i="1"/>
  <c r="U802" i="1"/>
  <c r="U736" i="1"/>
  <c r="U789" i="1"/>
  <c r="U762" i="1"/>
  <c r="U733" i="1"/>
  <c r="U753" i="1"/>
  <c r="U716" i="1"/>
  <c r="U751" i="1"/>
  <c r="U713" i="1"/>
  <c r="U954" i="1"/>
  <c r="U965" i="1"/>
  <c r="U936" i="1"/>
  <c r="U934" i="1"/>
  <c r="U500" i="1"/>
  <c r="U542" i="1"/>
  <c r="U499" i="1"/>
  <c r="U482" i="1"/>
  <c r="U512" i="1"/>
  <c r="U519" i="1"/>
  <c r="U717" i="1"/>
  <c r="U386" i="1"/>
  <c r="U151" i="1"/>
  <c r="U354" i="1"/>
  <c r="U310" i="1"/>
  <c r="U427" i="1"/>
  <c r="U684" i="1"/>
  <c r="U426" i="1"/>
  <c r="U559" i="1"/>
  <c r="U870" i="1"/>
  <c r="U576" i="1"/>
  <c r="U328" i="1"/>
  <c r="U969" i="1"/>
  <c r="U313" i="1"/>
  <c r="U961" i="1"/>
  <c r="U372" i="1"/>
  <c r="U595" i="1"/>
  <c r="U649" i="1"/>
  <c r="U314" i="1"/>
  <c r="U299" i="1"/>
  <c r="U381" i="1"/>
  <c r="U367" i="1"/>
  <c r="U423" i="1"/>
  <c r="U374" i="1"/>
  <c r="U832" i="1"/>
  <c r="U169" i="1"/>
  <c r="U453" i="1"/>
  <c r="U692" i="1"/>
  <c r="U369" i="1"/>
  <c r="U302" i="1"/>
  <c r="U139" i="1"/>
  <c r="U578" i="1"/>
  <c r="U715" i="1"/>
  <c r="U350" i="1"/>
  <c r="U296" i="1"/>
  <c r="U397" i="1"/>
  <c r="U846" i="1"/>
  <c r="U353" i="1"/>
  <c r="U373" i="1"/>
  <c r="U975" i="1"/>
  <c r="T455" i="1"/>
  <c r="T653" i="1"/>
  <c r="T670" i="1"/>
  <c r="T656" i="1"/>
  <c r="T658" i="1"/>
  <c r="T641" i="1"/>
  <c r="T921" i="1"/>
  <c r="T526" i="1"/>
  <c r="T777" i="1"/>
  <c r="T567" i="1"/>
  <c r="T767" i="1"/>
  <c r="T718" i="1"/>
  <c r="T704" i="1"/>
  <c r="T691" i="1"/>
  <c r="T768" i="1"/>
  <c r="T941" i="1"/>
  <c r="T764" i="1"/>
  <c r="T469" i="1"/>
  <c r="T734" i="1"/>
  <c r="T661" i="1"/>
  <c r="T657" i="1"/>
  <c r="T650" i="1"/>
  <c r="T720" i="1"/>
  <c r="T719" i="1"/>
  <c r="T730" i="1"/>
  <c r="T723" i="1"/>
  <c r="T703" i="1"/>
  <c r="T710" i="1"/>
  <c r="T726" i="1"/>
  <c r="T981" i="1"/>
  <c r="T980" i="1"/>
  <c r="T976" i="1"/>
  <c r="T986" i="1"/>
  <c r="T985" i="1"/>
  <c r="T676" i="1"/>
  <c r="T929" i="1"/>
  <c r="T917" i="1"/>
  <c r="T944" i="1"/>
  <c r="T905" i="1"/>
  <c r="T951" i="1"/>
  <c r="T687" i="1"/>
  <c r="T935" i="1"/>
  <c r="T654" i="1"/>
  <c r="T744" i="1"/>
  <c r="T729" i="1"/>
  <c r="T741" i="1"/>
  <c r="T738" i="1"/>
  <c r="T759" i="1"/>
  <c r="T760" i="1"/>
  <c r="T735" i="1"/>
  <c r="T356" i="1"/>
  <c r="T357" i="1"/>
  <c r="T340" i="1"/>
  <c r="T330" i="1"/>
  <c r="T306" i="1"/>
  <c r="T347" i="1"/>
  <c r="T351" i="1"/>
  <c r="T3" i="1"/>
  <c r="T4" i="1"/>
  <c r="T5" i="1"/>
  <c r="T6" i="1"/>
  <c r="T555" i="1"/>
  <c r="T441" i="1"/>
  <c r="T240" i="1"/>
  <c r="T332" i="1"/>
  <c r="T378" i="1"/>
  <c r="T7" i="1"/>
  <c r="T224" i="1"/>
  <c r="T8" i="1"/>
  <c r="T568" i="1"/>
  <c r="T358" i="1"/>
  <c r="T9" i="1"/>
  <c r="T514" i="1"/>
  <c r="T10" i="1"/>
  <c r="T218" i="1"/>
  <c r="T11" i="1"/>
  <c r="T333" i="1"/>
  <c r="T12" i="1"/>
  <c r="T552" i="1"/>
  <c r="T376" i="1"/>
  <c r="T465" i="1"/>
  <c r="T13" i="1"/>
  <c r="T365" i="1"/>
  <c r="T14" i="1"/>
  <c r="T15" i="1"/>
  <c r="T210" i="1"/>
  <c r="T529" i="1"/>
  <c r="T16" i="1"/>
  <c r="T17" i="1"/>
  <c r="T257" i="1"/>
  <c r="T454" i="1"/>
  <c r="T419" i="1"/>
  <c r="T219" i="1"/>
  <c r="T428" i="1"/>
  <c r="T18" i="1"/>
  <c r="T334" i="1"/>
  <c r="T540" i="1"/>
  <c r="T19" i="1"/>
  <c r="T245" i="1"/>
  <c r="T20" i="1"/>
  <c r="T335" i="1"/>
  <c r="T379" i="1"/>
  <c r="T21" i="1"/>
  <c r="T510" i="1"/>
  <c r="T362" i="1"/>
  <c r="T277" i="1"/>
  <c r="T344" i="1"/>
  <c r="T190" i="1"/>
  <c r="T326" i="1"/>
  <c r="T278" i="1"/>
  <c r="T307" i="1"/>
  <c r="T337" i="1"/>
  <c r="T261" i="1"/>
  <c r="T293" i="1"/>
  <c r="T273" i="1"/>
  <c r="T264" i="1"/>
  <c r="T251" i="1"/>
  <c r="T284" i="1"/>
  <c r="T286" i="1"/>
  <c r="T288" i="1"/>
  <c r="T281" i="1"/>
  <c r="T144" i="1"/>
  <c r="T152" i="1"/>
  <c r="T134" i="1"/>
  <c r="T160" i="1"/>
  <c r="T161" i="1"/>
  <c r="T246" i="1"/>
  <c r="T180" i="1"/>
  <c r="T170" i="1"/>
  <c r="T241" i="1"/>
  <c r="T225" i="1"/>
  <c r="T242" i="1"/>
  <c r="T185" i="1"/>
  <c r="T22" i="1"/>
  <c r="T348" i="1"/>
  <c r="T243" i="1"/>
  <c r="T279" i="1"/>
  <c r="T135" i="1"/>
  <c r="T23" i="1"/>
  <c r="T24" i="1"/>
  <c r="T25" i="1"/>
  <c r="T270" i="1"/>
  <c r="T129" i="1"/>
  <c r="T265" i="1"/>
  <c r="T136" i="1"/>
  <c r="T226" i="1"/>
  <c r="T274" i="1"/>
  <c r="T140" i="1"/>
  <c r="T233" i="1"/>
  <c r="T266" i="1"/>
  <c r="T128" i="1"/>
  <c r="T26" i="1"/>
  <c r="T27" i="1"/>
  <c r="T28" i="1"/>
  <c r="T250" i="1"/>
  <c r="T908" i="1"/>
  <c r="T867" i="1"/>
  <c r="T827" i="1"/>
  <c r="T887" i="1"/>
  <c r="T828" i="1"/>
  <c r="T843" i="1"/>
  <c r="T883" i="1"/>
  <c r="T879" i="1"/>
  <c r="T872" i="1"/>
  <c r="T881" i="1"/>
  <c r="T818" i="1"/>
  <c r="T878" i="1"/>
  <c r="T859" i="1"/>
  <c r="T851" i="1"/>
  <c r="T588" i="1"/>
  <c r="T437" i="1"/>
  <c r="T598" i="1"/>
  <c r="T422" i="1"/>
  <c r="T644" i="1"/>
  <c r="T586" i="1"/>
  <c r="T585" i="1"/>
  <c r="T591" i="1"/>
  <c r="T666" i="1"/>
  <c r="T29" i="1"/>
  <c r="T30" i="1"/>
  <c r="T31" i="1"/>
  <c r="T32" i="1"/>
  <c r="T421" i="1"/>
  <c r="T33" i="1"/>
  <c r="T341" i="1"/>
  <c r="T331" i="1"/>
  <c r="T34" i="1"/>
  <c r="T249" i="1"/>
  <c r="T255" i="1"/>
  <c r="T35" i="1"/>
  <c r="T282" i="1"/>
  <c r="T349" i="1"/>
  <c r="T36" i="1"/>
  <c r="T446" i="1"/>
  <c r="T37" i="1"/>
  <c r="T130" i="1"/>
  <c r="T295" i="1"/>
  <c r="T383" i="1"/>
  <c r="T545" i="1"/>
  <c r="T38" i="1"/>
  <c r="T39" i="1"/>
  <c r="T126" i="1"/>
  <c r="T40" i="1"/>
  <c r="T435" i="1"/>
  <c r="T41" i="1"/>
  <c r="T42" i="1"/>
  <c r="T43" i="1"/>
  <c r="T280" i="1"/>
  <c r="T44" i="1"/>
  <c r="T418" i="1"/>
  <c r="T380" i="1"/>
  <c r="T401" i="1"/>
  <c r="T45" i="1"/>
  <c r="T399" i="1"/>
  <c r="T338" i="1"/>
  <c r="T259" i="1"/>
  <c r="T46" i="1"/>
  <c r="T131" i="1"/>
  <c r="T375" i="1"/>
  <c r="T325" i="1"/>
  <c r="T442" i="1"/>
  <c r="T289" i="1"/>
  <c r="T370" i="1"/>
  <c r="T47" i="1"/>
  <c r="T290" i="1"/>
  <c r="T473" i="1"/>
  <c r="T48" i="1"/>
  <c r="T489" i="1"/>
  <c r="T49" i="1"/>
  <c r="T50" i="1"/>
  <c r="T51" i="1"/>
  <c r="T220" i="1"/>
  <c r="T342" i="1"/>
  <c r="T262" i="1"/>
  <c r="T52" i="1"/>
  <c r="T53" i="1"/>
  <c r="T54" i="1"/>
  <c r="T664" i="1"/>
  <c r="T667" i="1"/>
  <c r="T681" i="1"/>
  <c r="T895" i="1"/>
  <c r="T896" i="1"/>
  <c r="T897" i="1"/>
  <c r="T898" i="1"/>
  <c r="T816" i="1"/>
  <c r="T782" i="1"/>
  <c r="T795" i="1"/>
  <c r="T830" i="1"/>
  <c r="T796" i="1"/>
  <c r="T780" i="1"/>
  <c r="T811" i="1"/>
  <c r="T773" i="1"/>
  <c r="T983" i="1"/>
  <c r="T874" i="1"/>
  <c r="T861" i="1"/>
  <c r="T873" i="1"/>
  <c r="T984" i="1"/>
  <c r="T977" i="1"/>
  <c r="T854" i="1"/>
  <c r="T868" i="1"/>
  <c r="T581" i="1"/>
  <c r="T584" i="1"/>
  <c r="T912" i="1"/>
  <c r="T752" i="1"/>
  <c r="T893" i="1"/>
  <c r="T756" i="1"/>
  <c r="T926" i="1"/>
  <c r="T763" i="1"/>
  <c r="T743" i="1"/>
  <c r="T732" i="1"/>
  <c r="T903" i="1"/>
  <c r="T689" i="1"/>
  <c r="T619" i="1"/>
  <c r="T610" i="1"/>
  <c r="T621" i="1"/>
  <c r="T769" i="1"/>
  <c r="T605" i="1"/>
  <c r="T359" i="1"/>
  <c r="T685" i="1"/>
  <c r="T597" i="1"/>
  <c r="T602" i="1"/>
  <c r="T628" i="1"/>
  <c r="T709" i="1"/>
  <c r="T702" i="1"/>
  <c r="T779" i="1"/>
  <c r="T889" i="1"/>
  <c r="T775" i="1"/>
  <c r="T625" i="1"/>
  <c r="T886" i="1"/>
  <c r="T603" i="1"/>
  <c r="T772" i="1"/>
  <c r="T914" i="1"/>
  <c r="T754" i="1"/>
  <c r="T774" i="1"/>
  <c r="T268" i="1"/>
  <c r="T566" i="1"/>
  <c r="T506" i="1"/>
  <c r="T565" i="1"/>
  <c r="T539" i="1"/>
  <c r="T579" i="1"/>
  <c r="T558" i="1"/>
  <c r="T532" i="1"/>
  <c r="T535" i="1"/>
  <c r="T560" i="1"/>
  <c r="T618" i="1"/>
  <c r="T600" i="1"/>
  <c r="T620" i="1"/>
  <c r="T616" i="1"/>
  <c r="T639" i="1"/>
  <c r="T599" i="1"/>
  <c r="T594" i="1"/>
  <c r="T615" i="1"/>
  <c r="T606" i="1"/>
  <c r="T589" i="1"/>
  <c r="T623" i="1"/>
  <c r="T831" i="1"/>
  <c r="T819" i="1"/>
  <c r="T864" i="1"/>
  <c r="T834" i="1"/>
  <c r="T55" i="1"/>
  <c r="T456" i="1"/>
  <c r="T457" i="1"/>
  <c r="T458" i="1"/>
  <c r="T459" i="1"/>
  <c r="T460" i="1"/>
  <c r="T461" i="1"/>
  <c r="T577" i="1"/>
  <c r="T462" i="1"/>
  <c r="T574" i="1"/>
  <c r="T463" i="1"/>
  <c r="T478" i="1"/>
  <c r="T626" i="1"/>
  <c r="T488" i="1"/>
  <c r="T501" i="1"/>
  <c r="T613" i="1"/>
  <c r="T430" i="1"/>
  <c r="T806" i="1"/>
  <c r="T910" i="1"/>
  <c r="T906" i="1"/>
  <c r="T823" i="1"/>
  <c r="T918" i="1"/>
  <c r="T822" i="1"/>
  <c r="T909" i="1"/>
  <c r="T807" i="1"/>
  <c r="T820" i="1"/>
  <c r="T797" i="1"/>
  <c r="T829" i="1"/>
  <c r="T892" i="1"/>
  <c r="T973" i="1"/>
  <c r="T907" i="1"/>
  <c r="T904" i="1"/>
  <c r="T943" i="1"/>
  <c r="T959" i="1"/>
  <c r="T900" i="1"/>
  <c r="T913" i="1"/>
  <c r="T978" i="1"/>
  <c r="T952" i="1"/>
  <c r="T963" i="1"/>
  <c r="T960" i="1"/>
  <c r="T901" i="1"/>
  <c r="T928" i="1"/>
  <c r="T982" i="1"/>
  <c r="T972" i="1"/>
  <c r="T933" i="1"/>
  <c r="T979" i="1"/>
  <c r="T894" i="1"/>
  <c r="T651" i="1"/>
  <c r="T643" i="1"/>
  <c r="T805" i="1"/>
  <c r="T642" i="1"/>
  <c r="T809" i="1"/>
  <c r="T612" i="1"/>
  <c r="T884" i="1"/>
  <c r="T916" i="1"/>
  <c r="T611" i="1"/>
  <c r="T814" i="1"/>
  <c r="T640" i="1"/>
  <c r="T786" i="1"/>
  <c r="T875" i="1"/>
  <c r="T826" i="1"/>
  <c r="T922" i="1"/>
  <c r="T592" i="1"/>
  <c r="T792" i="1"/>
  <c r="T596" i="1"/>
  <c r="T790" i="1"/>
  <c r="T630" i="1"/>
  <c r="T817" i="1"/>
  <c r="T652" i="1"/>
  <c r="T614" i="1"/>
  <c r="T899" i="1"/>
  <c r="T841" i="1"/>
  <c r="T787" i="1"/>
  <c r="T821" i="1"/>
  <c r="T844" i="1"/>
  <c r="T842" i="1"/>
  <c r="T725" i="1"/>
  <c r="T737" i="1"/>
  <c r="T731" i="1"/>
  <c r="T721" i="1"/>
  <c r="T739" i="1"/>
  <c r="T740" i="1"/>
  <c r="T853" i="1"/>
  <c r="T866" i="1"/>
  <c r="T815" i="1"/>
  <c r="T837" i="1"/>
  <c r="T283" i="1"/>
  <c r="T502" i="1"/>
  <c r="T575" i="1"/>
  <c r="T549" i="1"/>
  <c r="T184" i="1"/>
  <c r="T56" i="1"/>
  <c r="T443" i="1"/>
  <c r="T235" i="1"/>
  <c r="T507" i="1"/>
  <c r="T504" i="1"/>
  <c r="T57" i="1"/>
  <c r="T548" i="1"/>
  <c r="T424" i="1"/>
  <c r="T269" i="1"/>
  <c r="T537" i="1"/>
  <c r="T166" i="1"/>
  <c r="T449" i="1"/>
  <c r="T177" i="1"/>
  <c r="T474" i="1"/>
  <c r="T252" i="1"/>
  <c r="T520" i="1"/>
  <c r="T472" i="1"/>
  <c r="T479" i="1"/>
  <c r="T253" i="1"/>
  <c r="T531" i="1"/>
  <c r="T497" i="1"/>
  <c r="T452" i="1"/>
  <c r="T271" i="1"/>
  <c r="T409" i="1"/>
  <c r="T247" i="1"/>
  <c r="T528" i="1"/>
  <c r="T516" i="1"/>
  <c r="T58" i="1"/>
  <c r="T490" i="1"/>
  <c r="T587" i="1"/>
  <c r="T470" i="1"/>
  <c r="T582" i="1"/>
  <c r="T546" i="1"/>
  <c r="T590" i="1"/>
  <c r="T553" i="1"/>
  <c r="T527" i="1"/>
  <c r="T698" i="1"/>
  <c r="T677" i="1"/>
  <c r="T688" i="1"/>
  <c r="T746" i="1"/>
  <c r="T745" i="1"/>
  <c r="T765" i="1"/>
  <c r="T690" i="1"/>
  <c r="T660" i="1"/>
  <c r="T665" i="1"/>
  <c r="T629" i="1"/>
  <c r="T617" i="1"/>
  <c r="T622" i="1"/>
  <c r="T882" i="1"/>
  <c r="T888" i="1"/>
  <c r="T858" i="1"/>
  <c r="T869" i="1"/>
  <c r="T880" i="1"/>
  <c r="T845" i="1"/>
  <c r="T865" i="1"/>
  <c r="T856" i="1"/>
  <c r="T850" i="1"/>
  <c r="T855" i="1"/>
  <c r="T417" i="1"/>
  <c r="T412" i="1"/>
  <c r="T444" i="1"/>
  <c r="T405" i="1"/>
  <c r="T447" i="1"/>
  <c r="T662" i="1"/>
  <c r="T678" i="1"/>
  <c r="T755" i="1"/>
  <c r="T766" i="1"/>
  <c r="T761" i="1"/>
  <c r="T757" i="1"/>
  <c r="T569" i="1"/>
  <c r="T561" i="1"/>
  <c r="T534" i="1"/>
  <c r="T339" i="1"/>
  <c r="T309" i="1"/>
  <c r="T352" i="1"/>
  <c r="T59" i="1"/>
  <c r="T355" i="1"/>
  <c r="T174" i="1"/>
  <c r="T230" i="1"/>
  <c r="T60" i="1"/>
  <c r="T228" i="1"/>
  <c r="T345" i="1"/>
  <c r="T158" i="1"/>
  <c r="T221" i="1"/>
  <c r="T61" i="1"/>
  <c r="T62" i="1"/>
  <c r="T63" i="1"/>
  <c r="T366" i="1"/>
  <c r="T64" i="1"/>
  <c r="T164" i="1"/>
  <c r="T65" i="1"/>
  <c r="T413" i="1"/>
  <c r="T187" i="1"/>
  <c r="T201" i="1"/>
  <c r="T186" i="1"/>
  <c r="T200" i="1"/>
  <c r="T178" i="1"/>
  <c r="T193" i="1"/>
  <c r="T163" i="1"/>
  <c r="T272" i="1"/>
  <c r="T360" i="1"/>
  <c r="T571" i="1"/>
  <c r="T336" i="1"/>
  <c r="T363" i="1"/>
  <c r="T361" i="1"/>
  <c r="T267" i="1"/>
  <c r="T573" i="1"/>
  <c r="T368" i="1"/>
  <c r="T263" i="1"/>
  <c r="T146" i="1"/>
  <c r="T66" i="1"/>
  <c r="T67" i="1"/>
  <c r="T988" i="1"/>
  <c r="T989" i="1"/>
  <c r="T987" i="1"/>
  <c r="T294" i="1"/>
  <c r="T291" i="1"/>
  <c r="T285" i="1"/>
  <c r="T275" i="1"/>
  <c r="T301" i="1"/>
  <c r="T179" i="1"/>
  <c r="T192" i="1"/>
  <c r="T304" i="1"/>
  <c r="T297" i="1"/>
  <c r="T188" i="1"/>
  <c r="T303" i="1"/>
  <c r="T244" i="1"/>
  <c r="T68" i="1"/>
  <c r="T508" i="1"/>
  <c r="T315" i="1"/>
  <c r="T231" i="1"/>
  <c r="T316" i="1"/>
  <c r="T312" i="1"/>
  <c r="T147" i="1"/>
  <c r="T69" i="1"/>
  <c r="T143" i="1"/>
  <c r="T491" i="1"/>
  <c r="T216" i="1"/>
  <c r="T70" i="1"/>
  <c r="T524" i="1"/>
  <c r="T71" i="1"/>
  <c r="T227" i="1"/>
  <c r="T141" i="1"/>
  <c r="T300" i="1"/>
  <c r="T317" i="1"/>
  <c r="T415" i="1"/>
  <c r="T572" i="1"/>
  <c r="T212" i="1"/>
  <c r="T72" i="1"/>
  <c r="T292" i="1"/>
  <c r="T550" i="1"/>
  <c r="T318" i="1"/>
  <c r="T468" i="1"/>
  <c r="T197" i="1"/>
  <c r="T213" i="1"/>
  <c r="T73" i="1"/>
  <c r="T319" i="1"/>
  <c r="T205" i="1"/>
  <c r="T467" i="1"/>
  <c r="T438" i="1"/>
  <c r="T74" i="1"/>
  <c r="T583" i="1"/>
  <c r="T556" i="1"/>
  <c r="T206" i="1"/>
  <c r="T287" i="1"/>
  <c r="T75" i="1"/>
  <c r="T329" i="1"/>
  <c r="T236" i="1"/>
  <c r="T154" i="1"/>
  <c r="T404" i="1"/>
  <c r="T320" i="1"/>
  <c r="T234" i="1"/>
  <c r="T145" i="1"/>
  <c r="T214" i="1"/>
  <c r="T321" i="1"/>
  <c r="T343" i="1"/>
  <c r="T505" i="1"/>
  <c r="T322" i="1"/>
  <c r="T391" i="1"/>
  <c r="T346" i="1"/>
  <c r="T148" i="1"/>
  <c r="T76" i="1"/>
  <c r="T137" i="1"/>
  <c r="T496" i="1"/>
  <c r="T153" i="1"/>
  <c r="T525" i="1"/>
  <c r="T77" i="1"/>
  <c r="T551" i="1"/>
  <c r="T207" i="1"/>
  <c r="T78" i="1"/>
  <c r="T511" i="1"/>
  <c r="T198" i="1"/>
  <c r="T232" i="1"/>
  <c r="T79" i="1"/>
  <c r="T254" i="1"/>
  <c r="T149" i="1"/>
  <c r="T142" i="1"/>
  <c r="T208" i="1"/>
  <c r="T327" i="1"/>
  <c r="T80" i="1"/>
  <c r="T429" i="1"/>
  <c r="T238" i="1"/>
  <c r="T203" i="1"/>
  <c r="T323" i="1"/>
  <c r="T305" i="1"/>
  <c r="T150" i="1"/>
  <c r="T543" i="1"/>
  <c r="T81" i="1"/>
  <c r="T324" i="1"/>
  <c r="T132" i="1"/>
  <c r="T608" i="1"/>
  <c r="T420" i="1"/>
  <c r="T394" i="1"/>
  <c r="T256" i="1"/>
  <c r="T395" i="1"/>
  <c r="T398" i="1"/>
  <c r="T237" i="1"/>
  <c r="T400" i="1"/>
  <c r="T396" i="1"/>
  <c r="T410" i="1"/>
  <c r="T258" i="1"/>
  <c r="T434" i="1"/>
  <c r="T82" i="1"/>
  <c r="T83" i="1"/>
  <c r="T84" i="1"/>
  <c r="T402" i="1"/>
  <c r="T475" i="1"/>
  <c r="T485" i="1"/>
  <c r="T440" i="1"/>
  <c r="T486" i="1"/>
  <c r="T432" i="1"/>
  <c r="T450" i="1"/>
  <c r="T503" i="1"/>
  <c r="T480" i="1"/>
  <c r="T483" i="1"/>
  <c r="T492" i="1"/>
  <c r="T85" i="1"/>
  <c r="T239" i="1"/>
  <c r="T157" i="1"/>
  <c r="T86" i="1"/>
  <c r="T181" i="1"/>
  <c r="T189" i="1"/>
  <c r="T87" i="1"/>
  <c r="T88" i="1"/>
  <c r="T89" i="1"/>
  <c r="T155" i="1"/>
  <c r="T171" i="1"/>
  <c r="T90" i="1"/>
  <c r="T209" i="1"/>
  <c r="T91" i="1"/>
  <c r="T92" i="1"/>
  <c r="T793" i="1"/>
  <c r="T863" i="1"/>
  <c r="T451" i="1"/>
  <c r="T800" i="1"/>
  <c r="T862" i="1"/>
  <c r="T436" i="1"/>
  <c r="T476" i="1"/>
  <c r="T849" i="1"/>
  <c r="T781" i="1"/>
  <c r="T785" i="1"/>
  <c r="T607" i="1"/>
  <c r="T847" i="1"/>
  <c r="T601" i="1"/>
  <c r="T838" i="1"/>
  <c r="T835" i="1"/>
  <c r="T172" i="1"/>
  <c r="T162" i="1"/>
  <c r="T156" i="1"/>
  <c r="T175" i="1"/>
  <c r="T173" i="1"/>
  <c r="T182" i="1"/>
  <c r="T168" i="1"/>
  <c r="T183" i="1"/>
  <c r="T276" i="1"/>
  <c r="T93" i="1"/>
  <c r="T390" i="1"/>
  <c r="T384" i="1"/>
  <c r="T742" i="1"/>
  <c r="T377" i="1"/>
  <c r="T94" i="1"/>
  <c r="T403" i="1"/>
  <c r="T387" i="1"/>
  <c r="T95" i="1"/>
  <c r="T96" i="1"/>
  <c r="T930" i="1"/>
  <c r="T927" i="1"/>
  <c r="T938" i="1"/>
  <c r="T97" i="1"/>
  <c r="T98" i="1"/>
  <c r="T99" i="1"/>
  <c r="T518" i="1"/>
  <c r="T448" i="1"/>
  <c r="T493" i="1"/>
  <c r="T199" i="1"/>
  <c r="T260" i="1"/>
  <c r="T536" i="1"/>
  <c r="T133" i="1"/>
  <c r="T554" i="1"/>
  <c r="T388" i="1"/>
  <c r="T100" i="1"/>
  <c r="T127" i="1"/>
  <c r="T494" i="1"/>
  <c r="T466" i="1"/>
  <c r="T416" i="1"/>
  <c r="T513" i="1"/>
  <c r="T204" i="1"/>
  <c r="T431" i="1"/>
  <c r="T101" i="1"/>
  <c r="T222" i="1"/>
  <c r="T515" i="1"/>
  <c r="T138" i="1"/>
  <c r="T385" i="1"/>
  <c r="T563" i="1"/>
  <c r="T522" i="1"/>
  <c r="T439" i="1"/>
  <c r="T102" i="1"/>
  <c r="T103" i="1"/>
  <c r="T544" i="1"/>
  <c r="T104" i="1"/>
  <c r="T105" i="1"/>
  <c r="T106" i="1"/>
  <c r="T107" i="1"/>
  <c r="T108" i="1"/>
  <c r="T109" i="1"/>
  <c r="T110" i="1"/>
  <c r="T111" i="1"/>
  <c r="T217" i="1"/>
  <c r="T223" i="1"/>
  <c r="T194" i="1"/>
  <c r="T248" i="1"/>
  <c r="T923" i="1"/>
  <c r="T202" i="1"/>
  <c r="T229" i="1"/>
  <c r="T557" i="1"/>
  <c r="T562" i="1"/>
  <c r="T564" i="1"/>
  <c r="T570" i="1"/>
  <c r="T604" i="1"/>
  <c r="T364" i="1"/>
  <c r="T920" i="1"/>
  <c r="T593" i="1"/>
  <c r="T911" i="1"/>
  <c r="T371" i="1"/>
  <c r="T580" i="1"/>
  <c r="T924" i="1"/>
  <c r="T945" i="1"/>
  <c r="T389" i="1"/>
  <c r="T484" i="1"/>
  <c r="T393" i="1"/>
  <c r="T382" i="1"/>
  <c r="T406" i="1"/>
  <c r="T392" i="1"/>
  <c r="T487" i="1"/>
  <c r="T804" i="1"/>
  <c r="T801" i="1"/>
  <c r="T803" i="1"/>
  <c r="T799" i="1"/>
  <c r="T668" i="1"/>
  <c r="T675" i="1"/>
  <c r="T646" i="1"/>
  <c r="T679" i="1"/>
  <c r="T411" i="1"/>
  <c r="T425" i="1"/>
  <c r="T541" i="1"/>
  <c r="T810" i="1"/>
  <c r="T833" i="1"/>
  <c r="T824" i="1"/>
  <c r="T852" i="1"/>
  <c r="T812" i="1"/>
  <c r="T825" i="1"/>
  <c r="T947" i="1"/>
  <c r="T648" i="1"/>
  <c r="T940" i="1"/>
  <c r="T633" i="1"/>
  <c r="T714" i="1"/>
  <c r="T891" i="1"/>
  <c r="T885" i="1"/>
  <c r="T722" i="1"/>
  <c r="T902" i="1"/>
  <c r="T707" i="1"/>
  <c r="T890" i="1"/>
  <c r="T705" i="1"/>
  <c r="T877" i="1"/>
  <c r="T727" i="1"/>
  <c r="T728" i="1"/>
  <c r="T876" i="1"/>
  <c r="T968" i="1"/>
  <c r="T970" i="1"/>
  <c r="T974" i="1"/>
  <c r="T956" i="1"/>
  <c r="T962" i="1"/>
  <c r="T637" i="1"/>
  <c r="T663" i="1"/>
  <c r="T659" i="1"/>
  <c r="T635" i="1"/>
  <c r="T647" i="1"/>
  <c r="T638" i="1"/>
  <c r="T636" i="1"/>
  <c r="T634" i="1"/>
  <c r="T937" i="1"/>
  <c r="T627" i="1"/>
  <c r="T645" i="1"/>
  <c r="T957" i="1"/>
  <c r="T953" i="1"/>
  <c r="T950" i="1"/>
  <c r="T624" i="1"/>
  <c r="T655" i="1"/>
  <c r="T919" i="1"/>
  <c r="T632" i="1"/>
  <c r="T674" i="1"/>
  <c r="T948" i="1"/>
  <c r="T958" i="1"/>
  <c r="T949" i="1"/>
  <c r="T932" i="1"/>
  <c r="T609" i="1"/>
  <c r="T839" i="1"/>
  <c r="T538" i="1"/>
  <c r="T521" i="1"/>
  <c r="T631" i="1"/>
  <c r="T693" i="1"/>
  <c r="T686" i="1"/>
  <c r="T964" i="1"/>
  <c r="T971" i="1"/>
  <c r="T967" i="1"/>
  <c r="T942" i="1"/>
  <c r="T498" i="1"/>
  <c r="T495" i="1"/>
  <c r="T481" i="1"/>
  <c r="T445" i="1"/>
  <c r="T407" i="1"/>
  <c r="T813" i="1"/>
  <c r="T770" i="1"/>
  <c r="T697" i="1"/>
  <c r="T966" i="1"/>
  <c r="T939" i="1"/>
  <c r="T836" i="1"/>
  <c r="T946" i="1"/>
  <c r="T694" i="1"/>
  <c r="T931" i="1"/>
  <c r="T871" i="1"/>
  <c r="T794" i="1"/>
  <c r="T669" i="1"/>
  <c r="T778" i="1"/>
  <c r="T955" i="1"/>
  <c r="T808" i="1"/>
  <c r="T776" i="1"/>
  <c r="T915" i="1"/>
  <c r="T925" i="1"/>
  <c r="T700" i="1"/>
  <c r="T682" i="1"/>
  <c r="T708" i="1"/>
  <c r="T680" i="1"/>
  <c r="T695" i="1"/>
  <c r="T699" i="1"/>
  <c r="T683" i="1"/>
  <c r="T523" i="1"/>
  <c r="T471" i="1"/>
  <c r="T547" i="1"/>
  <c r="T533" i="1"/>
  <c r="T311" i="1"/>
  <c r="T308" i="1"/>
  <c r="T298" i="1"/>
  <c r="T414" i="1"/>
  <c r="T112" i="1"/>
  <c r="T196" i="1"/>
  <c r="T159" i="1"/>
  <c r="T195" i="1"/>
  <c r="T113" i="1"/>
  <c r="T114" i="1"/>
  <c r="T191" i="1"/>
  <c r="T115" i="1"/>
  <c r="T433" i="1"/>
  <c r="T167" i="1"/>
  <c r="T176" i="1"/>
  <c r="T211" i="1"/>
  <c r="T116" i="1"/>
  <c r="T408" i="1"/>
  <c r="T117" i="1"/>
  <c r="T118" i="1"/>
  <c r="T165" i="1"/>
  <c r="T119" i="1"/>
  <c r="T120" i="1"/>
  <c r="T121" i="1"/>
  <c r="T215" i="1"/>
  <c r="T783" i="1"/>
  <c r="T791" i="1"/>
  <c r="T788" i="1"/>
  <c r="T848" i="1"/>
  <c r="T857" i="1"/>
  <c r="T860" i="1"/>
  <c r="T840" i="1"/>
  <c r="T122" i="1"/>
  <c r="T123" i="1"/>
  <c r="T517" i="1"/>
  <c r="T464" i="1"/>
  <c r="T477" i="1"/>
  <c r="T509" i="1"/>
  <c r="T530" i="1"/>
  <c r="T712" i="1"/>
  <c r="T706" i="1"/>
  <c r="T798" i="1"/>
  <c r="T758" i="1"/>
  <c r="T711" i="1"/>
  <c r="T747" i="1"/>
  <c r="T724" i="1"/>
  <c r="T771" i="1"/>
  <c r="T696" i="1"/>
  <c r="T701" i="1"/>
  <c r="T784" i="1"/>
  <c r="T802" i="1"/>
  <c r="T736" i="1"/>
  <c r="T789" i="1"/>
  <c r="T748" i="1"/>
  <c r="T749" i="1"/>
  <c r="T762" i="1"/>
  <c r="T733" i="1"/>
  <c r="T753" i="1"/>
  <c r="T716" i="1"/>
  <c r="T751" i="1"/>
  <c r="T713" i="1"/>
  <c r="T750" i="1"/>
  <c r="T954" i="1"/>
  <c r="T965" i="1"/>
  <c r="T936" i="1"/>
  <c r="T934" i="1"/>
  <c r="T500" i="1"/>
  <c r="T542" i="1"/>
  <c r="T499" i="1"/>
  <c r="T482" i="1"/>
  <c r="T512" i="1"/>
  <c r="T519" i="1"/>
  <c r="T717" i="1"/>
  <c r="T386" i="1"/>
  <c r="T151" i="1"/>
  <c r="T354" i="1"/>
  <c r="T310" i="1"/>
  <c r="T427" i="1"/>
  <c r="T684" i="1"/>
  <c r="T426" i="1"/>
  <c r="T671" i="1"/>
  <c r="T559" i="1"/>
  <c r="T870" i="1"/>
  <c r="T576" i="1"/>
  <c r="T328" i="1"/>
  <c r="T969" i="1"/>
  <c r="T672" i="1"/>
  <c r="T313" i="1"/>
  <c r="T961" i="1"/>
  <c r="T372" i="1"/>
  <c r="T595" i="1"/>
  <c r="T673" i="1"/>
  <c r="T649" i="1"/>
  <c r="T314" i="1"/>
  <c r="T299" i="1"/>
  <c r="T381" i="1"/>
  <c r="T367" i="1"/>
  <c r="T423" i="1"/>
  <c r="T374" i="1"/>
  <c r="T832" i="1"/>
  <c r="T169" i="1"/>
  <c r="T453" i="1"/>
  <c r="T692" i="1"/>
  <c r="T369" i="1"/>
  <c r="T302" i="1"/>
  <c r="T139" i="1"/>
  <c r="T124" i="1"/>
  <c r="T578" i="1"/>
  <c r="T715" i="1"/>
  <c r="T125" i="1"/>
  <c r="T350" i="1"/>
  <c r="T296" i="1"/>
  <c r="T397" i="1"/>
  <c r="T846" i="1"/>
  <c r="T353" i="1"/>
  <c r="T373" i="1"/>
  <c r="S908" i="1"/>
  <c r="S973" i="1"/>
  <c r="S421" i="1"/>
  <c r="S690" i="1"/>
  <c r="S441" i="1"/>
  <c r="S588" i="1"/>
  <c r="S882" i="1"/>
  <c r="S481" i="1"/>
  <c r="S272" i="1"/>
  <c r="S717" i="1"/>
  <c r="S604" i="1"/>
  <c r="S518" i="1"/>
  <c r="S813" i="1"/>
  <c r="S414" i="1"/>
  <c r="S805" i="1"/>
  <c r="S386" i="1"/>
  <c r="S831" i="1"/>
  <c r="S244" i="1"/>
  <c r="S240" i="1"/>
  <c r="S541" i="1"/>
  <c r="S744" i="1"/>
  <c r="S68" i="1"/>
  <c r="S55" i="1"/>
  <c r="S33" i="1"/>
  <c r="S448" i="1"/>
  <c r="S417" i="1"/>
  <c r="S341" i="1"/>
  <c r="S712" i="1"/>
  <c r="S332" i="1"/>
  <c r="S22" i="1"/>
  <c r="S508" i="1"/>
  <c r="S364" i="1"/>
  <c r="S389" i="1"/>
  <c r="S301" i="1"/>
  <c r="S493" i="1"/>
  <c r="S85" i="1"/>
  <c r="S151" i="1"/>
  <c r="S609" i="1"/>
  <c r="S725" i="1"/>
  <c r="S2" i="1"/>
  <c r="S903" i="1"/>
  <c r="S498" i="1"/>
  <c r="S770" i="1"/>
  <c r="S354" i="1"/>
  <c r="S331" i="1"/>
  <c r="S411" i="1"/>
  <c r="S330" i="1"/>
  <c r="S912" i="1"/>
  <c r="S315" i="1"/>
  <c r="S310" i="1"/>
  <c r="S407" i="1"/>
  <c r="S824" i="1"/>
  <c r="S231" i="1"/>
  <c r="S34" i="1"/>
  <c r="S930" i="1"/>
  <c r="S907" i="1"/>
  <c r="S199" i="1"/>
  <c r="S146" i="1"/>
  <c r="S816" i="1"/>
  <c r="S249" i="1"/>
  <c r="S255" i="1"/>
  <c r="S644" i="1"/>
  <c r="S523" i="1"/>
  <c r="S187" i="1"/>
  <c r="S555" i="1"/>
  <c r="S697" i="1"/>
  <c r="S112" i="1"/>
  <c r="S35" i="1"/>
  <c r="S378" i="1"/>
  <c r="S921" i="1"/>
  <c r="S839" i="1"/>
  <c r="S642" i="1"/>
  <c r="S161" i="1"/>
  <c r="S316" i="1"/>
  <c r="S693" i="1"/>
  <c r="S608" i="1"/>
  <c r="S809" i="1"/>
  <c r="S526" i="1"/>
  <c r="S949" i="1"/>
  <c r="S806" i="1"/>
  <c r="S853" i="1"/>
  <c r="S731" i="1"/>
  <c r="S3" i="1"/>
  <c r="S755" i="1"/>
  <c r="S538" i="1"/>
  <c r="S104" i="1"/>
  <c r="S947" i="1"/>
  <c r="S968" i="1"/>
  <c r="S714" i="1"/>
  <c r="S777" i="1"/>
  <c r="S581" i="1"/>
  <c r="S294" i="1"/>
  <c r="S793" i="1"/>
  <c r="S402" i="1"/>
  <c r="S420" i="1"/>
  <c r="S276" i="1"/>
  <c r="S689" i="1"/>
  <c r="S311" i="1"/>
  <c r="S937" i="1"/>
  <c r="S7" i="1"/>
  <c r="S260" i="1"/>
  <c r="S782" i="1"/>
  <c r="S97" i="1"/>
  <c r="S676" i="1"/>
  <c r="S891" i="1"/>
  <c r="S567" i="1"/>
  <c r="S475" i="1"/>
  <c r="S618" i="1"/>
  <c r="S661" i="1"/>
  <c r="S767" i="1"/>
  <c r="S283" i="1"/>
  <c r="S282" i="1"/>
  <c r="S651" i="1"/>
  <c r="S427" i="1"/>
  <c r="S629" i="1"/>
  <c r="S59" i="1"/>
  <c r="S619" i="1"/>
  <c r="S929" i="1"/>
  <c r="S312" i="1"/>
  <c r="S93" i="1"/>
  <c r="S895" i="1"/>
  <c r="S196" i="1"/>
  <c r="S536" i="1"/>
  <c r="S981" i="1"/>
  <c r="S706" i="1"/>
  <c r="S268" i="1"/>
  <c r="S904" i="1"/>
  <c r="S349" i="1"/>
  <c r="S502" i="1"/>
  <c r="S159" i="1"/>
  <c r="S575" i="1"/>
  <c r="S549" i="1"/>
  <c r="S147" i="1"/>
  <c r="S29" i="1"/>
  <c r="S966" i="1"/>
  <c r="S612" i="1"/>
  <c r="S637" i="1"/>
  <c r="S348" i="1"/>
  <c r="S355" i="1"/>
  <c r="S664" i="1"/>
  <c r="S36" i="1"/>
  <c r="S607" i="1"/>
  <c r="S69" i="1"/>
  <c r="S239" i="1"/>
  <c r="S174" i="1"/>
  <c r="S798" i="1"/>
  <c r="S446" i="1"/>
  <c r="S184" i="1"/>
  <c r="S943" i="1"/>
  <c r="S627" i="1"/>
  <c r="S243" i="1"/>
  <c r="S610" i="1"/>
  <c r="S143" i="1"/>
  <c r="S758" i="1"/>
  <c r="S586" i="1"/>
  <c r="S954" i="1"/>
  <c r="S133" i="1"/>
  <c r="S224" i="1"/>
  <c r="S500" i="1"/>
  <c r="S484" i="1"/>
  <c r="S179" i="1"/>
  <c r="S157" i="1"/>
  <c r="S273" i="1"/>
  <c r="S217" i="1"/>
  <c r="S491" i="1"/>
  <c r="S216" i="1"/>
  <c r="S356" i="1"/>
  <c r="S8" i="1"/>
  <c r="S82" i="1"/>
  <c r="S230" i="1"/>
  <c r="S738" i="1"/>
  <c r="S413" i="1"/>
  <c r="S720" i="1"/>
  <c r="S663" i="1"/>
  <c r="S840" i="1"/>
  <c r="S566" i="1"/>
  <c r="S662" i="1"/>
  <c r="S37" i="1"/>
  <c r="S554" i="1"/>
  <c r="S910" i="1"/>
  <c r="S568" i="1"/>
  <c r="S645" i="1"/>
  <c r="S130" i="1"/>
  <c r="S684" i="1"/>
  <c r="S70" i="1"/>
  <c r="S277" i="1"/>
  <c r="S810" i="1"/>
  <c r="S394" i="1"/>
  <c r="S557" i="1"/>
  <c r="S426" i="1"/>
  <c r="S56" i="1"/>
  <c r="S884" i="1"/>
  <c r="S939" i="1"/>
  <c r="S443" i="1"/>
  <c r="S144" i="1"/>
  <c r="S344" i="1"/>
  <c r="S195" i="1"/>
  <c r="S920" i="1"/>
  <c r="S856" i="1"/>
  <c r="S867" i="1"/>
  <c r="S988" i="1"/>
  <c r="S671" i="1"/>
  <c r="S524" i="1"/>
  <c r="S845" i="1"/>
  <c r="S964" i="1"/>
  <c r="S71" i="1"/>
  <c r="S668" i="1"/>
  <c r="S983" i="1"/>
  <c r="S700" i="1"/>
  <c r="S752" i="1"/>
  <c r="S358" i="1"/>
  <c r="S698" i="1"/>
  <c r="S227" i="1"/>
  <c r="S235" i="1"/>
  <c r="S360" i="1"/>
  <c r="S66" i="1"/>
  <c r="S821" i="1"/>
  <c r="S718" i="1"/>
  <c r="S621" i="1"/>
  <c r="S896" i="1"/>
  <c r="S836" i="1"/>
  <c r="S339" i="1"/>
  <c r="S141" i="1"/>
  <c r="S202" i="1"/>
  <c r="S390" i="1"/>
  <c r="S60" i="1"/>
  <c r="S769" i="1"/>
  <c r="S847" i="1"/>
  <c r="S569" i="1"/>
  <c r="S122" i="1"/>
  <c r="S279" i="1"/>
  <c r="S388" i="1"/>
  <c r="S295" i="1"/>
  <c r="S113" i="1"/>
  <c r="S135" i="1"/>
  <c r="S256" i="1"/>
  <c r="S190" i="1"/>
  <c r="S559" i="1"/>
  <c r="S605" i="1"/>
  <c r="S23" i="1"/>
  <c r="S300" i="1"/>
  <c r="S172" i="1"/>
  <c r="S317" i="1"/>
  <c r="S648" i="1"/>
  <c r="S507" i="1"/>
  <c r="S506" i="1"/>
  <c r="S86" i="1"/>
  <c r="S615" i="1"/>
  <c r="S478" i="1"/>
  <c r="S848" i="1"/>
  <c r="S923" i="1"/>
  <c r="S827" i="1"/>
  <c r="S246" i="1"/>
  <c r="S783" i="1"/>
  <c r="S870" i="1"/>
  <c r="S415" i="1"/>
  <c r="S383" i="1"/>
  <c r="S545" i="1"/>
  <c r="S626" i="1"/>
  <c r="S9" i="1"/>
  <c r="S181" i="1"/>
  <c r="S746" i="1"/>
  <c r="S114" i="1"/>
  <c r="S105" i="1"/>
  <c r="S437" i="1"/>
  <c r="S572" i="1"/>
  <c r="S863" i="1"/>
  <c r="S576" i="1"/>
  <c r="S504" i="1"/>
  <c r="S212" i="1"/>
  <c r="S916" i="1"/>
  <c r="S804" i="1"/>
  <c r="S874" i="1"/>
  <c r="S72" i="1"/>
  <c r="S359" i="1"/>
  <c r="S514" i="1"/>
  <c r="S292" i="1"/>
  <c r="S653" i="1"/>
  <c r="S100" i="1"/>
  <c r="S611" i="1"/>
  <c r="S571" i="1"/>
  <c r="S328" i="1"/>
  <c r="S38" i="1"/>
  <c r="S969" i="1"/>
  <c r="S109" i="1"/>
  <c r="S517" i="1"/>
  <c r="S451" i="1"/>
  <c r="S946" i="1"/>
  <c r="S887" i="1"/>
  <c r="S685" i="1"/>
  <c r="S598" i="1"/>
  <c r="S464" i="1"/>
  <c r="S550" i="1"/>
  <c r="S495" i="1"/>
  <c r="S678" i="1"/>
  <c r="S57" i="1"/>
  <c r="S30" i="1"/>
  <c r="S24" i="1"/>
  <c r="S672" i="1"/>
  <c r="S25" i="1"/>
  <c r="S980" i="1"/>
  <c r="S10" i="1"/>
  <c r="S191" i="1"/>
  <c r="S384" i="1"/>
  <c r="S742" i="1"/>
  <c r="S861" i="1"/>
  <c r="S971" i="1"/>
  <c r="S127" i="1"/>
  <c r="S115" i="1"/>
  <c r="S548" i="1"/>
  <c r="S542" i="1"/>
  <c r="S39" i="1"/>
  <c r="S670" i="1"/>
  <c r="S313" i="1"/>
  <c r="S866" i="1"/>
  <c r="S562" i="1"/>
  <c r="S98" i="1"/>
  <c r="S270" i="1"/>
  <c r="S704" i="1"/>
  <c r="S264" i="1"/>
  <c r="S471" i="1"/>
  <c r="S893" i="1"/>
  <c r="S815" i="1"/>
  <c r="S456" i="1"/>
  <c r="S600" i="1"/>
  <c r="S561" i="1"/>
  <c r="S499" i="1"/>
  <c r="S110" i="1"/>
  <c r="S694" i="1"/>
  <c r="S126" i="1"/>
  <c r="S940" i="1"/>
  <c r="S885" i="1"/>
  <c r="S682" i="1"/>
  <c r="S485" i="1"/>
  <c r="S129" i="1"/>
  <c r="S597" i="1"/>
  <c r="S814" i="1"/>
  <c r="S318" i="1"/>
  <c r="S931" i="1"/>
  <c r="S40" i="1"/>
  <c r="S477" i="1"/>
  <c r="S957" i="1"/>
  <c r="S457" i="1"/>
  <c r="S395" i="1"/>
  <c r="S251" i="1"/>
  <c r="S494" i="1"/>
  <c r="S162" i="1"/>
  <c r="S961" i="1"/>
  <c r="S756" i="1"/>
  <c r="S468" i="1"/>
  <c r="S593" i="1"/>
  <c r="S180" i="1"/>
  <c r="S959" i="1"/>
  <c r="S424" i="1"/>
  <c r="S372" i="1"/>
  <c r="S595" i="1"/>
  <c r="S673" i="1"/>
  <c r="S433" i="1"/>
  <c r="S649" i="1"/>
  <c r="S197" i="1"/>
  <c r="S201" i="1"/>
  <c r="S213" i="1"/>
  <c r="S73" i="1"/>
  <c r="S284" i="1"/>
  <c r="S602" i="1"/>
  <c r="S269" i="1"/>
  <c r="S152" i="1"/>
  <c r="S711" i="1"/>
  <c r="S659" i="1"/>
  <c r="S926" i="1"/>
  <c r="S537" i="1"/>
  <c r="S585" i="1"/>
  <c r="S319" i="1"/>
  <c r="S458" i="1"/>
  <c r="S466" i="1"/>
  <c r="S186" i="1"/>
  <c r="S865" i="1"/>
  <c r="S906" i="1"/>
  <c r="S218" i="1"/>
  <c r="S398" i="1"/>
  <c r="S306" i="1"/>
  <c r="S31" i="1"/>
  <c r="S823" i="1"/>
  <c r="S800" i="1"/>
  <c r="S459" i="1"/>
  <c r="S205" i="1"/>
  <c r="S11" i="1"/>
  <c r="S967" i="1"/>
  <c r="S435" i="1"/>
  <c r="S819" i="1"/>
  <c r="S333" i="1"/>
  <c r="S167" i="1"/>
  <c r="S467" i="1"/>
  <c r="S635" i="1"/>
  <c r="S41" i="1"/>
  <c r="S873" i="1"/>
  <c r="S438" i="1"/>
  <c r="S918" i="1"/>
  <c r="S857" i="1"/>
  <c r="S286" i="1"/>
  <c r="S422" i="1"/>
  <c r="S953" i="1"/>
  <c r="S74" i="1"/>
  <c r="S228" i="1"/>
  <c r="S314" i="1"/>
  <c r="S640" i="1"/>
  <c r="S12" i="1"/>
  <c r="S583" i="1"/>
  <c r="S299" i="1"/>
  <c r="S556" i="1"/>
  <c r="S381" i="1"/>
  <c r="S206" i="1"/>
  <c r="S828" i="1"/>
  <c r="S509" i="1"/>
  <c r="S984" i="1"/>
  <c r="S42" i="1"/>
  <c r="S786" i="1"/>
  <c r="S552" i="1"/>
  <c r="S617" i="1"/>
  <c r="S606" i="1"/>
  <c r="S747" i="1"/>
  <c r="S897" i="1"/>
  <c r="S326" i="1"/>
  <c r="S722" i="1"/>
  <c r="S862" i="1"/>
  <c r="S647" i="1"/>
  <c r="S721" i="1"/>
  <c r="S367" i="1"/>
  <c r="S822" i="1"/>
  <c r="S423" i="1"/>
  <c r="S166" i="1"/>
  <c r="S176" i="1"/>
  <c r="S950" i="1"/>
  <c r="S393" i="1"/>
  <c r="S871" i="1"/>
  <c r="S628" i="1"/>
  <c r="S445" i="1"/>
  <c r="S643" i="1"/>
  <c r="S376" i="1"/>
  <c r="S449" i="1"/>
  <c r="S686" i="1"/>
  <c r="S177" i="1"/>
  <c r="S170" i="1"/>
  <c r="S436" i="1"/>
  <c r="S287" i="1"/>
  <c r="S837" i="1"/>
  <c r="S455" i="1"/>
  <c r="S917" i="1"/>
  <c r="S75" i="1"/>
  <c r="S794" i="1"/>
  <c r="S336" i="1"/>
  <c r="S724" i="1"/>
  <c r="S241" i="1"/>
  <c r="S329" i="1"/>
  <c r="S374" i="1"/>
  <c r="S565" i="1"/>
  <c r="S43" i="1"/>
  <c r="S280" i="1"/>
  <c r="S900" i="1"/>
  <c r="S416" i="1"/>
  <c r="S771" i="1"/>
  <c r="S989" i="1"/>
  <c r="S696" i="1"/>
  <c r="S795" i="1"/>
  <c r="S852" i="1"/>
  <c r="S223" i="1"/>
  <c r="S832" i="1"/>
  <c r="S620" i="1"/>
  <c r="S976" i="1"/>
  <c r="S363" i="1"/>
  <c r="S440" i="1"/>
  <c r="S660" i="1"/>
  <c r="S902" i="1"/>
  <c r="S913" i="1"/>
  <c r="S709" i="1"/>
  <c r="S624" i="1"/>
  <c r="S701" i="1"/>
  <c r="S236" i="1"/>
  <c r="S691" i="1"/>
  <c r="S200" i="1"/>
  <c r="S708" i="1"/>
  <c r="S154" i="1"/>
  <c r="S486" i="1"/>
  <c r="S909" i="1"/>
  <c r="S488" i="1"/>
  <c r="S106" i="1"/>
  <c r="S655" i="1"/>
  <c r="S111" i="1"/>
  <c r="S178" i="1"/>
  <c r="S513" i="1"/>
  <c r="S978" i="1"/>
  <c r="S669" i="1"/>
  <c r="S539" i="1"/>
  <c r="S347" i="1"/>
  <c r="S702" i="1"/>
  <c r="S591" i="1"/>
  <c r="S44" i="1"/>
  <c r="S766" i="1"/>
  <c r="S791" i="1"/>
  <c r="S986" i="1"/>
  <c r="S784" i="1"/>
  <c r="S265" i="1"/>
  <c r="S952" i="1"/>
  <c r="S460" i="1"/>
  <c r="S377" i="1"/>
  <c r="S432" i="1"/>
  <c r="S501" i="1"/>
  <c r="S474" i="1"/>
  <c r="S843" i="1"/>
  <c r="S204" i="1"/>
  <c r="S94" i="1"/>
  <c r="S707" i="1"/>
  <c r="S404" i="1"/>
  <c r="S192" i="1"/>
  <c r="S211" i="1"/>
  <c r="S465" i="1"/>
  <c r="S919" i="1"/>
  <c r="S461" i="1"/>
  <c r="S763" i="1"/>
  <c r="S116" i="1"/>
  <c r="S963" i="1"/>
  <c r="S4" i="1"/>
  <c r="S812" i="1"/>
  <c r="S408" i="1"/>
  <c r="S613" i="1"/>
  <c r="S680" i="1"/>
  <c r="S577" i="1"/>
  <c r="S320" i="1"/>
  <c r="S778" i="1"/>
  <c r="S13" i="1"/>
  <c r="S418" i="1"/>
  <c r="S234" i="1"/>
  <c r="S431" i="1"/>
  <c r="S380" i="1"/>
  <c r="S117" i="1"/>
  <c r="S101" i="1"/>
  <c r="S361" i="1"/>
  <c r="S365" i="1"/>
  <c r="S960" i="1"/>
  <c r="S156" i="1"/>
  <c r="S222" i="1"/>
  <c r="S666" i="1"/>
  <c r="S291" i="1"/>
  <c r="S401" i="1"/>
  <c r="S944" i="1"/>
  <c r="S45" i="1"/>
  <c r="S5" i="1"/>
  <c r="S911" i="1"/>
  <c r="S252" i="1"/>
  <c r="S145" i="1"/>
  <c r="S970" i="1"/>
  <c r="S875" i="1"/>
  <c r="S399" i="1"/>
  <c r="S214" i="1"/>
  <c r="S745" i="1"/>
  <c r="S338" i="1"/>
  <c r="S278" i="1"/>
  <c r="S118" i="1"/>
  <c r="S259" i="1"/>
  <c r="S14" i="1"/>
  <c r="S46" i="1"/>
  <c r="S267" i="1"/>
  <c r="S15" i="1"/>
  <c r="S136" i="1"/>
  <c r="S169" i="1"/>
  <c r="S357" i="1"/>
  <c r="S520" i="1"/>
  <c r="S802" i="1"/>
  <c r="S210" i="1"/>
  <c r="S453" i="1"/>
  <c r="S226" i="1"/>
  <c r="S692" i="1"/>
  <c r="S237" i="1"/>
  <c r="S601" i="1"/>
  <c r="S400" i="1"/>
  <c r="S826" i="1"/>
  <c r="S345" i="1"/>
  <c r="S922" i="1"/>
  <c r="S719" i="1"/>
  <c r="S225" i="1"/>
  <c r="S695" i="1"/>
  <c r="S321" i="1"/>
  <c r="S977" i="1"/>
  <c r="S288" i="1"/>
  <c r="S482" i="1"/>
  <c r="S343" i="1"/>
  <c r="S472" i="1"/>
  <c r="S768" i="1"/>
  <c r="S675" i="1"/>
  <c r="S505" i="1"/>
  <c r="S189" i="1"/>
  <c r="S308" i="1"/>
  <c r="S412" i="1"/>
  <c r="S730" i="1"/>
  <c r="S382" i="1"/>
  <c r="S131" i="1"/>
  <c r="S322" i="1"/>
  <c r="S479" i="1"/>
  <c r="S955" i="1"/>
  <c r="S729" i="1"/>
  <c r="S529" i="1"/>
  <c r="S677" i="1"/>
  <c r="S369" i="1"/>
  <c r="S175" i="1"/>
  <c r="S759" i="1"/>
  <c r="S274" i="1"/>
  <c r="S403" i="1"/>
  <c r="S592" i="1"/>
  <c r="S16" i="1"/>
  <c r="S391" i="1"/>
  <c r="S657" i="1"/>
  <c r="S632" i="1"/>
  <c r="S309" i="1"/>
  <c r="S579" i="1"/>
  <c r="S450" i="1"/>
  <c r="S346" i="1"/>
  <c r="S253" i="1"/>
  <c r="S17" i="1"/>
  <c r="S667" i="1"/>
  <c r="S371" i="1"/>
  <c r="S302" i="1"/>
  <c r="S531" i="1"/>
  <c r="S375" i="1"/>
  <c r="S737" i="1"/>
  <c r="S688" i="1"/>
  <c r="S860" i="1"/>
  <c r="S87" i="1"/>
  <c r="S901" i="1"/>
  <c r="S807" i="1"/>
  <c r="S325" i="1"/>
  <c r="S761" i="1"/>
  <c r="S242" i="1"/>
  <c r="S779" i="1"/>
  <c r="S521" i="1"/>
  <c r="S307" i="1"/>
  <c r="S140" i="1"/>
  <c r="S387" i="1"/>
  <c r="S139" i="1"/>
  <c r="S442" i="1"/>
  <c r="S941" i="1"/>
  <c r="S173" i="1"/>
  <c r="S530" i="1"/>
  <c r="S883" i="1"/>
  <c r="S298" i="1"/>
  <c r="S512" i="1"/>
  <c r="S844" i="1"/>
  <c r="S351" i="1"/>
  <c r="S889" i="1"/>
  <c r="S289" i="1"/>
  <c r="S148" i="1"/>
  <c r="S497" i="1"/>
  <c r="S879" i="1"/>
  <c r="S452" i="1"/>
  <c r="S271" i="1"/>
  <c r="S519" i="1"/>
  <c r="S257" i="1"/>
  <c r="S406" i="1"/>
  <c r="S83" i="1"/>
  <c r="S760" i="1"/>
  <c r="S890" i="1"/>
  <c r="S842" i="1"/>
  <c r="S134" i="1"/>
  <c r="S76" i="1"/>
  <c r="S137" i="1"/>
  <c r="S985" i="1"/>
  <c r="S775" i="1"/>
  <c r="S515" i="1"/>
  <c r="S736" i="1"/>
  <c r="S665" i="1"/>
  <c r="S182" i="1"/>
  <c r="S789" i="1"/>
  <c r="S764" i="1"/>
  <c r="S158" i="1"/>
  <c r="S705" i="1"/>
  <c r="S927" i="1"/>
  <c r="S370" i="1"/>
  <c r="S792" i="1"/>
  <c r="S496" i="1"/>
  <c r="S462" i="1"/>
  <c r="S580" i="1"/>
  <c r="S84" i="1"/>
  <c r="S194" i="1"/>
  <c r="S221" i="1"/>
  <c r="S656" i="1"/>
  <c r="S233" i="1"/>
  <c r="S304" i="1"/>
  <c r="S444" i="1"/>
  <c r="S165" i="1"/>
  <c r="S153" i="1"/>
  <c r="S646" i="1"/>
  <c r="S454" i="1"/>
  <c r="S6" i="1"/>
  <c r="S525" i="1"/>
  <c r="S337" i="1"/>
  <c r="S138" i="1"/>
  <c r="S385" i="1"/>
  <c r="S124" i="1"/>
  <c r="S47" i="1"/>
  <c r="S77" i="1"/>
  <c r="S739" i="1"/>
  <c r="S631" i="1"/>
  <c r="S650" i="1"/>
  <c r="S699" i="1"/>
  <c r="S551" i="1"/>
  <c r="S674" i="1"/>
  <c r="S616" i="1"/>
  <c r="S578" i="1"/>
  <c r="S625" i="1"/>
  <c r="S639" i="1"/>
  <c r="S924" i="1"/>
  <c r="S119" i="1"/>
  <c r="S808" i="1"/>
  <c r="S207" i="1"/>
  <c r="S281" i="1"/>
  <c r="S740" i="1"/>
  <c r="S830" i="1"/>
  <c r="S419" i="1"/>
  <c r="S266" i="1"/>
  <c r="S503" i="1"/>
  <c r="S945" i="1"/>
  <c r="S547" i="1"/>
  <c r="S469" i="1"/>
  <c r="S563" i="1"/>
  <c r="S32" i="1"/>
  <c r="S622" i="1"/>
  <c r="S638" i="1"/>
  <c r="S776" i="1"/>
  <c r="S533" i="1"/>
  <c r="S352" i="1"/>
  <c r="S88" i="1"/>
  <c r="S78" i="1"/>
  <c r="S872" i="1"/>
  <c r="S825" i="1"/>
  <c r="S409" i="1"/>
  <c r="S596" i="1"/>
  <c r="S511" i="1"/>
  <c r="S888" i="1"/>
  <c r="S248" i="1"/>
  <c r="S198" i="1"/>
  <c r="S232" i="1"/>
  <c r="S290" i="1"/>
  <c r="S788" i="1"/>
  <c r="S858" i="1"/>
  <c r="S61" i="1"/>
  <c r="S247" i="1"/>
  <c r="S473" i="1"/>
  <c r="S869" i="1"/>
  <c r="S48" i="1"/>
  <c r="S476" i="1"/>
  <c r="S396" i="1"/>
  <c r="S489" i="1"/>
  <c r="S120" i="1"/>
  <c r="S89" i="1"/>
  <c r="S928" i="1"/>
  <c r="S849" i="1"/>
  <c r="S79" i="1"/>
  <c r="S658" i="1"/>
  <c r="S155" i="1"/>
  <c r="S886" i="1"/>
  <c r="S49" i="1"/>
  <c r="S748" i="1"/>
  <c r="S528" i="1"/>
  <c r="S171" i="1"/>
  <c r="S603" i="1"/>
  <c r="S801" i="1"/>
  <c r="S938" i="1"/>
  <c r="S107" i="1"/>
  <c r="S715" i="1"/>
  <c r="S160" i="1"/>
  <c r="S516" i="1"/>
  <c r="S58" i="1"/>
  <c r="S168" i="1"/>
  <c r="S405" i="1"/>
  <c r="S490" i="1"/>
  <c r="S128" i="1"/>
  <c r="S854" i="1"/>
  <c r="S749" i="1"/>
  <c r="S982" i="1"/>
  <c r="S95" i="1"/>
  <c r="S522" i="1"/>
  <c r="S743" i="1"/>
  <c r="S877" i="1"/>
  <c r="S790" i="1"/>
  <c r="S573" i="1"/>
  <c r="S219" i="1"/>
  <c r="S26" i="1"/>
  <c r="S972" i="1"/>
  <c r="S67" i="1"/>
  <c r="S62" i="1"/>
  <c r="S558" i="1"/>
  <c r="S734" i="1"/>
  <c r="S905" i="1"/>
  <c r="S439" i="1"/>
  <c r="S254" i="1"/>
  <c r="S683" i="1"/>
  <c r="S803" i="1"/>
  <c r="S732" i="1"/>
  <c r="S50" i="1"/>
  <c r="S881" i="1"/>
  <c r="S121" i="1"/>
  <c r="S820" i="1"/>
  <c r="S63" i="1"/>
  <c r="S589" i="1"/>
  <c r="S125" i="1"/>
  <c r="S149" i="1"/>
  <c r="S480" i="1"/>
  <c r="S781" i="1"/>
  <c r="S818" i="1"/>
  <c r="S564" i="1"/>
  <c r="S102" i="1"/>
  <c r="S142" i="1"/>
  <c r="S51" i="1"/>
  <c r="S636" i="1"/>
  <c r="S762" i="1"/>
  <c r="S630" i="1"/>
  <c r="S215" i="1"/>
  <c r="S350" i="1"/>
  <c r="S428" i="1"/>
  <c r="S296" i="1"/>
  <c r="S948" i="1"/>
  <c r="S18" i="1"/>
  <c r="S915" i="1"/>
  <c r="S817" i="1"/>
  <c r="S108" i="1"/>
  <c r="S123" i="1"/>
  <c r="S838" i="1"/>
  <c r="S220" i="1"/>
  <c r="S951" i="1"/>
  <c r="S878" i="1"/>
  <c r="S925" i="1"/>
  <c r="S410" i="1"/>
  <c r="S193" i="1"/>
  <c r="S864" i="1"/>
  <c r="S366" i="1"/>
  <c r="S587" i="1"/>
  <c r="S796" i="1"/>
  <c r="S859" i="1"/>
  <c r="S208" i="1"/>
  <c r="S96" i="1"/>
  <c r="S965" i="1"/>
  <c r="S835" i="1"/>
  <c r="S958" i="1"/>
  <c r="S733" i="1"/>
  <c r="S327" i="1"/>
  <c r="S753" i="1"/>
  <c r="S90" i="1"/>
  <c r="S623" i="1"/>
  <c r="S334" i="1"/>
  <c r="S534" i="1"/>
  <c r="S392" i="1"/>
  <c r="S681" i="1"/>
  <c r="S652" i="1"/>
  <c r="S80" i="1"/>
  <c r="S716" i="1"/>
  <c r="S780" i="1"/>
  <c r="S574" i="1"/>
  <c r="S285" i="1"/>
  <c r="S735" i="1"/>
  <c r="S261" i="1"/>
  <c r="S64" i="1"/>
  <c r="S584" i="1"/>
  <c r="S772" i="1"/>
  <c r="S914" i="1"/>
  <c r="S258" i="1"/>
  <c r="S103" i="1"/>
  <c r="S483" i="1"/>
  <c r="S723" i="1"/>
  <c r="S936" i="1"/>
  <c r="S687" i="1"/>
  <c r="S540" i="1"/>
  <c r="S164" i="1"/>
  <c r="S754" i="1"/>
  <c r="S934" i="1"/>
  <c r="S933" i="1"/>
  <c r="S544" i="1"/>
  <c r="S741" i="1"/>
  <c r="S397" i="1"/>
  <c r="S679" i="1"/>
  <c r="S570" i="1"/>
  <c r="S979" i="1"/>
  <c r="S935" i="1"/>
  <c r="S641" i="1"/>
  <c r="S846" i="1"/>
  <c r="S614" i="1"/>
  <c r="S429" i="1"/>
  <c r="S342" i="1"/>
  <c r="S209" i="1"/>
  <c r="S368" i="1"/>
  <c r="S275" i="1"/>
  <c r="S942" i="1"/>
  <c r="S434" i="1"/>
  <c r="S425" i="1"/>
  <c r="S799" i="1"/>
  <c r="S163" i="1"/>
  <c r="S751" i="1"/>
  <c r="S183" i="1"/>
  <c r="S785" i="1"/>
  <c r="S898" i="1"/>
  <c r="S19" i="1"/>
  <c r="S293" i="1"/>
  <c r="S262" i="1"/>
  <c r="S245" i="1"/>
  <c r="S797" i="1"/>
  <c r="S20" i="1"/>
  <c r="S774" i="1"/>
  <c r="S353" i="1"/>
  <c r="S91" i="1"/>
  <c r="S727" i="1"/>
  <c r="S238" i="1"/>
  <c r="S335" i="1"/>
  <c r="S987" i="1"/>
  <c r="S185" i="1"/>
  <c r="S373" i="1"/>
  <c r="S470" i="1"/>
  <c r="S880" i="1"/>
  <c r="S430" i="1"/>
  <c r="S713" i="1"/>
  <c r="S974" i="1"/>
  <c r="S203" i="1"/>
  <c r="S703" i="1"/>
  <c r="S932" i="1"/>
  <c r="S956" i="1"/>
  <c r="S532" i="1"/>
  <c r="S582" i="1"/>
  <c r="S899" i="1"/>
  <c r="S829" i="1"/>
  <c r="S892" i="1"/>
  <c r="S841" i="1"/>
  <c r="S765" i="1"/>
  <c r="S27" i="1"/>
  <c r="S757" i="1"/>
  <c r="S463" i="1"/>
  <c r="S787" i="1"/>
  <c r="S710" i="1"/>
  <c r="S492" i="1"/>
  <c r="S546" i="1"/>
  <c r="S811" i="1"/>
  <c r="S52" i="1"/>
  <c r="S53" i="1"/>
  <c r="S379" i="1"/>
  <c r="S323" i="1"/>
  <c r="S894" i="1"/>
  <c r="S590" i="1"/>
  <c r="S263" i="1"/>
  <c r="S634" i="1"/>
  <c r="S850" i="1"/>
  <c r="S728" i="1"/>
  <c r="S726" i="1"/>
  <c r="S21" i="1"/>
  <c r="S510" i="1"/>
  <c r="S599" i="1"/>
  <c r="S297" i="1"/>
  <c r="S305" i="1"/>
  <c r="S553" i="1"/>
  <c r="S340" i="1"/>
  <c r="S876" i="1"/>
  <c r="S750" i="1"/>
  <c r="S188" i="1"/>
  <c r="S633" i="1"/>
  <c r="S65" i="1"/>
  <c r="S833" i="1"/>
  <c r="S654" i="1"/>
  <c r="S150" i="1"/>
  <c r="S362" i="1"/>
  <c r="S855" i="1"/>
  <c r="S975" i="1"/>
  <c r="S834" i="1"/>
  <c r="S303" i="1"/>
  <c r="S28" i="1"/>
  <c r="S543" i="1"/>
  <c r="S962" i="1"/>
  <c r="S527" i="1"/>
  <c r="S250" i="1"/>
  <c r="S773" i="1"/>
  <c r="S81" i="1"/>
  <c r="S535" i="1"/>
  <c r="S92" i="1"/>
  <c r="S324" i="1"/>
  <c r="S132" i="1"/>
  <c r="S447" i="1"/>
  <c r="S594" i="1"/>
  <c r="S99" i="1"/>
  <c r="S560" i="1"/>
  <c r="S868" i="1"/>
  <c r="S229" i="1"/>
  <c r="S851" i="1"/>
  <c r="S487" i="1"/>
  <c r="S54" i="1"/>
  <c r="R908" i="1"/>
  <c r="R973" i="1"/>
  <c r="R421" i="1"/>
  <c r="R690" i="1"/>
  <c r="R441" i="1"/>
  <c r="R588" i="1"/>
  <c r="R882" i="1"/>
  <c r="R481" i="1"/>
  <c r="R272" i="1"/>
  <c r="R717" i="1"/>
  <c r="R604" i="1"/>
  <c r="R518" i="1"/>
  <c r="R813" i="1"/>
  <c r="R414" i="1"/>
  <c r="R805" i="1"/>
  <c r="R386" i="1"/>
  <c r="R831" i="1"/>
  <c r="R244" i="1"/>
  <c r="R240" i="1"/>
  <c r="R541" i="1"/>
  <c r="R744" i="1"/>
  <c r="R68" i="1"/>
  <c r="R55" i="1"/>
  <c r="R33" i="1"/>
  <c r="R448" i="1"/>
  <c r="R417" i="1"/>
  <c r="R341" i="1"/>
  <c r="R712" i="1"/>
  <c r="R332" i="1"/>
  <c r="R22" i="1"/>
  <c r="R508" i="1"/>
  <c r="R364" i="1"/>
  <c r="R389" i="1"/>
  <c r="R301" i="1"/>
  <c r="R493" i="1"/>
  <c r="R85" i="1"/>
  <c r="R151" i="1"/>
  <c r="R609" i="1"/>
  <c r="R725" i="1"/>
  <c r="R2" i="1"/>
  <c r="R903" i="1"/>
  <c r="R498" i="1"/>
  <c r="R770" i="1"/>
  <c r="R354" i="1"/>
  <c r="R331" i="1"/>
  <c r="R411" i="1"/>
  <c r="R330" i="1"/>
  <c r="R912" i="1"/>
  <c r="R315" i="1"/>
  <c r="R310" i="1"/>
  <c r="R407" i="1"/>
  <c r="R824" i="1"/>
  <c r="R231" i="1"/>
  <c r="R34" i="1"/>
  <c r="R930" i="1"/>
  <c r="R907" i="1"/>
  <c r="R199" i="1"/>
  <c r="R146" i="1"/>
  <c r="R816" i="1"/>
  <c r="R249" i="1"/>
  <c r="R255" i="1"/>
  <c r="R644" i="1"/>
  <c r="R523" i="1"/>
  <c r="R187" i="1"/>
  <c r="R555" i="1"/>
  <c r="R697" i="1"/>
  <c r="R112" i="1"/>
  <c r="R35" i="1"/>
  <c r="R378" i="1"/>
  <c r="R921" i="1"/>
  <c r="R839" i="1"/>
  <c r="R642" i="1"/>
  <c r="R161" i="1"/>
  <c r="R316" i="1"/>
  <c r="R693" i="1"/>
  <c r="R608" i="1"/>
  <c r="R809" i="1"/>
  <c r="R526" i="1"/>
  <c r="R949" i="1"/>
  <c r="R806" i="1"/>
  <c r="R853" i="1"/>
  <c r="R731" i="1"/>
  <c r="R3" i="1"/>
  <c r="R755" i="1"/>
  <c r="R538" i="1"/>
  <c r="R104" i="1"/>
  <c r="R947" i="1"/>
  <c r="R968" i="1"/>
  <c r="R714" i="1"/>
  <c r="R777" i="1"/>
  <c r="R581" i="1"/>
  <c r="R294" i="1"/>
  <c r="R793" i="1"/>
  <c r="R402" i="1"/>
  <c r="R420" i="1"/>
  <c r="R276" i="1"/>
  <c r="R689" i="1"/>
  <c r="R311" i="1"/>
  <c r="R937" i="1"/>
  <c r="R7" i="1"/>
  <c r="R260" i="1"/>
  <c r="R782" i="1"/>
  <c r="R97" i="1"/>
  <c r="R676" i="1"/>
  <c r="R891" i="1"/>
  <c r="R567" i="1"/>
  <c r="R475" i="1"/>
  <c r="R618" i="1"/>
  <c r="R661" i="1"/>
  <c r="R767" i="1"/>
  <c r="R283" i="1"/>
  <c r="R282" i="1"/>
  <c r="R651" i="1"/>
  <c r="R427" i="1"/>
  <c r="R629" i="1"/>
  <c r="R59" i="1"/>
  <c r="R619" i="1"/>
  <c r="R929" i="1"/>
  <c r="R312" i="1"/>
  <c r="R93" i="1"/>
  <c r="R895" i="1"/>
  <c r="R196" i="1"/>
  <c r="R536" i="1"/>
  <c r="R981" i="1"/>
  <c r="R706" i="1"/>
  <c r="R268" i="1"/>
  <c r="R904" i="1"/>
  <c r="R349" i="1"/>
  <c r="R502" i="1"/>
  <c r="R159" i="1"/>
  <c r="R575" i="1"/>
  <c r="R549" i="1"/>
  <c r="R147" i="1"/>
  <c r="R29" i="1"/>
  <c r="R966" i="1"/>
  <c r="R612" i="1"/>
  <c r="R637" i="1"/>
  <c r="R348" i="1"/>
  <c r="R355" i="1"/>
  <c r="R664" i="1"/>
  <c r="R36" i="1"/>
  <c r="R607" i="1"/>
  <c r="R69" i="1"/>
  <c r="R239" i="1"/>
  <c r="R174" i="1"/>
  <c r="R798" i="1"/>
  <c r="R446" i="1"/>
  <c r="R184" i="1"/>
  <c r="R943" i="1"/>
  <c r="R627" i="1"/>
  <c r="R243" i="1"/>
  <c r="R610" i="1"/>
  <c r="R143" i="1"/>
  <c r="R758" i="1"/>
  <c r="R586" i="1"/>
  <c r="R954" i="1"/>
  <c r="R133" i="1"/>
  <c r="R224" i="1"/>
  <c r="R500" i="1"/>
  <c r="R484" i="1"/>
  <c r="R179" i="1"/>
  <c r="R157" i="1"/>
  <c r="R273" i="1"/>
  <c r="R217" i="1"/>
  <c r="R491" i="1"/>
  <c r="R216" i="1"/>
  <c r="R356" i="1"/>
  <c r="R8" i="1"/>
  <c r="R82" i="1"/>
  <c r="R230" i="1"/>
  <c r="R738" i="1"/>
  <c r="R413" i="1"/>
  <c r="R720" i="1"/>
  <c r="R663" i="1"/>
  <c r="R840" i="1"/>
  <c r="R566" i="1"/>
  <c r="R662" i="1"/>
  <c r="R37" i="1"/>
  <c r="R554" i="1"/>
  <c r="R910" i="1"/>
  <c r="R568" i="1"/>
  <c r="R645" i="1"/>
  <c r="R130" i="1"/>
  <c r="R684" i="1"/>
  <c r="R70" i="1"/>
  <c r="R277" i="1"/>
  <c r="R810" i="1"/>
  <c r="R394" i="1"/>
  <c r="R557" i="1"/>
  <c r="R426" i="1"/>
  <c r="R56" i="1"/>
  <c r="R884" i="1"/>
  <c r="R939" i="1"/>
  <c r="R443" i="1"/>
  <c r="R144" i="1"/>
  <c r="R344" i="1"/>
  <c r="R195" i="1"/>
  <c r="R920" i="1"/>
  <c r="R856" i="1"/>
  <c r="R867" i="1"/>
  <c r="R988" i="1"/>
  <c r="R671" i="1"/>
  <c r="R524" i="1"/>
  <c r="R845" i="1"/>
  <c r="R964" i="1"/>
  <c r="R71" i="1"/>
  <c r="R668" i="1"/>
  <c r="R983" i="1"/>
  <c r="R700" i="1"/>
  <c r="R752" i="1"/>
  <c r="R358" i="1"/>
  <c r="R698" i="1"/>
  <c r="R227" i="1"/>
  <c r="R235" i="1"/>
  <c r="R360" i="1"/>
  <c r="R66" i="1"/>
  <c r="R821" i="1"/>
  <c r="R718" i="1"/>
  <c r="R621" i="1"/>
  <c r="R896" i="1"/>
  <c r="R836" i="1"/>
  <c r="R339" i="1"/>
  <c r="R141" i="1"/>
  <c r="R202" i="1"/>
  <c r="R390" i="1"/>
  <c r="R60" i="1"/>
  <c r="R769" i="1"/>
  <c r="R847" i="1"/>
  <c r="R569" i="1"/>
  <c r="R122" i="1"/>
  <c r="R279" i="1"/>
  <c r="R388" i="1"/>
  <c r="R295" i="1"/>
  <c r="R113" i="1"/>
  <c r="R135" i="1"/>
  <c r="R256" i="1"/>
  <c r="R190" i="1"/>
  <c r="R559" i="1"/>
  <c r="R605" i="1"/>
  <c r="R23" i="1"/>
  <c r="R300" i="1"/>
  <c r="R172" i="1"/>
  <c r="R317" i="1"/>
  <c r="R648" i="1"/>
  <c r="R507" i="1"/>
  <c r="R506" i="1"/>
  <c r="R86" i="1"/>
  <c r="R615" i="1"/>
  <c r="R478" i="1"/>
  <c r="R848" i="1"/>
  <c r="R923" i="1"/>
  <c r="R827" i="1"/>
  <c r="R246" i="1"/>
  <c r="R783" i="1"/>
  <c r="R870" i="1"/>
  <c r="R415" i="1"/>
  <c r="R383" i="1"/>
  <c r="R545" i="1"/>
  <c r="R626" i="1"/>
  <c r="R9" i="1"/>
  <c r="R181" i="1"/>
  <c r="R746" i="1"/>
  <c r="R114" i="1"/>
  <c r="R105" i="1"/>
  <c r="R437" i="1"/>
  <c r="R572" i="1"/>
  <c r="R863" i="1"/>
  <c r="R576" i="1"/>
  <c r="R504" i="1"/>
  <c r="R212" i="1"/>
  <c r="R916" i="1"/>
  <c r="R804" i="1"/>
  <c r="R874" i="1"/>
  <c r="R72" i="1"/>
  <c r="R359" i="1"/>
  <c r="R514" i="1"/>
  <c r="R292" i="1"/>
  <c r="R653" i="1"/>
  <c r="R100" i="1"/>
  <c r="R611" i="1"/>
  <c r="R571" i="1"/>
  <c r="R328" i="1"/>
  <c r="R38" i="1"/>
  <c r="R969" i="1"/>
  <c r="R109" i="1"/>
  <c r="R517" i="1"/>
  <c r="R451" i="1"/>
  <c r="R946" i="1"/>
  <c r="R887" i="1"/>
  <c r="R685" i="1"/>
  <c r="R598" i="1"/>
  <c r="R464" i="1"/>
  <c r="R550" i="1"/>
  <c r="R495" i="1"/>
  <c r="R678" i="1"/>
  <c r="R57" i="1"/>
  <c r="R30" i="1"/>
  <c r="R24" i="1"/>
  <c r="R672" i="1"/>
  <c r="R25" i="1"/>
  <c r="R980" i="1"/>
  <c r="R10" i="1"/>
  <c r="R191" i="1"/>
  <c r="R384" i="1"/>
  <c r="R742" i="1"/>
  <c r="R861" i="1"/>
  <c r="R971" i="1"/>
  <c r="R127" i="1"/>
  <c r="R115" i="1"/>
  <c r="R548" i="1"/>
  <c r="R542" i="1"/>
  <c r="R39" i="1"/>
  <c r="R670" i="1"/>
  <c r="R313" i="1"/>
  <c r="R866" i="1"/>
  <c r="R562" i="1"/>
  <c r="R98" i="1"/>
  <c r="R270" i="1"/>
  <c r="R704" i="1"/>
  <c r="R264" i="1"/>
  <c r="R471" i="1"/>
  <c r="R893" i="1"/>
  <c r="R815" i="1"/>
  <c r="R456" i="1"/>
  <c r="R600" i="1"/>
  <c r="R561" i="1"/>
  <c r="R499" i="1"/>
  <c r="R110" i="1"/>
  <c r="R694" i="1"/>
  <c r="R126" i="1"/>
  <c r="R940" i="1"/>
  <c r="R885" i="1"/>
  <c r="R682" i="1"/>
  <c r="R485" i="1"/>
  <c r="R129" i="1"/>
  <c r="R597" i="1"/>
  <c r="R814" i="1"/>
  <c r="R318" i="1"/>
  <c r="R931" i="1"/>
  <c r="R40" i="1"/>
  <c r="R477" i="1"/>
  <c r="R957" i="1"/>
  <c r="R457" i="1"/>
  <c r="R395" i="1"/>
  <c r="R251" i="1"/>
  <c r="R494" i="1"/>
  <c r="R162" i="1"/>
  <c r="R961" i="1"/>
  <c r="R756" i="1"/>
  <c r="R468" i="1"/>
  <c r="R593" i="1"/>
  <c r="R180" i="1"/>
  <c r="R959" i="1"/>
  <c r="R424" i="1"/>
  <c r="R372" i="1"/>
  <c r="R595" i="1"/>
  <c r="R673" i="1"/>
  <c r="R433" i="1"/>
  <c r="R649" i="1"/>
  <c r="R197" i="1"/>
  <c r="R201" i="1"/>
  <c r="R213" i="1"/>
  <c r="R73" i="1"/>
  <c r="R284" i="1"/>
  <c r="R602" i="1"/>
  <c r="R269" i="1"/>
  <c r="R152" i="1"/>
  <c r="R711" i="1"/>
  <c r="R659" i="1"/>
  <c r="R926" i="1"/>
  <c r="R537" i="1"/>
  <c r="R585" i="1"/>
  <c r="R319" i="1"/>
  <c r="R458" i="1"/>
  <c r="R466" i="1"/>
  <c r="R186" i="1"/>
  <c r="R865" i="1"/>
  <c r="R906" i="1"/>
  <c r="R218" i="1"/>
  <c r="R398" i="1"/>
  <c r="R306" i="1"/>
  <c r="R31" i="1"/>
  <c r="R823" i="1"/>
  <c r="R800" i="1"/>
  <c r="R459" i="1"/>
  <c r="R205" i="1"/>
  <c r="R11" i="1"/>
  <c r="R967" i="1"/>
  <c r="R435" i="1"/>
  <c r="R819" i="1"/>
  <c r="R333" i="1"/>
  <c r="R167" i="1"/>
  <c r="R467" i="1"/>
  <c r="R635" i="1"/>
  <c r="R41" i="1"/>
  <c r="R873" i="1"/>
  <c r="R438" i="1"/>
  <c r="R918" i="1"/>
  <c r="R857" i="1"/>
  <c r="R286" i="1"/>
  <c r="R422" i="1"/>
  <c r="R953" i="1"/>
  <c r="R74" i="1"/>
  <c r="R228" i="1"/>
  <c r="R314" i="1"/>
  <c r="R640" i="1"/>
  <c r="R12" i="1"/>
  <c r="R583" i="1"/>
  <c r="R299" i="1"/>
  <c r="R556" i="1"/>
  <c r="R381" i="1"/>
  <c r="R206" i="1"/>
  <c r="R828" i="1"/>
  <c r="R509" i="1"/>
  <c r="R984" i="1"/>
  <c r="R42" i="1"/>
  <c r="R786" i="1"/>
  <c r="R552" i="1"/>
  <c r="R617" i="1"/>
  <c r="R606" i="1"/>
  <c r="R747" i="1"/>
  <c r="R897" i="1"/>
  <c r="R326" i="1"/>
  <c r="R722" i="1"/>
  <c r="R862" i="1"/>
  <c r="R647" i="1"/>
  <c r="R721" i="1"/>
  <c r="R367" i="1"/>
  <c r="R822" i="1"/>
  <c r="R423" i="1"/>
  <c r="R166" i="1"/>
  <c r="R176" i="1"/>
  <c r="R950" i="1"/>
  <c r="R393" i="1"/>
  <c r="R871" i="1"/>
  <c r="R628" i="1"/>
  <c r="R445" i="1"/>
  <c r="R643" i="1"/>
  <c r="R376" i="1"/>
  <c r="R449" i="1"/>
  <c r="R686" i="1"/>
  <c r="R177" i="1"/>
  <c r="R170" i="1"/>
  <c r="R436" i="1"/>
  <c r="R287" i="1"/>
  <c r="R837" i="1"/>
  <c r="R455" i="1"/>
  <c r="R917" i="1"/>
  <c r="R75" i="1"/>
  <c r="R794" i="1"/>
  <c r="R336" i="1"/>
  <c r="R724" i="1"/>
  <c r="R241" i="1"/>
  <c r="R329" i="1"/>
  <c r="R374" i="1"/>
  <c r="R565" i="1"/>
  <c r="R43" i="1"/>
  <c r="R280" i="1"/>
  <c r="R900" i="1"/>
  <c r="R416" i="1"/>
  <c r="R771" i="1"/>
  <c r="R989" i="1"/>
  <c r="R696" i="1"/>
  <c r="R795" i="1"/>
  <c r="R852" i="1"/>
  <c r="R223" i="1"/>
  <c r="R832" i="1"/>
  <c r="R620" i="1"/>
  <c r="R976" i="1"/>
  <c r="R363" i="1"/>
  <c r="R440" i="1"/>
  <c r="R660" i="1"/>
  <c r="R902" i="1"/>
  <c r="R913" i="1"/>
  <c r="R709" i="1"/>
  <c r="R624" i="1"/>
  <c r="R701" i="1"/>
  <c r="R236" i="1"/>
  <c r="R691" i="1"/>
  <c r="R200" i="1"/>
  <c r="R708" i="1"/>
  <c r="R154" i="1"/>
  <c r="R486" i="1"/>
  <c r="R909" i="1"/>
  <c r="R488" i="1"/>
  <c r="R106" i="1"/>
  <c r="R655" i="1"/>
  <c r="R111" i="1"/>
  <c r="R178" i="1"/>
  <c r="R513" i="1"/>
  <c r="R978" i="1"/>
  <c r="R669" i="1"/>
  <c r="R539" i="1"/>
  <c r="R347" i="1"/>
  <c r="R702" i="1"/>
  <c r="R591" i="1"/>
  <c r="R44" i="1"/>
  <c r="R766" i="1"/>
  <c r="R791" i="1"/>
  <c r="R986" i="1"/>
  <c r="R784" i="1"/>
  <c r="R265" i="1"/>
  <c r="R952" i="1"/>
  <c r="R460" i="1"/>
  <c r="R377" i="1"/>
  <c r="R432" i="1"/>
  <c r="R501" i="1"/>
  <c r="R474" i="1"/>
  <c r="R843" i="1"/>
  <c r="R204" i="1"/>
  <c r="R94" i="1"/>
  <c r="R707" i="1"/>
  <c r="R404" i="1"/>
  <c r="R192" i="1"/>
  <c r="R211" i="1"/>
  <c r="R465" i="1"/>
  <c r="R919" i="1"/>
  <c r="R461" i="1"/>
  <c r="R763" i="1"/>
  <c r="R116" i="1"/>
  <c r="R963" i="1"/>
  <c r="R4" i="1"/>
  <c r="R812" i="1"/>
  <c r="R408" i="1"/>
  <c r="R613" i="1"/>
  <c r="R680" i="1"/>
  <c r="R577" i="1"/>
  <c r="R320" i="1"/>
  <c r="R778" i="1"/>
  <c r="R13" i="1"/>
  <c r="R418" i="1"/>
  <c r="R234" i="1"/>
  <c r="R431" i="1"/>
  <c r="R380" i="1"/>
  <c r="R117" i="1"/>
  <c r="R101" i="1"/>
  <c r="R361" i="1"/>
  <c r="R365" i="1"/>
  <c r="R960" i="1"/>
  <c r="R156" i="1"/>
  <c r="R222" i="1"/>
  <c r="R666" i="1"/>
  <c r="R291" i="1"/>
  <c r="R401" i="1"/>
  <c r="R944" i="1"/>
  <c r="R45" i="1"/>
  <c r="R5" i="1"/>
  <c r="R911" i="1"/>
  <c r="R252" i="1"/>
  <c r="R145" i="1"/>
  <c r="R970" i="1"/>
  <c r="R875" i="1"/>
  <c r="R399" i="1"/>
  <c r="R214" i="1"/>
  <c r="R745" i="1"/>
  <c r="R338" i="1"/>
  <c r="R278" i="1"/>
  <c r="R118" i="1"/>
  <c r="R259" i="1"/>
  <c r="R14" i="1"/>
  <c r="R46" i="1"/>
  <c r="R267" i="1"/>
  <c r="R15" i="1"/>
  <c r="R136" i="1"/>
  <c r="R169" i="1"/>
  <c r="R357" i="1"/>
  <c r="R520" i="1"/>
  <c r="R802" i="1"/>
  <c r="R210" i="1"/>
  <c r="R453" i="1"/>
  <c r="R226" i="1"/>
  <c r="R692" i="1"/>
  <c r="R237" i="1"/>
  <c r="R601" i="1"/>
  <c r="R400" i="1"/>
  <c r="R826" i="1"/>
  <c r="R345" i="1"/>
  <c r="R922" i="1"/>
  <c r="R719" i="1"/>
  <c r="R225" i="1"/>
  <c r="R695" i="1"/>
  <c r="R321" i="1"/>
  <c r="R977" i="1"/>
  <c r="R288" i="1"/>
  <c r="R482" i="1"/>
  <c r="R343" i="1"/>
  <c r="R472" i="1"/>
  <c r="R768" i="1"/>
  <c r="R675" i="1"/>
  <c r="R505" i="1"/>
  <c r="R189" i="1"/>
  <c r="R308" i="1"/>
  <c r="R412" i="1"/>
  <c r="R730" i="1"/>
  <c r="R382" i="1"/>
  <c r="R131" i="1"/>
  <c r="R322" i="1"/>
  <c r="R479" i="1"/>
  <c r="R955" i="1"/>
  <c r="R729" i="1"/>
  <c r="R529" i="1"/>
  <c r="R677" i="1"/>
  <c r="R369" i="1"/>
  <c r="R175" i="1"/>
  <c r="R759" i="1"/>
  <c r="R274" i="1"/>
  <c r="R403" i="1"/>
  <c r="R592" i="1"/>
  <c r="R16" i="1"/>
  <c r="R391" i="1"/>
  <c r="R657" i="1"/>
  <c r="R632" i="1"/>
  <c r="R309" i="1"/>
  <c r="R579" i="1"/>
  <c r="R450" i="1"/>
  <c r="R346" i="1"/>
  <c r="R253" i="1"/>
  <c r="R17" i="1"/>
  <c r="R667" i="1"/>
  <c r="R371" i="1"/>
  <c r="R302" i="1"/>
  <c r="R531" i="1"/>
  <c r="R375" i="1"/>
  <c r="R737" i="1"/>
  <c r="R688" i="1"/>
  <c r="R860" i="1"/>
  <c r="R87" i="1"/>
  <c r="R901" i="1"/>
  <c r="R807" i="1"/>
  <c r="R325" i="1"/>
  <c r="R761" i="1"/>
  <c r="R242" i="1"/>
  <c r="R779" i="1"/>
  <c r="R521" i="1"/>
  <c r="R307" i="1"/>
  <c r="R140" i="1"/>
  <c r="R387" i="1"/>
  <c r="R139" i="1"/>
  <c r="R442" i="1"/>
  <c r="R941" i="1"/>
  <c r="R173" i="1"/>
  <c r="R530" i="1"/>
  <c r="R883" i="1"/>
  <c r="R298" i="1"/>
  <c r="R512" i="1"/>
  <c r="R844" i="1"/>
  <c r="R351" i="1"/>
  <c r="R889" i="1"/>
  <c r="R289" i="1"/>
  <c r="R148" i="1"/>
  <c r="R497" i="1"/>
  <c r="R879" i="1"/>
  <c r="R452" i="1"/>
  <c r="R271" i="1"/>
  <c r="R519" i="1"/>
  <c r="R257" i="1"/>
  <c r="R406" i="1"/>
  <c r="R83" i="1"/>
  <c r="R760" i="1"/>
  <c r="R890" i="1"/>
  <c r="R842" i="1"/>
  <c r="R134" i="1"/>
  <c r="R76" i="1"/>
  <c r="R137" i="1"/>
  <c r="R985" i="1"/>
  <c r="R775" i="1"/>
  <c r="R515" i="1"/>
  <c r="R736" i="1"/>
  <c r="R665" i="1"/>
  <c r="R182" i="1"/>
  <c r="R789" i="1"/>
  <c r="R764" i="1"/>
  <c r="R158" i="1"/>
  <c r="R705" i="1"/>
  <c r="R927" i="1"/>
  <c r="R370" i="1"/>
  <c r="R792" i="1"/>
  <c r="R496" i="1"/>
  <c r="R462" i="1"/>
  <c r="R580" i="1"/>
  <c r="R84" i="1"/>
  <c r="R194" i="1"/>
  <c r="R221" i="1"/>
  <c r="R656" i="1"/>
  <c r="R233" i="1"/>
  <c r="R304" i="1"/>
  <c r="R444" i="1"/>
  <c r="R165" i="1"/>
  <c r="R153" i="1"/>
  <c r="R646" i="1"/>
  <c r="R454" i="1"/>
  <c r="R6" i="1"/>
  <c r="R525" i="1"/>
  <c r="R337" i="1"/>
  <c r="R138" i="1"/>
  <c r="R385" i="1"/>
  <c r="R124" i="1"/>
  <c r="R47" i="1"/>
  <c r="R77" i="1"/>
  <c r="R739" i="1"/>
  <c r="R631" i="1"/>
  <c r="R650" i="1"/>
  <c r="R699" i="1"/>
  <c r="R551" i="1"/>
  <c r="R674" i="1"/>
  <c r="R616" i="1"/>
  <c r="R578" i="1"/>
  <c r="R625" i="1"/>
  <c r="R639" i="1"/>
  <c r="R924" i="1"/>
  <c r="R119" i="1"/>
  <c r="R808" i="1"/>
  <c r="R207" i="1"/>
  <c r="R281" i="1"/>
  <c r="R740" i="1"/>
  <c r="R830" i="1"/>
  <c r="R419" i="1"/>
  <c r="R266" i="1"/>
  <c r="R503" i="1"/>
  <c r="R945" i="1"/>
  <c r="R547" i="1"/>
  <c r="R469" i="1"/>
  <c r="R563" i="1"/>
  <c r="R32" i="1"/>
  <c r="R622" i="1"/>
  <c r="R638" i="1"/>
  <c r="R776" i="1"/>
  <c r="R533" i="1"/>
  <c r="R352" i="1"/>
  <c r="R88" i="1"/>
  <c r="R78" i="1"/>
  <c r="R872" i="1"/>
  <c r="R825" i="1"/>
  <c r="R409" i="1"/>
  <c r="R596" i="1"/>
  <c r="R511" i="1"/>
  <c r="R888" i="1"/>
  <c r="R248" i="1"/>
  <c r="R198" i="1"/>
  <c r="R232" i="1"/>
  <c r="R290" i="1"/>
  <c r="R788" i="1"/>
  <c r="R858" i="1"/>
  <c r="R61" i="1"/>
  <c r="R247" i="1"/>
  <c r="R473" i="1"/>
  <c r="R869" i="1"/>
  <c r="R48" i="1"/>
  <c r="R476" i="1"/>
  <c r="R396" i="1"/>
  <c r="R489" i="1"/>
  <c r="R120" i="1"/>
  <c r="R89" i="1"/>
  <c r="R928" i="1"/>
  <c r="R849" i="1"/>
  <c r="R79" i="1"/>
  <c r="R658" i="1"/>
  <c r="R155" i="1"/>
  <c r="R886" i="1"/>
  <c r="R49" i="1"/>
  <c r="R748" i="1"/>
  <c r="R528" i="1"/>
  <c r="R171" i="1"/>
  <c r="R603" i="1"/>
  <c r="R801" i="1"/>
  <c r="R938" i="1"/>
  <c r="R107" i="1"/>
  <c r="R715" i="1"/>
  <c r="R160" i="1"/>
  <c r="R516" i="1"/>
  <c r="R58" i="1"/>
  <c r="R168" i="1"/>
  <c r="R405" i="1"/>
  <c r="R490" i="1"/>
  <c r="R128" i="1"/>
  <c r="R854" i="1"/>
  <c r="R749" i="1"/>
  <c r="R982" i="1"/>
  <c r="R95" i="1"/>
  <c r="R522" i="1"/>
  <c r="R743" i="1"/>
  <c r="R877" i="1"/>
  <c r="R790" i="1"/>
  <c r="R573" i="1"/>
  <c r="R219" i="1"/>
  <c r="R26" i="1"/>
  <c r="R972" i="1"/>
  <c r="R67" i="1"/>
  <c r="R62" i="1"/>
  <c r="R558" i="1"/>
  <c r="R734" i="1"/>
  <c r="R905" i="1"/>
  <c r="R439" i="1"/>
  <c r="R254" i="1"/>
  <c r="R683" i="1"/>
  <c r="R803" i="1"/>
  <c r="R732" i="1"/>
  <c r="R50" i="1"/>
  <c r="R881" i="1"/>
  <c r="R121" i="1"/>
  <c r="R820" i="1"/>
  <c r="R63" i="1"/>
  <c r="R589" i="1"/>
  <c r="R125" i="1"/>
  <c r="R149" i="1"/>
  <c r="R480" i="1"/>
  <c r="R781" i="1"/>
  <c r="R818" i="1"/>
  <c r="R564" i="1"/>
  <c r="R102" i="1"/>
  <c r="R142" i="1"/>
  <c r="R51" i="1"/>
  <c r="R636" i="1"/>
  <c r="R762" i="1"/>
  <c r="R630" i="1"/>
  <c r="R215" i="1"/>
  <c r="R350" i="1"/>
  <c r="R428" i="1"/>
  <c r="R296" i="1"/>
  <c r="R948" i="1"/>
  <c r="R18" i="1"/>
  <c r="R915" i="1"/>
  <c r="R817" i="1"/>
  <c r="R108" i="1"/>
  <c r="R123" i="1"/>
  <c r="R838" i="1"/>
  <c r="R220" i="1"/>
  <c r="R951" i="1"/>
  <c r="R878" i="1"/>
  <c r="R925" i="1"/>
  <c r="R410" i="1"/>
  <c r="R193" i="1"/>
  <c r="R864" i="1"/>
  <c r="R366" i="1"/>
  <c r="R587" i="1"/>
  <c r="R796" i="1"/>
  <c r="R859" i="1"/>
  <c r="R208" i="1"/>
  <c r="R96" i="1"/>
  <c r="R965" i="1"/>
  <c r="R835" i="1"/>
  <c r="R958" i="1"/>
  <c r="R733" i="1"/>
  <c r="R327" i="1"/>
  <c r="R753" i="1"/>
  <c r="R90" i="1"/>
  <c r="R623" i="1"/>
  <c r="R334" i="1"/>
  <c r="R534" i="1"/>
  <c r="R392" i="1"/>
  <c r="R681" i="1"/>
  <c r="R652" i="1"/>
  <c r="R80" i="1"/>
  <c r="R716" i="1"/>
  <c r="R780" i="1"/>
  <c r="R574" i="1"/>
  <c r="R285" i="1"/>
  <c r="R735" i="1"/>
  <c r="R261" i="1"/>
  <c r="R64" i="1"/>
  <c r="R584" i="1"/>
  <c r="R772" i="1"/>
  <c r="R914" i="1"/>
  <c r="R258" i="1"/>
  <c r="R103" i="1"/>
  <c r="R483" i="1"/>
  <c r="R723" i="1"/>
  <c r="R936" i="1"/>
  <c r="R687" i="1"/>
  <c r="R540" i="1"/>
  <c r="R164" i="1"/>
  <c r="R754" i="1"/>
  <c r="R934" i="1"/>
  <c r="R933" i="1"/>
  <c r="R544" i="1"/>
  <c r="R741" i="1"/>
  <c r="R397" i="1"/>
  <c r="R679" i="1"/>
  <c r="R570" i="1"/>
  <c r="R979" i="1"/>
  <c r="R935" i="1"/>
  <c r="R641" i="1"/>
  <c r="R846" i="1"/>
  <c r="R614" i="1"/>
  <c r="R429" i="1"/>
  <c r="R342" i="1"/>
  <c r="R209" i="1"/>
  <c r="R368" i="1"/>
  <c r="R275" i="1"/>
  <c r="R942" i="1"/>
  <c r="R434" i="1"/>
  <c r="R425" i="1"/>
  <c r="R799" i="1"/>
  <c r="R163" i="1"/>
  <c r="R751" i="1"/>
  <c r="R183" i="1"/>
  <c r="R785" i="1"/>
  <c r="R898" i="1"/>
  <c r="R19" i="1"/>
  <c r="R293" i="1"/>
  <c r="R262" i="1"/>
  <c r="R245" i="1"/>
  <c r="R797" i="1"/>
  <c r="R20" i="1"/>
  <c r="R774" i="1"/>
  <c r="R353" i="1"/>
  <c r="R91" i="1"/>
  <c r="R727" i="1"/>
  <c r="R238" i="1"/>
  <c r="R335" i="1"/>
  <c r="R987" i="1"/>
  <c r="R185" i="1"/>
  <c r="R373" i="1"/>
  <c r="R470" i="1"/>
  <c r="R880" i="1"/>
  <c r="R430" i="1"/>
  <c r="R713" i="1"/>
  <c r="R974" i="1"/>
  <c r="R203" i="1"/>
  <c r="R703" i="1"/>
  <c r="R932" i="1"/>
  <c r="R956" i="1"/>
  <c r="R532" i="1"/>
  <c r="R582" i="1"/>
  <c r="R899" i="1"/>
  <c r="R829" i="1"/>
  <c r="R892" i="1"/>
  <c r="R841" i="1"/>
  <c r="R765" i="1"/>
  <c r="R27" i="1"/>
  <c r="R757" i="1"/>
  <c r="R463" i="1"/>
  <c r="R787" i="1"/>
  <c r="R710" i="1"/>
  <c r="R492" i="1"/>
  <c r="R546" i="1"/>
  <c r="R811" i="1"/>
  <c r="R52" i="1"/>
  <c r="R53" i="1"/>
  <c r="R379" i="1"/>
  <c r="R323" i="1"/>
  <c r="R894" i="1"/>
  <c r="R590" i="1"/>
  <c r="R263" i="1"/>
  <c r="R634" i="1"/>
  <c r="R850" i="1"/>
  <c r="R728" i="1"/>
  <c r="R726" i="1"/>
  <c r="R21" i="1"/>
  <c r="R510" i="1"/>
  <c r="R599" i="1"/>
  <c r="R297" i="1"/>
  <c r="R305" i="1"/>
  <c r="R553" i="1"/>
  <c r="R340" i="1"/>
  <c r="R876" i="1"/>
  <c r="R750" i="1"/>
  <c r="R188" i="1"/>
  <c r="R633" i="1"/>
  <c r="R65" i="1"/>
  <c r="R833" i="1"/>
  <c r="R654" i="1"/>
  <c r="R150" i="1"/>
  <c r="R362" i="1"/>
  <c r="R855" i="1"/>
  <c r="R975" i="1"/>
  <c r="R834" i="1"/>
  <c r="R303" i="1"/>
  <c r="R28" i="1"/>
  <c r="R543" i="1"/>
  <c r="R962" i="1"/>
  <c r="R527" i="1"/>
  <c r="R250" i="1"/>
  <c r="R773" i="1"/>
  <c r="R81" i="1"/>
  <c r="R535" i="1"/>
  <c r="R92" i="1"/>
  <c r="R324" i="1"/>
  <c r="R132" i="1"/>
  <c r="R447" i="1"/>
  <c r="R594" i="1"/>
  <c r="R99" i="1"/>
  <c r="R560" i="1"/>
  <c r="R868" i="1"/>
  <c r="R229" i="1"/>
  <c r="R851" i="1"/>
  <c r="R487" i="1"/>
  <c r="R54" i="1"/>
  <c r="U125" i="1" l="1"/>
  <c r="U673" i="1"/>
  <c r="U672" i="1"/>
  <c r="U671" i="1"/>
  <c r="U750" i="1"/>
  <c r="U748" i="1"/>
  <c r="U749" i="1"/>
  <c r="U747" i="1"/>
  <c r="U109" i="1"/>
  <c r="U110" i="1"/>
  <c r="U111" i="1"/>
  <c r="U396" i="1"/>
  <c r="U395" i="1"/>
  <c r="U394" i="1"/>
  <c r="U324" i="1"/>
  <c r="U323" i="1"/>
  <c r="U322" i="1"/>
  <c r="U321" i="1"/>
  <c r="U320" i="1"/>
  <c r="U319" i="1"/>
  <c r="U318" i="1"/>
  <c r="U317" i="1"/>
  <c r="U463" i="1"/>
  <c r="U316" i="1"/>
  <c r="U462" i="1"/>
  <c r="U456" i="1"/>
  <c r="U457" i="1"/>
  <c r="U458" i="1"/>
  <c r="U459" i="1"/>
  <c r="U460" i="1"/>
  <c r="U461" i="1"/>
  <c r="U896" i="1"/>
  <c r="U897" i="1"/>
  <c r="U898" i="1"/>
  <c r="U334" i="1"/>
  <c r="U335" i="1"/>
  <c r="U333" i="1"/>
  <c r="U332" i="1"/>
  <c r="U768" i="1"/>
  <c r="U767" i="1"/>
  <c r="U455" i="1"/>
</calcChain>
</file>

<file path=xl/sharedStrings.xml><?xml version="1.0" encoding="utf-8"?>
<sst xmlns="http://schemas.openxmlformats.org/spreadsheetml/2006/main" count="7984" uniqueCount="1194">
  <si>
    <t>User_ID</t>
  </si>
  <si>
    <t>Age</t>
  </si>
  <si>
    <t>Gender</t>
  </si>
  <si>
    <t>Country</t>
  </si>
  <si>
    <t>User_Type</t>
  </si>
  <si>
    <t>Education_Level</t>
  </si>
  <si>
    <t>Profession</t>
  </si>
  <si>
    <t>Monthly_Income</t>
  </si>
  <si>
    <t>AI_Tool</t>
  </si>
  <si>
    <t>AI_Purpose</t>
  </si>
  <si>
    <t>AI_Usage_Hours_Per_Day</t>
  </si>
  <si>
    <t>Monthly_AI_Cost</t>
  </si>
  <si>
    <t>Productivity_Score</t>
  </si>
  <si>
    <t>Accuracy_Rating</t>
  </si>
  <si>
    <t>Satisfaction_Score</t>
  </si>
  <si>
    <t>Time_Saved_Hours_Per_Week</t>
  </si>
  <si>
    <t>Work_or_Study_Hours_Per_Day</t>
  </si>
  <si>
    <t>Age Imputed</t>
  </si>
  <si>
    <t>Country Imputed</t>
  </si>
  <si>
    <t>Profession imputed</t>
  </si>
  <si>
    <t>Monthly income imputed</t>
  </si>
  <si>
    <t>U90158</t>
  </si>
  <si>
    <t>Female</t>
  </si>
  <si>
    <t>Germany</t>
  </si>
  <si>
    <t>Professional</t>
  </si>
  <si>
    <t>Bachelor's</t>
  </si>
  <si>
    <t xml:space="preserve"> Customer Service Specialist</t>
  </si>
  <si>
    <t>Customer Support</t>
  </si>
  <si>
    <t>U0259</t>
  </si>
  <si>
    <t>Male</t>
  </si>
  <si>
    <t>Brazil</t>
  </si>
  <si>
    <t>PhD</t>
  </si>
  <si>
    <t xml:space="preserve"> Software Senior</t>
  </si>
  <si>
    <t>Coding</t>
  </si>
  <si>
    <t>U0186</t>
  </si>
  <si>
    <t>Philippines</t>
  </si>
  <si>
    <t>Academic Research Professor and Technical Writer</t>
  </si>
  <si>
    <t>Grammarly</t>
  </si>
  <si>
    <t>Writing</t>
  </si>
  <si>
    <t>U90024</t>
  </si>
  <si>
    <t>U90395</t>
  </si>
  <si>
    <t>U90468</t>
  </si>
  <si>
    <t>U90593</t>
  </si>
  <si>
    <t>U0131</t>
  </si>
  <si>
    <t>United States</t>
  </si>
  <si>
    <t>Diploma</t>
  </si>
  <si>
    <t>Administrative Assistant</t>
  </si>
  <si>
    <t>Office Work</t>
  </si>
  <si>
    <t>U0192</t>
  </si>
  <si>
    <t>Kenya</t>
  </si>
  <si>
    <t>High School</t>
  </si>
  <si>
    <t>U0026</t>
  </si>
  <si>
    <t>India</t>
  </si>
  <si>
    <t>Google Gemini</t>
  </si>
  <si>
    <t>U0286</t>
  </si>
  <si>
    <t>Master's</t>
  </si>
  <si>
    <t>U0242</t>
  </si>
  <si>
    <t>Pakistan</t>
  </si>
  <si>
    <t>Claude</t>
  </si>
  <si>
    <t>U0220</t>
  </si>
  <si>
    <t>U90030</t>
  </si>
  <si>
    <t>U90190</t>
  </si>
  <si>
    <t>U90299</t>
  </si>
  <si>
    <t>U90351</t>
  </si>
  <si>
    <t>U90383</t>
  </si>
  <si>
    <t>U90433</t>
  </si>
  <si>
    <t>U90502</t>
  </si>
  <si>
    <t>U0195</t>
  </si>
  <si>
    <t>Administrative Executive</t>
  </si>
  <si>
    <t>Perplexity AI</t>
  </si>
  <si>
    <t>U90322</t>
  </si>
  <si>
    <t>U90413</t>
  </si>
  <si>
    <t>U0175</t>
  </si>
  <si>
    <t>UNKNOWN</t>
  </si>
  <si>
    <t>AI Content Strategist</t>
  </si>
  <si>
    <t>Content Creation</t>
  </si>
  <si>
    <t>U90290</t>
  </si>
  <si>
    <t>U90305</t>
  </si>
  <si>
    <t>U90578</t>
  </si>
  <si>
    <t>U90631</t>
  </si>
  <si>
    <t>U90645</t>
  </si>
  <si>
    <t>U90659</t>
  </si>
  <si>
    <t>U0030</t>
  </si>
  <si>
    <t>AI Customer Success Manager</t>
  </si>
  <si>
    <t>U90012</t>
  </si>
  <si>
    <t>U90180</t>
  </si>
  <si>
    <t>U90211</t>
  </si>
  <si>
    <t>U90376</t>
  </si>
  <si>
    <t>U0199</t>
  </si>
  <si>
    <t>Nigeria</t>
  </si>
  <si>
    <t>AI Customer Support Specialist</t>
  </si>
  <si>
    <t>U0161</t>
  </si>
  <si>
    <t>Canada</t>
  </si>
  <si>
    <t>U90159</t>
  </si>
  <si>
    <t>U90256</t>
  </si>
  <si>
    <t>U90503</t>
  </si>
  <si>
    <t>U90539</t>
  </si>
  <si>
    <t>U90580</t>
  </si>
  <si>
    <t>U90592</t>
  </si>
  <si>
    <t>U90673</t>
  </si>
  <si>
    <t>U0176</t>
  </si>
  <si>
    <t>AI-Powered Customer Support Executive</t>
  </si>
  <si>
    <t>U90311</t>
  </si>
  <si>
    <t>U90587</t>
  </si>
  <si>
    <t>U0168</t>
  </si>
  <si>
    <t>Analyst Senior</t>
  </si>
  <si>
    <t>Data Analysis</t>
  </si>
  <si>
    <t>U90316</t>
  </si>
  <si>
    <t>U90370</t>
  </si>
  <si>
    <t>U90569</t>
  </si>
  <si>
    <t>U0156</t>
  </si>
  <si>
    <t>Student</t>
  </si>
  <si>
    <t>Artificial Intelligence &amp; Digital Media Student</t>
  </si>
  <si>
    <t>claude</t>
  </si>
  <si>
    <t>U90277</t>
  </si>
  <si>
    <t>U90666</t>
  </si>
  <si>
    <t>U0219</t>
  </si>
  <si>
    <t>United Kingdom</t>
  </si>
  <si>
    <t>Artificial Intelligence and Machine Learning Student</t>
  </si>
  <si>
    <t>U90092</t>
  </si>
  <si>
    <t>U90205</t>
  </si>
  <si>
    <t>U90358</t>
  </si>
  <si>
    <t>U0127</t>
  </si>
  <si>
    <t>Artificial Intelligence Research Student</t>
  </si>
  <si>
    <t>Studying</t>
  </si>
  <si>
    <t>U90233</t>
  </si>
  <si>
    <t>U90258</t>
  </si>
  <si>
    <t>U90403</t>
  </si>
  <si>
    <t>U0039</t>
  </si>
  <si>
    <t>Bioinformatics Student</t>
  </si>
  <si>
    <t>Research</t>
  </si>
  <si>
    <t>U0263</t>
  </si>
  <si>
    <t>Undergraduate</t>
  </si>
  <si>
    <t>Biology Student</t>
  </si>
  <si>
    <t>U0228</t>
  </si>
  <si>
    <t>U0016</t>
  </si>
  <si>
    <t>U0268</t>
  </si>
  <si>
    <t>France</t>
  </si>
  <si>
    <t>U0222</t>
  </si>
  <si>
    <t>Microsoft Copilot</t>
  </si>
  <si>
    <t>U0101</t>
  </si>
  <si>
    <t>U0033</t>
  </si>
  <si>
    <t>U0241</t>
  </si>
  <si>
    <t>U0210</t>
  </si>
  <si>
    <t>U0068</t>
  </si>
  <si>
    <t>U0146</t>
  </si>
  <si>
    <t>U90013</t>
  </si>
  <si>
    <t>U90090</t>
  </si>
  <si>
    <t>U90098</t>
  </si>
  <si>
    <t>U90102</t>
  </si>
  <si>
    <t>U90118</t>
  </si>
  <si>
    <t>U90129</t>
  </si>
  <si>
    <t>U90150</t>
  </si>
  <si>
    <t>U90227</t>
  </si>
  <si>
    <t>U90241</t>
  </si>
  <si>
    <t>U90249</t>
  </si>
  <si>
    <t>U90271</t>
  </si>
  <si>
    <t>U90274</t>
  </si>
  <si>
    <t>U90280</t>
  </si>
  <si>
    <t>U90312</t>
  </si>
  <si>
    <t>U90320</t>
  </si>
  <si>
    <t>U90329</t>
  </si>
  <si>
    <t>U90367</t>
  </si>
  <si>
    <t>U90402</t>
  </si>
  <si>
    <t>U90428</t>
  </si>
  <si>
    <t>U90496</t>
  </si>
  <si>
    <t>U90529</t>
  </si>
  <si>
    <t>U90532</t>
  </si>
  <si>
    <t>U90559</t>
  </si>
  <si>
    <t>U90581</t>
  </si>
  <si>
    <t>U90610</t>
  </si>
  <si>
    <t>U90613</t>
  </si>
  <si>
    <t>U90615</t>
  </si>
  <si>
    <t>U90621</t>
  </si>
  <si>
    <t>U90651</t>
  </si>
  <si>
    <t>U90660</t>
  </si>
  <si>
    <t>U90661</t>
  </si>
  <si>
    <t>U90675</t>
  </si>
  <si>
    <t>U0133</t>
  </si>
  <si>
    <t>Biomedical Engineering Student</t>
  </si>
  <si>
    <t>U0117</t>
  </si>
  <si>
    <t>U0123</t>
  </si>
  <si>
    <t>U90134</t>
  </si>
  <si>
    <t>U90268</t>
  </si>
  <si>
    <t>U90346</t>
  </si>
  <si>
    <t>U90405</t>
  </si>
  <si>
    <t>U90570</t>
  </si>
  <si>
    <t>U90611</t>
  </si>
  <si>
    <t>U0166</t>
  </si>
  <si>
    <t>Australia</t>
  </si>
  <si>
    <t>Biomedical Science Student</t>
  </si>
  <si>
    <t>U90031</t>
  </si>
  <si>
    <t>U90056</t>
  </si>
  <si>
    <t>U90075</t>
  </si>
  <si>
    <t>U90111</t>
  </si>
  <si>
    <t>U90295</t>
  </si>
  <si>
    <t>U90425</t>
  </si>
  <si>
    <t>U0260</t>
  </si>
  <si>
    <t>Biotechnology PhD Student</t>
  </si>
  <si>
    <t>U90078</t>
  </si>
  <si>
    <t>U90373</t>
  </si>
  <si>
    <t>U90480</t>
  </si>
  <si>
    <t>U0067</t>
  </si>
  <si>
    <t>Biotechnology Student</t>
  </si>
  <si>
    <t>U0202</t>
  </si>
  <si>
    <t>india</t>
  </si>
  <si>
    <t>U90063</t>
  </si>
  <si>
    <t>U90154</t>
  </si>
  <si>
    <t>U90164</t>
  </si>
  <si>
    <t>U90291</t>
  </si>
  <si>
    <t>U90343</t>
  </si>
  <si>
    <t>U90623</t>
  </si>
  <si>
    <t>U0132</t>
  </si>
  <si>
    <t>Business Administration Student</t>
  </si>
  <si>
    <t>U0052</t>
  </si>
  <si>
    <t>U0042</t>
  </si>
  <si>
    <t>U0105</t>
  </si>
  <si>
    <t>U0015</t>
  </si>
  <si>
    <t>Graduate</t>
  </si>
  <si>
    <t>U0051</t>
  </si>
  <si>
    <t>U90009</t>
  </si>
  <si>
    <t>U90011</t>
  </si>
  <si>
    <t>U90029</t>
  </si>
  <si>
    <t>U90046</t>
  </si>
  <si>
    <t>U90213</t>
  </si>
  <si>
    <t>U90275</t>
  </si>
  <si>
    <t>U90282</t>
  </si>
  <si>
    <t>U90317</t>
  </si>
  <si>
    <t>U90347</t>
  </si>
  <si>
    <t>U90396</t>
  </si>
  <si>
    <t>U90429</t>
  </si>
  <si>
    <t>U90486</t>
  </si>
  <si>
    <t>U90497</t>
  </si>
  <si>
    <t>U90641</t>
  </si>
  <si>
    <t>U90680</t>
  </si>
  <si>
    <t>U90684</t>
  </si>
  <si>
    <t>U0269</t>
  </si>
  <si>
    <t>Business Analyst</t>
  </si>
  <si>
    <t>U0115</t>
  </si>
  <si>
    <t>U0283</t>
  </si>
  <si>
    <t>U90000</t>
  </si>
  <si>
    <t>U90124</t>
  </si>
  <si>
    <t>U90220</t>
  </si>
  <si>
    <t>U90354</t>
  </si>
  <si>
    <t>U90363</t>
  </si>
  <si>
    <t>U90443</t>
  </si>
  <si>
    <t>U90510</t>
  </si>
  <si>
    <t>U90519</t>
  </si>
  <si>
    <t>U90540</t>
  </si>
  <si>
    <t>U90548</t>
  </si>
  <si>
    <t>U90697</t>
  </si>
  <si>
    <t>U0225</t>
  </si>
  <si>
    <t>Business Analytics Student</t>
  </si>
  <si>
    <t>Meta AI</t>
  </si>
  <si>
    <t>U0121</t>
  </si>
  <si>
    <t>U90002</t>
  </si>
  <si>
    <t>U90112</t>
  </si>
  <si>
    <t>U0084</t>
  </si>
  <si>
    <t>Business Intelligence Analyst</t>
  </si>
  <si>
    <t>U0119</t>
  </si>
  <si>
    <t>philippines</t>
  </si>
  <si>
    <t>U90083</t>
  </si>
  <si>
    <t>U90207</t>
  </si>
  <si>
    <t>U90253</t>
  </si>
  <si>
    <t>U0047</t>
  </si>
  <si>
    <t>Computer Science PhD Student</t>
  </si>
  <si>
    <t>U90008</t>
  </si>
  <si>
    <t>U90093</t>
  </si>
  <si>
    <t>U90435</t>
  </si>
  <si>
    <t>U0152</t>
  </si>
  <si>
    <t>Computer Science Student</t>
  </si>
  <si>
    <t>Chat GPT</t>
  </si>
  <si>
    <t>U0141</t>
  </si>
  <si>
    <t>U0149</t>
  </si>
  <si>
    <t>U0054</t>
  </si>
  <si>
    <t>U0125</t>
  </si>
  <si>
    <t>U0092</t>
  </si>
  <si>
    <t>U0043</t>
  </si>
  <si>
    <t>U0027</t>
  </si>
  <si>
    <t>U0216</t>
  </si>
  <si>
    <t>Unknown</t>
  </si>
  <si>
    <t>U0093</t>
  </si>
  <si>
    <t>DeepSeek</t>
  </si>
  <si>
    <t>U0187</t>
  </si>
  <si>
    <t>U0178</t>
  </si>
  <si>
    <t>U0153</t>
  </si>
  <si>
    <t>U0072</t>
  </si>
  <si>
    <t>U0080</t>
  </si>
  <si>
    <t>U0098</t>
  </si>
  <si>
    <t>U0109</t>
  </si>
  <si>
    <t>U0174</t>
  </si>
  <si>
    <t>U90023</t>
  </si>
  <si>
    <t>U90041</t>
  </si>
  <si>
    <t>U90051</t>
  </si>
  <si>
    <t>U90100</t>
  </si>
  <si>
    <t>U90106</t>
  </si>
  <si>
    <t>U90127</t>
  </si>
  <si>
    <t>U90168</t>
  </si>
  <si>
    <t>U90169</t>
  </si>
  <si>
    <t>U90208</t>
  </si>
  <si>
    <t>U90242</t>
  </si>
  <si>
    <t>U90245</t>
  </si>
  <si>
    <t>U90255</t>
  </si>
  <si>
    <t>U90257</t>
  </si>
  <si>
    <t>U90264</t>
  </si>
  <si>
    <t>U90267</t>
  </si>
  <si>
    <t>U90270</t>
  </si>
  <si>
    <t>U90272</t>
  </si>
  <si>
    <t>U90307</t>
  </si>
  <si>
    <t>U90334</t>
  </si>
  <si>
    <t>U90341</t>
  </si>
  <si>
    <t>U90350</t>
  </si>
  <si>
    <t>U90360</t>
  </si>
  <si>
    <t>U90387</t>
  </si>
  <si>
    <t>U90409</t>
  </si>
  <si>
    <t>U90452</t>
  </si>
  <si>
    <t>U90457</t>
  </si>
  <si>
    <t>U90459</t>
  </si>
  <si>
    <t>U90462</t>
  </si>
  <si>
    <t>U90471</t>
  </si>
  <si>
    <t>U90509</t>
  </si>
  <si>
    <t>U90523</t>
  </si>
  <si>
    <t>U90538</t>
  </si>
  <si>
    <t>U90612</t>
  </si>
  <si>
    <t>U90649</t>
  </si>
  <si>
    <t>U90650</t>
  </si>
  <si>
    <t>U90699</t>
  </si>
  <si>
    <t>U0006</t>
  </si>
  <si>
    <t>Content Creator</t>
  </si>
  <si>
    <t>U90330</t>
  </si>
  <si>
    <t>U90562</t>
  </si>
  <si>
    <t>U0181</t>
  </si>
  <si>
    <t>Content Manager</t>
  </si>
  <si>
    <t>U0190</t>
  </si>
  <si>
    <t>U90133</t>
  </si>
  <si>
    <t>U90609</t>
  </si>
  <si>
    <t>U0069</t>
  </si>
  <si>
    <t>Content Marketing Manager</t>
  </si>
  <si>
    <t>U0111</t>
  </si>
  <si>
    <t>U90175</t>
  </si>
  <si>
    <t>U90427</t>
  </si>
  <si>
    <t>U90547</t>
  </si>
  <si>
    <t>U90566</t>
  </si>
  <si>
    <t>U90648</t>
  </si>
  <si>
    <t>U90685</t>
  </si>
  <si>
    <t>U0018</t>
  </si>
  <si>
    <t>Content Strategist</t>
  </si>
  <si>
    <t>U0145</t>
  </si>
  <si>
    <t>U90017</t>
  </si>
  <si>
    <t>U90107</t>
  </si>
  <si>
    <t>U90126</t>
  </si>
  <si>
    <t>U90294</t>
  </si>
  <si>
    <t>U90487</t>
  </si>
  <si>
    <t>U90695</t>
  </si>
  <si>
    <t>U0095</t>
  </si>
  <si>
    <t>Content Strategist &amp; Technical Writer</t>
  </si>
  <si>
    <t>U90572</t>
  </si>
  <si>
    <t>U0036</t>
  </si>
  <si>
    <t>Content Strategy Manager</t>
  </si>
  <si>
    <t>U0005</t>
  </si>
  <si>
    <t>U90033</t>
  </si>
  <si>
    <t>U90060</t>
  </si>
  <si>
    <t>U90081</t>
  </si>
  <si>
    <t>U90230</t>
  </si>
  <si>
    <t>U90492</t>
  </si>
  <si>
    <t>U90508</t>
  </si>
  <si>
    <t>U0075</t>
  </si>
  <si>
    <t>Content Writer</t>
  </si>
  <si>
    <t>U0285</t>
  </si>
  <si>
    <t>U0086</t>
  </si>
  <si>
    <t>U0150</t>
  </si>
  <si>
    <t>BA/BSc</t>
  </si>
  <si>
    <t>U0050</t>
  </si>
  <si>
    <t>U0155</t>
  </si>
  <si>
    <t>U0265</t>
  </si>
  <si>
    <t>U0010</t>
  </si>
  <si>
    <t>U90001</t>
  </si>
  <si>
    <t>U90047</t>
  </si>
  <si>
    <t>U90076</t>
  </si>
  <si>
    <t>U90147</t>
  </si>
  <si>
    <t>U90186</t>
  </si>
  <si>
    <t>U90206</t>
  </si>
  <si>
    <t>U90344</t>
  </si>
  <si>
    <t>U90359</t>
  </si>
  <si>
    <t>U90377</t>
  </si>
  <si>
    <t>U90419</t>
  </si>
  <si>
    <t>U90470</t>
  </si>
  <si>
    <t>U90475</t>
  </si>
  <si>
    <t>U90573</t>
  </si>
  <si>
    <t>U90574</t>
  </si>
  <si>
    <t>U90583</t>
  </si>
  <si>
    <t>U90616</t>
  </si>
  <si>
    <t>U0076</t>
  </si>
  <si>
    <t>Creative Writing Student</t>
  </si>
  <si>
    <t>U0020</t>
  </si>
  <si>
    <t>U0097</t>
  </si>
  <si>
    <t>U90167</t>
  </si>
  <si>
    <t>U90204</t>
  </si>
  <si>
    <t>U90325</t>
  </si>
  <si>
    <t>U90501</t>
  </si>
  <si>
    <t>U90634</t>
  </si>
  <si>
    <t>U90687</t>
  </si>
  <si>
    <t>U90694</t>
  </si>
  <si>
    <t>U0237</t>
  </si>
  <si>
    <t>Customer Experience Manager</t>
  </si>
  <si>
    <t>U90036</t>
  </si>
  <si>
    <t>U90179</t>
  </si>
  <si>
    <t>U90417</t>
  </si>
  <si>
    <t>U90420</t>
  </si>
  <si>
    <t>U90662</t>
  </si>
  <si>
    <t>U90692</t>
  </si>
  <si>
    <t>U0256</t>
  </si>
  <si>
    <t>Customer Service Executive</t>
  </si>
  <si>
    <t>U90131</t>
  </si>
  <si>
    <t>U90514</t>
  </si>
  <si>
    <t>U90558</t>
  </si>
  <si>
    <t>U0059</t>
  </si>
  <si>
    <t>Customer Service Representative</t>
  </si>
  <si>
    <t>U90101</t>
  </si>
  <si>
    <t>U90544</t>
  </si>
  <si>
    <t>U90678</t>
  </si>
  <si>
    <t>U0198</t>
  </si>
  <si>
    <t>Customer Service Specialist</t>
  </si>
  <si>
    <t>U90035</t>
  </si>
  <si>
    <t>U90054</t>
  </si>
  <si>
    <t>U90085</t>
  </si>
  <si>
    <t>U90096</t>
  </si>
  <si>
    <t>U90215</t>
  </si>
  <si>
    <t>U90229</t>
  </si>
  <si>
    <t>U90238</t>
  </si>
  <si>
    <t>U90390</t>
  </si>
  <si>
    <t>U90567</t>
  </si>
  <si>
    <t>U90643</t>
  </si>
  <si>
    <t>U0110</t>
  </si>
  <si>
    <t>Customer Support Executive</t>
  </si>
  <si>
    <t>U0170</t>
  </si>
  <si>
    <t>U90196</t>
  </si>
  <si>
    <t>U90218</t>
  </si>
  <si>
    <t>U90236</t>
  </si>
  <si>
    <t>U90627</t>
  </si>
  <si>
    <t>U0254</t>
  </si>
  <si>
    <t>Customer Support Manager</t>
  </si>
  <si>
    <t>U0106</t>
  </si>
  <si>
    <t>U90089</t>
  </si>
  <si>
    <t>U90094</t>
  </si>
  <si>
    <t>U90109</t>
  </si>
  <si>
    <t>U90140</t>
  </si>
  <si>
    <t>U90195</t>
  </si>
  <si>
    <t>U90340</t>
  </si>
  <si>
    <t>U90512</t>
  </si>
  <si>
    <t>U90614</t>
  </si>
  <si>
    <t>U90637</t>
  </si>
  <si>
    <t>U90638</t>
  </si>
  <si>
    <t>U0217</t>
  </si>
  <si>
    <t>Customer Support Specialist</t>
  </si>
  <si>
    <t>U0243</t>
  </si>
  <si>
    <t>U0011</t>
  </si>
  <si>
    <t>U0253</t>
  </si>
  <si>
    <t>U90064</t>
  </si>
  <si>
    <t>U90170</t>
  </si>
  <si>
    <t>U90185</t>
  </si>
  <si>
    <t>U90202</t>
  </si>
  <si>
    <t>U90214</t>
  </si>
  <si>
    <t>U90232</t>
  </si>
  <si>
    <t>U90250</t>
  </si>
  <si>
    <t>U90339</t>
  </si>
  <si>
    <t>U90465</t>
  </si>
  <si>
    <t>U90489</t>
  </si>
  <si>
    <t>U90498</t>
  </si>
  <si>
    <t>U90585</t>
  </si>
  <si>
    <t>U90591</t>
  </si>
  <si>
    <t>U90653</t>
  </si>
  <si>
    <t>U0193</t>
  </si>
  <si>
    <t>Customer Support Specialist / AI Support Operations Manager</t>
  </si>
  <si>
    <t>U90149</t>
  </si>
  <si>
    <t>U0035</t>
  </si>
  <si>
    <t>Data Analyst</t>
  </si>
  <si>
    <t>U0231</t>
  </si>
  <si>
    <t>U0274</t>
  </si>
  <si>
    <t>U0001</t>
  </si>
  <si>
    <t>U0058</t>
  </si>
  <si>
    <t>U0232</t>
  </si>
  <si>
    <t>U0147</t>
  </si>
  <si>
    <t>brazil</t>
  </si>
  <si>
    <t>U90048</t>
  </si>
  <si>
    <t>U90117</t>
  </si>
  <si>
    <t>U90128</t>
  </si>
  <si>
    <t>U90263</t>
  </si>
  <si>
    <t>U90287</t>
  </si>
  <si>
    <t>U90289</t>
  </si>
  <si>
    <t>U90319</t>
  </si>
  <si>
    <t>U90388</t>
  </si>
  <si>
    <t>U90446</t>
  </si>
  <si>
    <t>U90494</t>
  </si>
  <si>
    <t>U90526</t>
  </si>
  <si>
    <t>U90534</t>
  </si>
  <si>
    <t>U90563</t>
  </si>
  <si>
    <t>U90595</t>
  </si>
  <si>
    <t>U90636</t>
  </si>
  <si>
    <t>U90639</t>
  </si>
  <si>
    <t>U90644</t>
  </si>
  <si>
    <t>U0247</t>
  </si>
  <si>
    <t>australia</t>
  </si>
  <si>
    <t>Data Analyst / Business Intelligence Specialist</t>
  </si>
  <si>
    <t>U90357</t>
  </si>
  <si>
    <t>U90372</t>
  </si>
  <si>
    <t>U0071</t>
  </si>
  <si>
    <t>Data Analytics Manager</t>
  </si>
  <si>
    <t>U90335</t>
  </si>
  <si>
    <t>U0088</t>
  </si>
  <si>
    <t>Data Entry Operator</t>
  </si>
  <si>
    <t>U90138</t>
  </si>
  <si>
    <t>U90411</t>
  </si>
  <si>
    <t>U90426</t>
  </si>
  <si>
    <t>U0171</t>
  </si>
  <si>
    <t>Data Entry Specialist</t>
  </si>
  <si>
    <t>U90026</t>
  </si>
  <si>
    <t>U90034</t>
  </si>
  <si>
    <t>U90157</t>
  </si>
  <si>
    <t>U0250</t>
  </si>
  <si>
    <t>Data Science Student</t>
  </si>
  <si>
    <t>U0244</t>
  </si>
  <si>
    <t>U0100</t>
  </si>
  <si>
    <t>U0189</t>
  </si>
  <si>
    <t>U0272</t>
  </si>
  <si>
    <t>U0062</t>
  </si>
  <si>
    <t>U0003</t>
  </si>
  <si>
    <t>U0064</t>
  </si>
  <si>
    <t>U0142</t>
  </si>
  <si>
    <t>U0044</t>
  </si>
  <si>
    <t>U90007</t>
  </si>
  <si>
    <t>U90021</t>
  </si>
  <si>
    <t>U90065</t>
  </si>
  <si>
    <t>U90077</t>
  </si>
  <si>
    <t>U90082</t>
  </si>
  <si>
    <t>U90142</t>
  </si>
  <si>
    <t>U90151</t>
  </si>
  <si>
    <t>U90153</t>
  </si>
  <si>
    <t>U90219</t>
  </si>
  <si>
    <t>U90260</t>
  </si>
  <si>
    <t>U90278</t>
  </si>
  <si>
    <t>U90298</t>
  </si>
  <si>
    <t>U90309</t>
  </si>
  <si>
    <t>U90328</t>
  </si>
  <si>
    <t>U90333</t>
  </si>
  <si>
    <t>U90362</t>
  </si>
  <si>
    <t>U90364</t>
  </si>
  <si>
    <t>U90365</t>
  </si>
  <si>
    <t>U90445</t>
  </si>
  <si>
    <t>U90456</t>
  </si>
  <si>
    <t>U90473</t>
  </si>
  <si>
    <t>U90481</t>
  </si>
  <si>
    <t>U90482</t>
  </si>
  <si>
    <t>U90485</t>
  </si>
  <si>
    <t>U90546</t>
  </si>
  <si>
    <t>U90625</t>
  </si>
  <si>
    <t>U90635</t>
  </si>
  <si>
    <t>U90647</t>
  </si>
  <si>
    <t>U90654</t>
  </si>
  <si>
    <t>U90665</t>
  </si>
  <si>
    <t>U90683</t>
  </si>
  <si>
    <t>U0218</t>
  </si>
  <si>
    <t>U90313</t>
  </si>
  <si>
    <t>U90336</t>
  </si>
  <si>
    <t>U0203</t>
  </si>
  <si>
    <t>U90266</t>
  </si>
  <si>
    <t>U90640</t>
  </si>
  <si>
    <t>U0264</t>
  </si>
  <si>
    <t>U90183</t>
  </si>
  <si>
    <t>U90380</t>
  </si>
  <si>
    <t>U0257</t>
  </si>
  <si>
    <t>U90130</t>
  </si>
  <si>
    <t>U90436</t>
  </si>
  <si>
    <t>U0246</t>
  </si>
  <si>
    <t>france</t>
  </si>
  <si>
    <t>DeveloperFull Stack</t>
  </si>
  <si>
    <t>U90448</t>
  </si>
  <si>
    <t>U90454</t>
  </si>
  <si>
    <t>U90458</t>
  </si>
  <si>
    <t>U90626</t>
  </si>
  <si>
    <t>U0012</t>
  </si>
  <si>
    <t>DeveloperFull Stack Junior</t>
  </si>
  <si>
    <t>U90088</t>
  </si>
  <si>
    <t>U0019</t>
  </si>
  <si>
    <t>DeveloperLogiciel (Software Developer)</t>
  </si>
  <si>
    <t>U90657</t>
  </si>
  <si>
    <t>U90676</t>
  </si>
  <si>
    <t>U0209</t>
  </si>
  <si>
    <t>Digital Content Creator</t>
  </si>
  <si>
    <t>U90304</t>
  </si>
  <si>
    <t>U90398</t>
  </si>
  <si>
    <t>U90484</t>
  </si>
  <si>
    <t>U90691</t>
  </si>
  <si>
    <t>U0169</t>
  </si>
  <si>
    <t>graduate</t>
  </si>
  <si>
    <t>Digital Content Creator / Social Media Manager</t>
  </si>
  <si>
    <t>U90006</t>
  </si>
  <si>
    <t>U0108</t>
  </si>
  <si>
    <t>Digital Content Strategist</t>
  </si>
  <si>
    <t>U90209</t>
  </si>
  <si>
    <t>U90342</t>
  </si>
  <si>
    <t>U90642</t>
  </si>
  <si>
    <t>U0139</t>
  </si>
  <si>
    <t>Digital Content Writer</t>
  </si>
  <si>
    <t>U90037</t>
  </si>
  <si>
    <t>U90560</t>
  </si>
  <si>
    <t>U0124</t>
  </si>
  <si>
    <t>Digital Marketing Manager</t>
  </si>
  <si>
    <t>U90324</t>
  </si>
  <si>
    <t>U90440</t>
  </si>
  <si>
    <t>U0143</t>
  </si>
  <si>
    <t>Digital Marketing Student</t>
  </si>
  <si>
    <t>U0024</t>
  </si>
  <si>
    <t>U0041</t>
  </si>
  <si>
    <t>U0208</t>
  </si>
  <si>
    <t>U0212</t>
  </si>
  <si>
    <t>U90115</t>
  </si>
  <si>
    <t>U90288</t>
  </si>
  <si>
    <t>U90384</t>
  </si>
  <si>
    <t>U90394</t>
  </si>
  <si>
    <t>U90455</t>
  </si>
  <si>
    <t>U90500</t>
  </si>
  <si>
    <t>U90513</t>
  </si>
  <si>
    <t>U90545</t>
  </si>
  <si>
    <t>U90571</t>
  </si>
  <si>
    <t>U90582</t>
  </si>
  <si>
    <t>U90671</t>
  </si>
  <si>
    <t>U0087</t>
  </si>
  <si>
    <t>Digital Media &amp; Film Production Student</t>
  </si>
  <si>
    <t>U0116</t>
  </si>
  <si>
    <t>Digital Media and Communications Student</t>
  </si>
  <si>
    <t>U90072</t>
  </si>
  <si>
    <t>U90087</t>
  </si>
  <si>
    <t>U90191</t>
  </si>
  <si>
    <t>U90200</t>
  </si>
  <si>
    <t>U90543</t>
  </si>
  <si>
    <t>U90605</t>
  </si>
  <si>
    <t>U0207</t>
  </si>
  <si>
    <t>Digital Media Production Student</t>
  </si>
  <si>
    <t>U0185</t>
  </si>
  <si>
    <t>U0134</t>
  </si>
  <si>
    <t>U90162</t>
  </si>
  <si>
    <t>U90181</t>
  </si>
  <si>
    <t>U90248</t>
  </si>
  <si>
    <t>U90273</t>
  </si>
  <si>
    <t>U90495</t>
  </si>
  <si>
    <t>U90599</t>
  </si>
  <si>
    <t>U90655</t>
  </si>
  <si>
    <t>U0238</t>
  </si>
  <si>
    <t>Digital Media Student</t>
  </si>
  <si>
    <t>U0273</t>
  </si>
  <si>
    <t>U90499</t>
  </si>
  <si>
    <t>U0160</t>
  </si>
  <si>
    <t>Electronics and Communication Engineering Student</t>
  </si>
  <si>
    <t>U90173</t>
  </si>
  <si>
    <t>U90622</t>
  </si>
  <si>
    <t>U0120</t>
  </si>
  <si>
    <t>Electronics Engineering Student</t>
  </si>
  <si>
    <t>U90254</t>
  </si>
  <si>
    <t>U90568</t>
  </si>
  <si>
    <t>U90600</t>
  </si>
  <si>
    <t>U0014</t>
  </si>
  <si>
    <t>high school</t>
  </si>
  <si>
    <t>Engineering Student</t>
  </si>
  <si>
    <t>U0148</t>
  </si>
  <si>
    <t>U90225</t>
  </si>
  <si>
    <t>U90397</t>
  </si>
  <si>
    <t>U90663</t>
  </si>
  <si>
    <t>U90669</t>
  </si>
  <si>
    <t>U90679</t>
  </si>
  <si>
    <t>U0215</t>
  </si>
  <si>
    <t>English Literature Student</t>
  </si>
  <si>
    <t>U0227</t>
  </si>
  <si>
    <t>U0008</t>
  </si>
  <si>
    <t>U0057</t>
  </si>
  <si>
    <t>U0028</t>
  </si>
  <si>
    <t>U0234</t>
  </si>
  <si>
    <t>U0214</t>
  </si>
  <si>
    <t>U0063</t>
  </si>
  <si>
    <t>U0182</t>
  </si>
  <si>
    <t>U0023</t>
  </si>
  <si>
    <t>U0277</t>
  </si>
  <si>
    <t>U0129</t>
  </si>
  <si>
    <t>U0172</t>
  </si>
  <si>
    <t>U0112</t>
  </si>
  <si>
    <t>U0091</t>
  </si>
  <si>
    <t>U0038</t>
  </si>
  <si>
    <t>U0196</t>
  </si>
  <si>
    <t>U0281</t>
  </si>
  <si>
    <t>U0262</t>
  </si>
  <si>
    <t>U0183</t>
  </si>
  <si>
    <t>U0201</t>
  </si>
  <si>
    <t>canada</t>
  </si>
  <si>
    <t>U0276</t>
  </si>
  <si>
    <t>U0229</t>
  </si>
  <si>
    <t>U0197</t>
  </si>
  <si>
    <t>U90004</t>
  </si>
  <si>
    <t>U90049</t>
  </si>
  <si>
    <t>U90061</t>
  </si>
  <si>
    <t>U90071</t>
  </si>
  <si>
    <t>U90073</t>
  </si>
  <si>
    <t>U90074</t>
  </si>
  <si>
    <t>U90084</t>
  </si>
  <si>
    <t>U90097</t>
  </si>
  <si>
    <t>U90104</t>
  </si>
  <si>
    <t>U90108</t>
  </si>
  <si>
    <t>U90114</t>
  </si>
  <si>
    <t>U90119</t>
  </si>
  <si>
    <t>U90121</t>
  </si>
  <si>
    <t>U90123</t>
  </si>
  <si>
    <t>U90156</t>
  </si>
  <si>
    <t>U90160</t>
  </si>
  <si>
    <t>U90165</t>
  </si>
  <si>
    <t>U90189</t>
  </si>
  <si>
    <t>U90193</t>
  </si>
  <si>
    <t>U90224</t>
  </si>
  <si>
    <t>U90239</t>
  </si>
  <si>
    <t>U90243</t>
  </si>
  <si>
    <t>U90261</t>
  </si>
  <si>
    <t>U90265</t>
  </si>
  <si>
    <t>U90293</t>
  </si>
  <si>
    <t>U90297</t>
  </si>
  <si>
    <t>U90301</t>
  </si>
  <si>
    <t>U90308</t>
  </si>
  <si>
    <t>U90321</t>
  </si>
  <si>
    <t>U90327</t>
  </si>
  <si>
    <t>U90361</t>
  </si>
  <si>
    <t>U90374</t>
  </si>
  <si>
    <t>U90375</t>
  </si>
  <si>
    <t>U90389</t>
  </si>
  <si>
    <t>U90400</t>
  </si>
  <si>
    <t>U90404</t>
  </si>
  <si>
    <t>U90410</t>
  </si>
  <si>
    <t>U90415</t>
  </si>
  <si>
    <t>U90424</t>
  </si>
  <si>
    <t>U90442</t>
  </si>
  <si>
    <t>U90447</t>
  </si>
  <si>
    <t>U90450</t>
  </si>
  <si>
    <t>U90451</t>
  </si>
  <si>
    <t>U90467</t>
  </si>
  <si>
    <t>U90505</t>
  </si>
  <si>
    <t>U90516</t>
  </si>
  <si>
    <t>U90522</t>
  </si>
  <si>
    <t>U90549</t>
  </si>
  <si>
    <t>U90555</t>
  </si>
  <si>
    <t>U90564</t>
  </si>
  <si>
    <t>U90596</t>
  </si>
  <si>
    <t>U90620</t>
  </si>
  <si>
    <t>U90630</t>
  </si>
  <si>
    <t>U90652</t>
  </si>
  <si>
    <t>U90664</t>
  </si>
  <si>
    <t>U90674</t>
  </si>
  <si>
    <t>U90681</t>
  </si>
  <si>
    <t>U90686</t>
  </si>
  <si>
    <t>U90689</t>
  </si>
  <si>
    <t>U90690</t>
  </si>
  <si>
    <t>U0096</t>
  </si>
  <si>
    <t>Environmental Science Student</t>
  </si>
  <si>
    <t>U0073</t>
  </si>
  <si>
    <t>U0025</t>
  </si>
  <si>
    <t>U0090</t>
  </si>
  <si>
    <t>U90055</t>
  </si>
  <si>
    <t>U90091</t>
  </si>
  <si>
    <t>U90284</t>
  </si>
  <si>
    <t>U90286</t>
  </si>
  <si>
    <t>U90461</t>
  </si>
  <si>
    <t>U90542</t>
  </si>
  <si>
    <t>U90575</t>
  </si>
  <si>
    <t>U90602</t>
  </si>
  <si>
    <t>U0213</t>
  </si>
  <si>
    <t>German Literature and Comparative Studies Student</t>
  </si>
  <si>
    <t>U90369</t>
  </si>
  <si>
    <t>U90392</t>
  </si>
  <si>
    <t>U0032</t>
  </si>
  <si>
    <t>German Literature Student</t>
  </si>
  <si>
    <t>U0188</t>
  </si>
  <si>
    <t>History Student</t>
  </si>
  <si>
    <t>U90045</t>
  </si>
  <si>
    <t>U90182</t>
  </si>
  <si>
    <t>U90194</t>
  </si>
  <si>
    <t>U90217</t>
  </si>
  <si>
    <t>U90326</t>
  </si>
  <si>
    <t>U90430</t>
  </si>
  <si>
    <t>U90517</t>
  </si>
  <si>
    <t>U90577</t>
  </si>
  <si>
    <t>U90646</t>
  </si>
  <si>
    <t>U0102</t>
  </si>
  <si>
    <t>Information Technology Student</t>
  </si>
  <si>
    <t>U0078</t>
  </si>
  <si>
    <t>U0004</t>
  </si>
  <si>
    <t>U0034</t>
  </si>
  <si>
    <t>U0077</t>
  </si>
  <si>
    <t>U90302</t>
  </si>
  <si>
    <t>U90338</t>
  </si>
  <si>
    <t>U90441</t>
  </si>
  <si>
    <t>U90464</t>
  </si>
  <si>
    <t>U90469</t>
  </si>
  <si>
    <t>U90474</t>
  </si>
  <si>
    <t>U90557</t>
  </si>
  <si>
    <t>U90598</t>
  </si>
  <si>
    <t>U90618</t>
  </si>
  <si>
    <t>U90688</t>
  </si>
  <si>
    <t>U0049</t>
  </si>
  <si>
    <t>Junior Software Developer</t>
  </si>
  <si>
    <t>U0021</t>
  </si>
  <si>
    <t>U0002</t>
  </si>
  <si>
    <t>U90095</t>
  </si>
  <si>
    <t>U90136</t>
  </si>
  <si>
    <t>U90155</t>
  </si>
  <si>
    <t>U90460</t>
  </si>
  <si>
    <t>U90466</t>
  </si>
  <si>
    <t>U90518</t>
  </si>
  <si>
    <t>U90608</t>
  </si>
  <si>
    <t>U0056</t>
  </si>
  <si>
    <t>Junior Web Developer</t>
  </si>
  <si>
    <t>U0013</t>
  </si>
  <si>
    <t>U90285</t>
  </si>
  <si>
    <t>U90537</t>
  </si>
  <si>
    <t>U90552</t>
  </si>
  <si>
    <t>U0206</t>
  </si>
  <si>
    <t>Literature Student</t>
  </si>
  <si>
    <t>U90058</t>
  </si>
  <si>
    <t>U90251</t>
  </si>
  <si>
    <t>U90315</t>
  </si>
  <si>
    <t>U90352</t>
  </si>
  <si>
    <t>U90381</t>
  </si>
  <si>
    <t>U90483</t>
  </si>
  <si>
    <t>U90607</t>
  </si>
  <si>
    <t>U0007</t>
  </si>
  <si>
    <t>Machine Learning Research Student</t>
  </si>
  <si>
    <t>U0089</t>
  </si>
  <si>
    <t>United States of America</t>
  </si>
  <si>
    <t>Machine Learning Student</t>
  </si>
  <si>
    <t>U0240</t>
  </si>
  <si>
    <t>U90015</t>
  </si>
  <si>
    <t>U90016</t>
  </si>
  <si>
    <t>U90216</t>
  </si>
  <si>
    <t>U90222</t>
  </si>
  <si>
    <t>U90318</t>
  </si>
  <si>
    <t>U90348</t>
  </si>
  <si>
    <t>U90490</t>
  </si>
  <si>
    <t>U90550</t>
  </si>
  <si>
    <t>U0223</t>
  </si>
  <si>
    <t>Marketing Communications Officer</t>
  </si>
  <si>
    <t>U90386</t>
  </si>
  <si>
    <t>U90477</t>
  </si>
  <si>
    <t>U0029</t>
  </si>
  <si>
    <t>Mathematics Student</t>
  </si>
  <si>
    <t>U90028</t>
  </si>
  <si>
    <t>U90693</t>
  </si>
  <si>
    <t>U0211</t>
  </si>
  <si>
    <t>Mechanical Engineering Student</t>
  </si>
  <si>
    <t>U0205</t>
  </si>
  <si>
    <t>U0278</t>
  </si>
  <si>
    <t>U0165</t>
  </si>
  <si>
    <t>U0157</t>
  </si>
  <si>
    <t>U0099</t>
  </si>
  <si>
    <t>U0104</t>
  </si>
  <si>
    <t>U0079</t>
  </si>
  <si>
    <t>U0065</t>
  </si>
  <si>
    <t>U0287</t>
  </si>
  <si>
    <t>U90019</t>
  </si>
  <si>
    <t>U90057</t>
  </si>
  <si>
    <t>U90086</t>
  </si>
  <si>
    <t>U90171</t>
  </si>
  <si>
    <t>U90201</t>
  </si>
  <si>
    <t>U90221</t>
  </si>
  <si>
    <t>U90244</t>
  </si>
  <si>
    <t>U90247</t>
  </si>
  <si>
    <t>U90252</t>
  </si>
  <si>
    <t>U90378</t>
  </si>
  <si>
    <t>U90406</t>
  </si>
  <si>
    <t>U90407</t>
  </si>
  <si>
    <t>U90434</t>
  </si>
  <si>
    <t>U90491</t>
  </si>
  <si>
    <t>U90504</t>
  </si>
  <si>
    <t>U90521</t>
  </si>
  <si>
    <t>U90576</t>
  </si>
  <si>
    <t>U90586</t>
  </si>
  <si>
    <t>U0251</t>
  </si>
  <si>
    <t>U.K.</t>
  </si>
  <si>
    <t>Molecular Biology Student</t>
  </si>
  <si>
    <t>U0140</t>
  </si>
  <si>
    <t>U90197</t>
  </si>
  <si>
    <t>U90478</t>
  </si>
  <si>
    <t>U90535</t>
  </si>
  <si>
    <t>U0094</t>
  </si>
  <si>
    <t>Multimedia Content Producer</t>
  </si>
  <si>
    <t>U90039</t>
  </si>
  <si>
    <t>U90199</t>
  </si>
  <si>
    <t>U0224</t>
  </si>
  <si>
    <t>Physics Student</t>
  </si>
  <si>
    <t>U90177</t>
  </si>
  <si>
    <t>U90393</t>
  </si>
  <si>
    <t>U90449</t>
  </si>
  <si>
    <t>U0159</t>
  </si>
  <si>
    <t>Project Manager</t>
  </si>
  <si>
    <t>U0053</t>
  </si>
  <si>
    <t>Psychology Research Student</t>
  </si>
  <si>
    <t>U90696</t>
  </si>
  <si>
    <t>U0122</t>
  </si>
  <si>
    <t>Psychology Student</t>
  </si>
  <si>
    <t>U90027</t>
  </si>
  <si>
    <t>U90520</t>
  </si>
  <si>
    <t>U90590</t>
  </si>
  <si>
    <t>U0135</t>
  </si>
  <si>
    <t>Research Analyst</t>
  </si>
  <si>
    <t>U0162</t>
  </si>
  <si>
    <t>U0163</t>
  </si>
  <si>
    <t>U90062</t>
  </si>
  <si>
    <t>U90259</t>
  </si>
  <si>
    <t>U90331</t>
  </si>
  <si>
    <t>U90391</t>
  </si>
  <si>
    <t>U90421</t>
  </si>
  <si>
    <t>U90431</t>
  </si>
  <si>
    <t>U0081</t>
  </si>
  <si>
    <t>Research Assistant</t>
  </si>
  <si>
    <t>U0074</t>
  </si>
  <si>
    <t>U90145</t>
  </si>
  <si>
    <t>U90306</t>
  </si>
  <si>
    <t>U90368</t>
  </si>
  <si>
    <t>U90561</t>
  </si>
  <si>
    <t>U90698</t>
  </si>
  <si>
    <t>U0252</t>
  </si>
  <si>
    <t>Research Scientist</t>
  </si>
  <si>
    <t>U90476</t>
  </si>
  <si>
    <t>U90507</t>
  </si>
  <si>
    <t>U90604</t>
  </si>
  <si>
    <t>U0266</t>
  </si>
  <si>
    <t>Research Scientist / Data Analyst</t>
  </si>
  <si>
    <t>U90300</t>
  </si>
  <si>
    <t>U90401</t>
  </si>
  <si>
    <t>U90589</t>
  </si>
  <si>
    <t>U0164</t>
  </si>
  <si>
    <t>Research Scientist/Senior Research Officer</t>
  </si>
  <si>
    <t>U90603</t>
  </si>
  <si>
    <t>U0046</t>
  </si>
  <si>
    <t>Research Technician</t>
  </si>
  <si>
    <t>U0282</t>
  </si>
  <si>
    <t>U90672</t>
  </si>
  <si>
    <t>U0118</t>
  </si>
  <si>
    <t>Responsable de Contenu Digital</t>
  </si>
  <si>
    <t>U90176</t>
  </si>
  <si>
    <t>U90234</t>
  </si>
  <si>
    <t>U90444</t>
  </si>
  <si>
    <t>U0248</t>
  </si>
  <si>
    <t>Senior Content Strategist</t>
  </si>
  <si>
    <t>U0235</t>
  </si>
  <si>
    <t>U90042</t>
  </si>
  <si>
    <t>U90670</t>
  </si>
  <si>
    <t>U0194</t>
  </si>
  <si>
    <t>Senior Data Scientist</t>
  </si>
  <si>
    <t>U0083</t>
  </si>
  <si>
    <t>U90043</t>
  </si>
  <si>
    <t>U90135</t>
  </si>
  <si>
    <t>U90184</t>
  </si>
  <si>
    <t>U90223</t>
  </si>
  <si>
    <t>U90371</t>
  </si>
  <si>
    <t>U90385</t>
  </si>
  <si>
    <t>U90493</t>
  </si>
  <si>
    <t>U90619</t>
  </si>
  <si>
    <t>U90658</t>
  </si>
  <si>
    <t>U90667</t>
  </si>
  <si>
    <t>U0107</t>
  </si>
  <si>
    <t>Senior Machine Learning Engineer</t>
  </si>
  <si>
    <t>U90262</t>
  </si>
  <si>
    <t>U90629</t>
  </si>
  <si>
    <t>U90633</t>
  </si>
  <si>
    <t>U90682</t>
  </si>
  <si>
    <t>U0236</t>
  </si>
  <si>
    <t>Senior Research Scientist</t>
  </si>
  <si>
    <t>U0180</t>
  </si>
  <si>
    <t>U90080</t>
  </si>
  <si>
    <t>U90105</t>
  </si>
  <si>
    <t>U90137</t>
  </si>
  <si>
    <t>U90437</t>
  </si>
  <si>
    <t>U90524</t>
  </si>
  <si>
    <t>U90656</t>
  </si>
  <si>
    <t>U0279</t>
  </si>
  <si>
    <t>Senior Software Developer</t>
  </si>
  <si>
    <t>U0045</t>
  </si>
  <si>
    <t>U0151</t>
  </si>
  <si>
    <t>U90053</t>
  </si>
  <si>
    <t>U90113</t>
  </si>
  <si>
    <t>U90144</t>
  </si>
  <si>
    <t>U90187</t>
  </si>
  <si>
    <t>U90198</t>
  </si>
  <si>
    <t>U90228</t>
  </si>
  <si>
    <t>U90323</t>
  </si>
  <si>
    <t>U90416</t>
  </si>
  <si>
    <t>U90531</t>
  </si>
  <si>
    <t>U90553</t>
  </si>
  <si>
    <t>U0113</t>
  </si>
  <si>
    <t>Senior Software Developer / Softwareentwicklerin</t>
  </si>
  <si>
    <t>U90632</t>
  </si>
  <si>
    <t>U0239</t>
  </si>
  <si>
    <t>Senior Software Engineer</t>
  </si>
  <si>
    <t>U0255</t>
  </si>
  <si>
    <t>MA/MSc</t>
  </si>
  <si>
    <t>U0055</t>
  </si>
  <si>
    <t>U90345</t>
  </si>
  <si>
    <t>U90412</t>
  </si>
  <si>
    <t>U0184</t>
  </si>
  <si>
    <t>Senior Software Engineer / AI Solutions Architect</t>
  </si>
  <si>
    <t>U90152</t>
  </si>
  <si>
    <t>U0204</t>
  </si>
  <si>
    <t>Senior Software Engineer / AI Systems Developer</t>
  </si>
  <si>
    <t>U90018</t>
  </si>
  <si>
    <t>U90099</t>
  </si>
  <si>
    <t>U90601</t>
  </si>
  <si>
    <t>U0288</t>
  </si>
  <si>
    <t>Senior Software Engineer / Technical Lead</t>
  </si>
  <si>
    <t>U90005</t>
  </si>
  <si>
    <t>U0177</t>
  </si>
  <si>
    <t>Social Media Content Creator</t>
  </si>
  <si>
    <t>U90148</t>
  </si>
  <si>
    <t>U0226</t>
  </si>
  <si>
    <t>Social Media Content Creator / Digital Marketer</t>
  </si>
  <si>
    <t>U0114</t>
  </si>
  <si>
    <t>Software Developer</t>
  </si>
  <si>
    <t>U0271</t>
  </si>
  <si>
    <t>U0022</t>
  </si>
  <si>
    <t>U0144</t>
  </si>
  <si>
    <t>U0173</t>
  </si>
  <si>
    <t>U0249</t>
  </si>
  <si>
    <t>U0130</t>
  </si>
  <si>
    <t>U90040</t>
  </si>
  <si>
    <t>U90050</t>
  </si>
  <si>
    <t>U90146</t>
  </si>
  <si>
    <t>U90161</t>
  </si>
  <si>
    <t>U90203</t>
  </si>
  <si>
    <t>U90240</t>
  </si>
  <si>
    <t>U90310</t>
  </si>
  <si>
    <t>U90423</t>
  </si>
  <si>
    <t>U90438</t>
  </si>
  <si>
    <t>U90533</t>
  </si>
  <si>
    <t>U90541</t>
  </si>
  <si>
    <t>U0128</t>
  </si>
  <si>
    <t>Software Developer (Diploma Qualified)</t>
  </si>
  <si>
    <t>U90044</t>
  </si>
  <si>
    <t>U90192</t>
  </si>
  <si>
    <t>U90237</t>
  </si>
  <si>
    <t>U90292</t>
  </si>
  <si>
    <t>U90414</t>
  </si>
  <si>
    <t>U90506</t>
  </si>
  <si>
    <t>U0061</t>
  </si>
  <si>
    <t>Software Developer SÃªnior</t>
  </si>
  <si>
    <t>U90032</t>
  </si>
  <si>
    <t>U90432</t>
  </si>
  <si>
    <t>U90439</t>
  </si>
  <si>
    <t>U0221</t>
  </si>
  <si>
    <t>Software Development Student</t>
  </si>
  <si>
    <t>U90303</t>
  </si>
  <si>
    <t>U90355</t>
  </si>
  <si>
    <t>U0191</t>
  </si>
  <si>
    <t>Software Engineering Student</t>
  </si>
  <si>
    <t>U0137</t>
  </si>
  <si>
    <t>U0154</t>
  </si>
  <si>
    <t>U0017</t>
  </si>
  <si>
    <t>U0280</t>
  </si>
  <si>
    <t>U0261</t>
  </si>
  <si>
    <t>U0009</t>
  </si>
  <si>
    <t>U90014</t>
  </si>
  <si>
    <t>U90020</t>
  </si>
  <si>
    <t>U90069</t>
  </si>
  <si>
    <t>U90103</t>
  </si>
  <si>
    <t>U90143</t>
  </si>
  <si>
    <t>U90226</t>
  </si>
  <si>
    <t>U90231</t>
  </si>
  <si>
    <t>U90235</t>
  </si>
  <si>
    <t>U90246</t>
  </si>
  <si>
    <t>U90269</t>
  </si>
  <si>
    <t>U90399</t>
  </si>
  <si>
    <t>U90422</t>
  </si>
  <si>
    <t>U90463</t>
  </si>
  <si>
    <t>U90511</t>
  </si>
  <si>
    <t>U90527</t>
  </si>
  <si>
    <t>U0200</t>
  </si>
  <si>
    <t>Software Support Technician</t>
  </si>
  <si>
    <t>U90210</t>
  </si>
  <si>
    <t>U90453</t>
  </si>
  <si>
    <t>U0270</t>
  </si>
  <si>
    <t>Softwareentwickler (Software Developer)</t>
  </si>
  <si>
    <t>U90110</t>
  </si>
  <si>
    <t>U90337</t>
  </si>
  <si>
    <t>U0284</t>
  </si>
  <si>
    <t>Softwareentwicklerin (Software Developer)</t>
  </si>
  <si>
    <t>U0275</t>
  </si>
  <si>
    <t>Statistics Student</t>
  </si>
  <si>
    <t>U90536</t>
  </si>
  <si>
    <t>U0136</t>
  </si>
  <si>
    <t>Systems Developer</t>
  </si>
  <si>
    <t>U90003</t>
  </si>
  <si>
    <t>U90052</t>
  </si>
  <si>
    <t>U90125</t>
  </si>
  <si>
    <t>U90353</t>
  </si>
  <si>
    <t>U0179</t>
  </si>
  <si>
    <t>Tech Lead</t>
  </si>
  <si>
    <t>U0233</t>
  </si>
  <si>
    <t>U0230</t>
  </si>
  <si>
    <t>U0126</t>
  </si>
  <si>
    <t>U90079</t>
  </si>
  <si>
    <t>U90132</t>
  </si>
  <si>
    <t>U90163</t>
  </si>
  <si>
    <t>U90172</t>
  </si>
  <si>
    <t>U90174</t>
  </si>
  <si>
    <t>U90188</t>
  </si>
  <si>
    <t>U90212</t>
  </si>
  <si>
    <t>U90279</t>
  </si>
  <si>
    <t>U90379</t>
  </si>
  <si>
    <t>U90382</t>
  </si>
  <si>
    <t>U90472</t>
  </si>
  <si>
    <t>U90488</t>
  </si>
  <si>
    <t>U90525</t>
  </si>
  <si>
    <t>U90554</t>
  </si>
  <si>
    <t>U90556</t>
  </si>
  <si>
    <t>U90565</t>
  </si>
  <si>
    <t>U90606</t>
  </si>
  <si>
    <t>U90628</t>
  </si>
  <si>
    <t>U90668</t>
  </si>
  <si>
    <t>U0082</t>
  </si>
  <si>
    <t>Technical Writer</t>
  </si>
  <si>
    <t>U90551</t>
  </si>
  <si>
    <t>U90579</t>
  </si>
  <si>
    <t>U90584</t>
  </si>
  <si>
    <t>U0085</t>
  </si>
  <si>
    <t>Theoretical Physics Student</t>
  </si>
  <si>
    <t>U90022</t>
  </si>
  <si>
    <t>U90038</t>
  </si>
  <si>
    <t>U90296</t>
  </si>
  <si>
    <t>U90356</t>
  </si>
  <si>
    <t>U90366</t>
  </si>
  <si>
    <t>U0167</t>
  </si>
  <si>
    <t>U0138</t>
  </si>
  <si>
    <t>U0258</t>
  </si>
  <si>
    <t>U0070</t>
  </si>
  <si>
    <t>U0060</t>
  </si>
  <si>
    <t>U0037</t>
  </si>
  <si>
    <t>U0245</t>
  </si>
  <si>
    <t>U0031</t>
  </si>
  <si>
    <t>U0048</t>
  </si>
  <si>
    <t>U0103</t>
  </si>
  <si>
    <t>U0040</t>
  </si>
  <si>
    <t>U0267</t>
  </si>
  <si>
    <t>U0158</t>
  </si>
  <si>
    <t>U0066</t>
  </si>
  <si>
    <t>U90010</t>
  </si>
  <si>
    <t>U90025</t>
  </si>
  <si>
    <t>U90059</t>
  </si>
  <si>
    <t>U90066</t>
  </si>
  <si>
    <t>U90067</t>
  </si>
  <si>
    <t>U90068</t>
  </si>
  <si>
    <t>U90070</t>
  </si>
  <si>
    <t>U90116</t>
  </si>
  <si>
    <t>U90120</t>
  </si>
  <si>
    <t>U90122</t>
  </si>
  <si>
    <t>U90139</t>
  </si>
  <si>
    <t>U90141</t>
  </si>
  <si>
    <t>U90166</t>
  </si>
  <si>
    <t>U90178</t>
  </si>
  <si>
    <t>U90276</t>
  </si>
  <si>
    <t>U90281</t>
  </si>
  <si>
    <t>U90283</t>
  </si>
  <si>
    <t>U90314</t>
  </si>
  <si>
    <t>U90332</t>
  </si>
  <si>
    <t>U90349</t>
  </si>
  <si>
    <t>U90408</t>
  </si>
  <si>
    <t>U90418</t>
  </si>
  <si>
    <t>U90479</t>
  </si>
  <si>
    <t>U90515</t>
  </si>
  <si>
    <t>U90528</t>
  </si>
  <si>
    <t>U90530</t>
  </si>
  <si>
    <t>U90588</t>
  </si>
  <si>
    <t>U90594</t>
  </si>
  <si>
    <t>U90617</t>
  </si>
  <si>
    <t>U90624</t>
  </si>
  <si>
    <t>U90677</t>
  </si>
  <si>
    <t>AI_Tool imputed</t>
  </si>
  <si>
    <t>Time_Saved_Hours_Per_Week2 imputed</t>
  </si>
  <si>
    <t>TOTAL NUMBER OF USERS</t>
  </si>
  <si>
    <t>Grand Total</t>
  </si>
  <si>
    <t>Chat Gpt</t>
  </si>
  <si>
    <t>Deepseek</t>
  </si>
  <si>
    <t>Meta Ai</t>
  </si>
  <si>
    <t>Perplexity Ai</t>
  </si>
  <si>
    <t>U9070</t>
  </si>
  <si>
    <t xml:space="preserve"> Google Gemini</t>
  </si>
  <si>
    <t>AI TOOL</t>
  </si>
  <si>
    <t>Max of Satisfaction_Score</t>
  </si>
  <si>
    <t xml:space="preserve"> Time_Saved_Hours_Per_Week</t>
  </si>
  <si>
    <t>Average of Monthly income</t>
  </si>
  <si>
    <t>Count of User</t>
  </si>
  <si>
    <t>AL PURPOSE</t>
  </si>
  <si>
    <t xml:space="preserve">Bachelor's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</si>
</sst>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&quot;$&quot;#,##0.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5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6" fontId="0" fillId="0" borderId="0" xfId="0" applyNumberFormat="1"/>
    <xf numFmtId="1" fontId="0" fillId="0" borderId="0" xfId="0" applyNumberFormat="1"/>
    <xf numFmtId="0" fontId="0" fillId="0" borderId="0" xfId="0" applyFont="1" applyBorder="1"/>
    <xf numFmtId="0" fontId="0" fillId="0" borderId="10" xfId="0" applyBorder="1"/>
    <xf numFmtId="164" fontId="0" fillId="0" borderId="0" xfId="0" applyNumberFormat="1"/>
    <xf numFmtId="0" fontId="0" fillId="0" borderId="0" xfId="0" applyNumberFormat="1"/>
    <xf numFmtId="0" fontId="0" fillId="33" borderId="0" xfId="0" applyFill="1"/>
    <xf numFmtId="165" fontId="0" fillId="0" borderId="0" xfId="0" applyNumberFormat="1"/>
    <xf numFmtId="0" fontId="0" fillId="0" borderId="0" xfId="0" pivotButton="1"/>
    <xf numFmtId="0" fontId="16" fillId="0" borderId="0" xfId="0" applyFont="1"/>
    <xf numFmtId="0" fontId="16" fillId="0" borderId="0" xfId="0" applyNumberFormat="1" applyFont="1"/>
    <xf numFmtId="0" fontId="16" fillId="0" borderId="0" xfId="0" pivotButton="1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2" fontId="0" fillId="0" borderId="0" xfId="0" applyNumberFormat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&quot;$&quot;#,##0.00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theme="5"/>
      </font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64" formatCode="&quot;$&quot;#,##0.00"/>
    </dxf>
    <dxf>
      <numFmt numFmtId="2" formatCode="0.00"/>
    </dxf>
    <dxf>
      <numFmt numFmtId="0" formatCode="General"/>
    </dxf>
    <dxf>
      <font>
        <b/>
      </font>
    </dxf>
    <dxf>
      <font>
        <b/>
      </font>
    </dxf>
    <dxf>
      <numFmt numFmtId="165" formatCode="0.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Dell" refreshedDate="46295.855060532405" missingItemsLimit="0" createdVersion="4" refreshedVersion="4" minRefreshableVersion="3" recordCount="988">
  <cacheSource type="worksheet">
    <worksheetSource name="Table1"/>
  </cacheSource>
  <cacheFields count="23">
    <cacheField name="User_ID" numFmtId="0">
      <sharedItems/>
    </cacheField>
    <cacheField name="Age" numFmtId="0">
      <sharedItems containsString="0" containsBlank="1" containsNumber="1" containsInteger="1" minValue="16" maxValue="97"/>
    </cacheField>
    <cacheField name="Gender" numFmtId="0">
      <sharedItems/>
    </cacheField>
    <cacheField name="Country" numFmtId="0">
      <sharedItems/>
    </cacheField>
    <cacheField name="User_Type" numFmtId="0">
      <sharedItems count="2">
        <s v="Professional"/>
        <s v="Student"/>
      </sharedItems>
    </cacheField>
    <cacheField name="Education_Level" numFmtId="0">
      <sharedItems/>
    </cacheField>
    <cacheField name="Profession" numFmtId="0">
      <sharedItems/>
    </cacheField>
    <cacheField name="Monthly_Income" numFmtId="0">
      <sharedItems containsString="0" containsBlank="1" containsNumber="1" containsInteger="1" minValue="0" maxValue="251756"/>
    </cacheField>
    <cacheField name="AI_Tool" numFmtId="0">
      <sharedItems/>
    </cacheField>
    <cacheField name="AI_Purpose" numFmtId="0">
      <sharedItems count="9">
        <s v="Coding"/>
        <s v="Studying"/>
        <s v="Research"/>
        <s v="Customer Support"/>
        <s v="Content Creation"/>
        <s v="Writing"/>
        <s v="Data Analysis"/>
        <s v="UNKNOWN"/>
        <s v="Office Work"/>
      </sharedItems>
    </cacheField>
    <cacheField name="AI_Usage_Hours_Per_Day" numFmtId="2">
      <sharedItems containsSemiMixedTypes="0" containsString="0" containsNumber="1" minValue="0" maxValue="23"/>
    </cacheField>
    <cacheField name="Monthly_AI_Cost" numFmtId="164">
      <sharedItems containsSemiMixedTypes="0" containsString="0" containsNumber="1" containsInteger="1" minValue="0" maxValue="100"/>
    </cacheField>
    <cacheField name="Productivity_Score" numFmtId="2">
      <sharedItems containsSemiMixedTypes="0" containsString="0" containsNumber="1" minValue="0" maxValue="10" count="74">
        <n v="4"/>
        <n v="5.5"/>
        <n v="4.5"/>
        <n v="4.3"/>
        <n v="3.8"/>
        <n v="7.2"/>
        <n v="4.9000000000000004"/>
        <n v="0"/>
        <n v="3.7"/>
        <n v="3.2"/>
        <n v="4.8"/>
        <n v="6.6"/>
        <n v="8.3000000000000007"/>
        <n v="5.7"/>
        <n v="8.1"/>
        <n v="6.5"/>
        <n v="3.4"/>
        <n v="2.8"/>
        <n v="8.6"/>
        <n v="6.9"/>
        <n v="5.2"/>
        <n v="3.3"/>
        <n v="1.8"/>
        <n v="5"/>
        <n v="4.7"/>
        <n v="5.8"/>
        <n v="6"/>
        <n v="3.6"/>
        <n v="5.6"/>
        <n v="9.1"/>
        <n v="8.8000000000000007"/>
        <n v="3.5"/>
        <n v="7"/>
        <n v="6.8"/>
        <n v="4.0999999999999996"/>
        <n v="2.9"/>
        <n v="2.1"/>
        <n v="6.1"/>
        <n v="4.2"/>
        <n v="7.7"/>
        <n v="1.9"/>
        <n v="6.2"/>
        <n v="6.3"/>
        <n v="3.9"/>
        <n v="7.3"/>
        <n v="2.6"/>
        <n v="7.6"/>
        <n v="2.5"/>
        <n v="2.2999999999999998"/>
        <n v="3.1"/>
        <n v="8.4"/>
        <n v="7.5"/>
        <n v="8.6999999999999993"/>
        <n v="5.4"/>
        <n v="3"/>
        <n v="4.5999999999999996"/>
        <n v="5.0999999999999996"/>
        <n v="8.9"/>
        <n v="9.3000000000000007"/>
        <n v="4.4000000000000004"/>
        <n v="7.8"/>
        <n v="6.7"/>
        <n v="9.4"/>
        <n v="7.4"/>
        <n v="5.3"/>
        <n v="7.9"/>
        <n v="10"/>
        <n v="2.4"/>
        <n v="9.6999999999999993"/>
        <n v="5.9"/>
        <n v="1.6"/>
        <n v="2.7"/>
        <n v="2"/>
        <n v="9.9"/>
      </sharedItems>
    </cacheField>
    <cacheField name="Accuracy_Rating" numFmtId="0">
      <sharedItems containsSemiMixedTypes="0" containsString="0" containsNumber="1" containsInteger="1" minValue="0" maxValue="5"/>
    </cacheField>
    <cacheField name="Satisfaction_Score" numFmtId="0">
      <sharedItems containsSemiMixedTypes="0" containsString="0" containsNumber="1" containsInteger="1" minValue="3" maxValue="10"/>
    </cacheField>
    <cacheField name="Time_Saved_Hours_Per_Week" numFmtId="0">
      <sharedItems containsString="0" containsBlank="1" containsNumber="1" minValue="0" maxValue="19.399999999999999"/>
    </cacheField>
    <cacheField name="Work_or_Study_Hours_Per_Day" numFmtId="0">
      <sharedItems containsSemiMixedTypes="0" containsString="0" containsNumber="1" minValue="0" maxValue="20"/>
    </cacheField>
    <cacheField name="Age Imputed" numFmtId="1">
      <sharedItems containsSemiMixedTypes="0" containsString="0" containsNumber="1" minValue="16" maxValue="97"/>
    </cacheField>
    <cacheField name="Country Imputed" numFmtId="0">
      <sharedItems/>
    </cacheField>
    <cacheField name="Profession imputed" numFmtId="0">
      <sharedItems/>
    </cacheField>
    <cacheField name="Monthly income imputed" numFmtId="164">
      <sharedItems containsSemiMixedTypes="0" containsString="0" containsNumber="1" minValue="0" maxValue="251756"/>
    </cacheField>
    <cacheField name="AI_Tool imputed" numFmtId="0">
      <sharedItems count="9">
        <s v="Chat Gpt"/>
        <s v="Microsoft Copilot"/>
        <s v="Google Gemini"/>
        <s v="Grammarly"/>
        <s v="Deepseek"/>
        <s v="Claude"/>
        <s v="Meta Ai"/>
        <s v="Unknown"/>
        <s v="Perplexity Ai"/>
      </sharedItems>
    </cacheField>
    <cacheField name="Time_Saved_Hours_Per_Week2 imputed" numFmtId="165">
      <sharedItems containsSemiMixedTypes="0" containsString="0" containsNumber="1" minValue="0" maxValue="19.3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8">
  <r>
    <s v="U0259"/>
    <n v="43"/>
    <s v="Male"/>
    <s v="Brazil"/>
    <x v="0"/>
    <s v="PhD"/>
    <s v=" Software Senior"/>
    <n v="0"/>
    <s v="Chat GPT"/>
    <x v="0"/>
    <n v="0.6"/>
    <n v="20"/>
    <x v="0"/>
    <n v="2"/>
    <n v="5"/>
    <n v="0"/>
    <n v="10.1"/>
    <n v="43"/>
    <s v="Brazil"/>
    <s v="Software Senior"/>
    <n v="0"/>
    <x v="0"/>
    <n v="0"/>
  </r>
  <r>
    <s v="U0127"/>
    <n v="25"/>
    <s v="Male"/>
    <s v="Canada"/>
    <x v="1"/>
    <s v="PhD"/>
    <s v="Artificial Intelligence Research Student"/>
    <n v="0"/>
    <s v="Chat GPT"/>
    <x v="1"/>
    <n v="1.9"/>
    <n v="10"/>
    <x v="1"/>
    <n v="3"/>
    <n v="5"/>
    <n v="2.9"/>
    <n v="2.1"/>
    <n v="25"/>
    <s v="Canada"/>
    <s v="Artificial Intelligence Research Student"/>
    <n v="0"/>
    <x v="0"/>
    <n v="2.9"/>
  </r>
  <r>
    <s v="U90233"/>
    <n v="24"/>
    <s v="Male"/>
    <s v="Canada"/>
    <x v="1"/>
    <s v="PhD"/>
    <s v="Artificial Intelligence Research Student"/>
    <n v="0"/>
    <s v="Chat GPT"/>
    <x v="1"/>
    <n v="1.9"/>
    <n v="10"/>
    <x v="1"/>
    <n v="3"/>
    <n v="5"/>
    <n v="2.9"/>
    <n v="2.1"/>
    <n v="24"/>
    <s v="Canada"/>
    <s v="Artificial Intelligence Research Student"/>
    <n v="0"/>
    <x v="0"/>
    <n v="2.9"/>
  </r>
  <r>
    <s v="U90258"/>
    <n v="24"/>
    <s v="Male"/>
    <s v="Canada"/>
    <x v="1"/>
    <s v="PhD"/>
    <s v="Artificial Intelligence Research Student"/>
    <n v="0"/>
    <s v="Chat GPT"/>
    <x v="1"/>
    <n v="1.9"/>
    <n v="10"/>
    <x v="1"/>
    <n v="3"/>
    <n v="5"/>
    <n v="2.9"/>
    <n v="2.1"/>
    <n v="24"/>
    <s v="Canada"/>
    <s v="Artificial Intelligence Research Student"/>
    <n v="0"/>
    <x v="0"/>
    <n v="2.9"/>
  </r>
  <r>
    <s v="U90403"/>
    <n v="26"/>
    <s v="Male"/>
    <s v="Canada"/>
    <x v="1"/>
    <s v="PhD"/>
    <s v="Artificial Intelligence Research Student"/>
    <n v="0"/>
    <s v="Chat GPT"/>
    <x v="1"/>
    <n v="1.9"/>
    <n v="10"/>
    <x v="1"/>
    <n v="3"/>
    <n v="5"/>
    <n v="2.9"/>
    <n v="2.1"/>
    <n v="26"/>
    <s v="Canada"/>
    <s v="Artificial Intelligence Research Student"/>
    <n v="0"/>
    <x v="0"/>
    <n v="2.9"/>
  </r>
  <r>
    <s v="U0222"/>
    <n v="23"/>
    <s v="Female"/>
    <s v="United States"/>
    <x v="1"/>
    <s v="High School"/>
    <s v="Biology Student"/>
    <n v="0"/>
    <s v="Microsoft Copilot"/>
    <x v="1"/>
    <n v="1.6"/>
    <n v="0"/>
    <x v="2"/>
    <n v="3"/>
    <n v="6"/>
    <n v="4.2"/>
    <n v="7"/>
    <n v="23"/>
    <s v="United States"/>
    <s v="Biology Student"/>
    <n v="0"/>
    <x v="1"/>
    <n v="4.2"/>
  </r>
  <r>
    <s v="U0033"/>
    <n v="23"/>
    <s v="Female"/>
    <s v="Pakistan"/>
    <x v="1"/>
    <s v="High School"/>
    <s v="Biology Student"/>
    <n v="0"/>
    <s v=" Google Gemini"/>
    <x v="1"/>
    <n v="0.8"/>
    <n v="20"/>
    <x v="3"/>
    <n v="4"/>
    <n v="5"/>
    <n v="2.9"/>
    <n v="8.6"/>
    <n v="23"/>
    <s v="Pakistan"/>
    <s v="Biology Student"/>
    <n v="0"/>
    <x v="2"/>
    <n v="2.9"/>
  </r>
  <r>
    <s v="U0068"/>
    <n v="23"/>
    <s v="Female"/>
    <s v="Brazil"/>
    <x v="1"/>
    <s v="High School"/>
    <s v="Biology Student"/>
    <n v="0"/>
    <s v="Chat GPT"/>
    <x v="1"/>
    <n v="0"/>
    <n v="0"/>
    <x v="4"/>
    <n v="2"/>
    <n v="6"/>
    <n v="0.1"/>
    <n v="2.6"/>
    <n v="23"/>
    <s v="Brazil"/>
    <s v="Biology Student"/>
    <n v="0"/>
    <x v="0"/>
    <n v="0.1"/>
  </r>
  <r>
    <s v="U90013"/>
    <n v="25"/>
    <s v="Female"/>
    <s v="Pakistan"/>
    <x v="1"/>
    <s v="High School"/>
    <s v="Biology Student"/>
    <n v="0"/>
    <s v=" Google Gemini"/>
    <x v="1"/>
    <n v="0.8"/>
    <n v="20"/>
    <x v="3"/>
    <n v="4"/>
    <n v="5"/>
    <n v="2.9"/>
    <n v="8.6"/>
    <n v="25"/>
    <s v="Pakistan"/>
    <s v="Biology Student"/>
    <n v="0"/>
    <x v="2"/>
    <n v="2.9"/>
  </r>
  <r>
    <s v="U90098"/>
    <n v="25"/>
    <s v="Female"/>
    <s v="United States"/>
    <x v="1"/>
    <s v="High School"/>
    <s v="Biology Student"/>
    <n v="0"/>
    <s v="Microsoft Copilot"/>
    <x v="1"/>
    <n v="1.6"/>
    <n v="0"/>
    <x v="2"/>
    <n v="3"/>
    <n v="6"/>
    <n v="4.2"/>
    <n v="7"/>
    <n v="25"/>
    <s v="United States"/>
    <s v="Biology Student"/>
    <n v="0"/>
    <x v="1"/>
    <n v="4.2"/>
  </r>
  <r>
    <s v="U90118"/>
    <n v="22"/>
    <s v="Female"/>
    <s v="Brazil"/>
    <x v="1"/>
    <s v="High School"/>
    <s v="Biology Student"/>
    <n v="0"/>
    <s v="Chat GPT"/>
    <x v="1"/>
    <n v="0"/>
    <n v="0"/>
    <x v="4"/>
    <n v="2"/>
    <n v="6"/>
    <n v="0.1"/>
    <n v="2.6"/>
    <n v="22"/>
    <s v="Brazil"/>
    <s v="Biology Student"/>
    <n v="0"/>
    <x v="0"/>
    <n v="0.1"/>
  </r>
  <r>
    <s v="U90241"/>
    <n v="22"/>
    <s v="Female"/>
    <s v="United States"/>
    <x v="1"/>
    <s v="High School"/>
    <s v="Biology Student"/>
    <n v="0"/>
    <s v="Microsoft Copilot"/>
    <x v="1"/>
    <n v="1.6"/>
    <n v="0"/>
    <x v="2"/>
    <n v="3"/>
    <n v="6"/>
    <n v="4.2"/>
    <n v="7"/>
    <n v="22"/>
    <s v="United States"/>
    <s v="Biology Student"/>
    <n v="0"/>
    <x v="1"/>
    <n v="4.2"/>
  </r>
  <r>
    <s v="U90271"/>
    <n v="22"/>
    <s v="Female"/>
    <s v="Brazil"/>
    <x v="1"/>
    <s v="High School"/>
    <s v="Biology Student"/>
    <n v="0"/>
    <s v="Chat GPT"/>
    <x v="1"/>
    <n v="0"/>
    <n v="0"/>
    <x v="4"/>
    <n v="2"/>
    <n v="6"/>
    <n v="0.1"/>
    <n v="2.6"/>
    <n v="22"/>
    <s v="Brazil"/>
    <s v="Biology Student"/>
    <n v="0"/>
    <x v="0"/>
    <n v="0.1"/>
  </r>
  <r>
    <s v="U90274"/>
    <n v="25"/>
    <s v="Female"/>
    <s v="United States"/>
    <x v="1"/>
    <s v="High School"/>
    <s v="Biology Student"/>
    <n v="0"/>
    <s v="Microsoft Copilot"/>
    <x v="1"/>
    <n v="1.6"/>
    <n v="0"/>
    <x v="2"/>
    <n v="3"/>
    <n v="6"/>
    <n v="4.2"/>
    <n v="7"/>
    <n v="25"/>
    <s v="United States"/>
    <s v="Biology Student"/>
    <n v="0"/>
    <x v="1"/>
    <n v="4.2"/>
  </r>
  <r>
    <s v="U90320"/>
    <n v="21"/>
    <s v="Female"/>
    <s v="United States"/>
    <x v="1"/>
    <s v="High School"/>
    <s v="Biology Student"/>
    <n v="0"/>
    <s v="Microsoft Copilot"/>
    <x v="1"/>
    <n v="1.6"/>
    <n v="0"/>
    <x v="2"/>
    <n v="3"/>
    <n v="6"/>
    <n v="4.2"/>
    <n v="7"/>
    <n v="21"/>
    <s v="United States"/>
    <s v="Biology Student"/>
    <n v="0"/>
    <x v="1"/>
    <n v="4.2"/>
  </r>
  <r>
    <s v="U90329"/>
    <n v="21"/>
    <s v="Female"/>
    <s v="Brazil"/>
    <x v="1"/>
    <s v="High School"/>
    <s v="Biology Student"/>
    <n v="0"/>
    <s v="Chat GPT"/>
    <x v="1"/>
    <n v="0"/>
    <n v="0"/>
    <x v="4"/>
    <n v="2"/>
    <n v="6"/>
    <n v="0.1"/>
    <n v="2.6"/>
    <n v="21"/>
    <s v="Brazil"/>
    <s v="Biology Student"/>
    <n v="0"/>
    <x v="0"/>
    <n v="0.1"/>
  </r>
  <r>
    <s v="U90532"/>
    <n v="21"/>
    <s v="Female"/>
    <s v="Brazil"/>
    <x v="1"/>
    <s v="High School"/>
    <s v="Biology Student"/>
    <n v="0"/>
    <s v="Chat GPT"/>
    <x v="1"/>
    <n v="0"/>
    <n v="0"/>
    <x v="4"/>
    <n v="2"/>
    <n v="6"/>
    <n v="0.1"/>
    <n v="2.6"/>
    <n v="21"/>
    <s v="Brazil"/>
    <s v="Biology Student"/>
    <n v="0"/>
    <x v="0"/>
    <n v="0.1"/>
  </r>
  <r>
    <s v="U90610"/>
    <n v="25"/>
    <s v="Female"/>
    <s v="United States"/>
    <x v="1"/>
    <s v="High School"/>
    <s v="Biology Student"/>
    <n v="0"/>
    <s v="Microsoft Copilot"/>
    <x v="1"/>
    <n v="1.6"/>
    <n v="0"/>
    <x v="2"/>
    <n v="3"/>
    <n v="6"/>
    <n v="4.2"/>
    <n v="7"/>
    <n v="25"/>
    <s v="United States"/>
    <s v="Biology Student"/>
    <n v="0"/>
    <x v="1"/>
    <n v="4.2"/>
  </r>
  <r>
    <s v="U90615"/>
    <n v="23"/>
    <s v="Female"/>
    <s v="Brazil"/>
    <x v="1"/>
    <s v="High School"/>
    <s v="Biology Student"/>
    <n v="0"/>
    <s v="Chat GPT"/>
    <x v="1"/>
    <n v="0"/>
    <n v="0"/>
    <x v="4"/>
    <n v="2"/>
    <n v="6"/>
    <n v="0.1"/>
    <n v="2.6"/>
    <n v="23"/>
    <s v="Brazil"/>
    <s v="Biology Student"/>
    <n v="0"/>
    <x v="0"/>
    <n v="0.1"/>
  </r>
  <r>
    <s v="U90660"/>
    <n v="21"/>
    <s v="Female"/>
    <s v="Pakistan"/>
    <x v="1"/>
    <s v="High School"/>
    <s v="Biology Student"/>
    <n v="0"/>
    <s v=" Google Gemini"/>
    <x v="1"/>
    <n v="0.8"/>
    <n v="20"/>
    <x v="3"/>
    <n v="4"/>
    <n v="5"/>
    <n v="2.9"/>
    <n v="8.6"/>
    <n v="21"/>
    <s v="Pakistan"/>
    <s v="Biology Student"/>
    <n v="0"/>
    <x v="2"/>
    <n v="2.9"/>
  </r>
  <r>
    <s v="U0132"/>
    <m/>
    <s v="Male"/>
    <s v="Australia"/>
    <x v="1"/>
    <s v="Undergraduate"/>
    <s v="Business Administration Student"/>
    <n v="0"/>
    <s v="Chat GPT"/>
    <x v="2"/>
    <n v="5.4"/>
    <n v="0"/>
    <x v="5"/>
    <n v="4"/>
    <n v="8"/>
    <n v="10.7"/>
    <n v="4.8"/>
    <n v="30.023333333333333"/>
    <s v="Australia"/>
    <s v="Business Administration Student"/>
    <n v="0"/>
    <x v="0"/>
    <n v="10.7"/>
  </r>
  <r>
    <s v="U0051"/>
    <n v="22"/>
    <s v="Male"/>
    <s v="Canada"/>
    <x v="1"/>
    <s v="High School"/>
    <s v="Business Administration Student"/>
    <n v="0"/>
    <s v=" Google Gemini"/>
    <x v="1"/>
    <n v="2"/>
    <n v="0"/>
    <x v="6"/>
    <n v="3"/>
    <n v="6"/>
    <n v="4.3"/>
    <n v="8.3000000000000007"/>
    <n v="22"/>
    <s v="Canada"/>
    <s v="Business Administration Student"/>
    <n v="0"/>
    <x v="2"/>
    <n v="4.3"/>
  </r>
  <r>
    <s v="U90009"/>
    <n v="23"/>
    <s v="Male"/>
    <s v="Canada"/>
    <x v="1"/>
    <s v="High School"/>
    <s v="Business Administration Student"/>
    <n v="0"/>
    <s v=" Google Gemini"/>
    <x v="1"/>
    <n v="2"/>
    <n v="0"/>
    <x v="6"/>
    <n v="3"/>
    <n v="6"/>
    <n v="4.3"/>
    <n v="8.3000000000000007"/>
    <n v="23"/>
    <s v="Canada"/>
    <s v="Business Administration Student"/>
    <n v="0"/>
    <x v="2"/>
    <n v="4.3"/>
  </r>
  <r>
    <s v="U90011"/>
    <n v="22"/>
    <s v="Male"/>
    <s v="Canada"/>
    <x v="1"/>
    <s v="High School"/>
    <s v="Business Administration Student"/>
    <n v="0"/>
    <s v=" Google Gemini"/>
    <x v="1"/>
    <n v="2"/>
    <n v="0"/>
    <x v="6"/>
    <n v="3"/>
    <n v="6"/>
    <n v="4.3"/>
    <n v="8.3000000000000007"/>
    <n v="22"/>
    <s v="Canada"/>
    <s v="Business Administration Student"/>
    <n v="0"/>
    <x v="2"/>
    <n v="4.3"/>
  </r>
  <r>
    <s v="U90497"/>
    <m/>
    <s v="Male"/>
    <s v="Australia"/>
    <x v="1"/>
    <s v="Graduate"/>
    <s v="Business Administration Student"/>
    <n v="0"/>
    <s v="Chat GPT"/>
    <x v="2"/>
    <n v="5.4"/>
    <n v="0"/>
    <x v="5"/>
    <n v="4"/>
    <n v="8"/>
    <n v="10.7"/>
    <n v="4.8"/>
    <n v="30.023333333333333"/>
    <s v="Australia"/>
    <s v="Business Administration Student"/>
    <n v="0"/>
    <x v="0"/>
    <n v="10.7"/>
  </r>
  <r>
    <s v="U90641"/>
    <m/>
    <s v="Male"/>
    <s v="Australia"/>
    <x v="1"/>
    <s v="Graduate"/>
    <s v="Business Administration Student"/>
    <n v="0"/>
    <s v="Chat GPT"/>
    <x v="2"/>
    <n v="5.4"/>
    <n v="0"/>
    <x v="5"/>
    <n v="4"/>
    <n v="8"/>
    <n v="10.7"/>
    <n v="4.8"/>
    <n v="30.023333333333333"/>
    <s v="Australia"/>
    <s v="Business Administration Student"/>
    <n v="0"/>
    <x v="0"/>
    <n v="10.7"/>
  </r>
  <r>
    <s v="U90680"/>
    <n v="21"/>
    <s v="Male"/>
    <s v="Canada"/>
    <x v="1"/>
    <s v="High School"/>
    <s v="Business Administration Student"/>
    <n v="0"/>
    <s v=" Google Gemini"/>
    <x v="1"/>
    <n v="2"/>
    <n v="0"/>
    <x v="6"/>
    <n v="3"/>
    <n v="6"/>
    <n v="4.3"/>
    <n v="8.3000000000000007"/>
    <n v="21"/>
    <s v="Canada"/>
    <s v="Business Administration Student"/>
    <n v="0"/>
    <x v="2"/>
    <n v="4.3"/>
  </r>
  <r>
    <s v="U0047"/>
    <n v="26"/>
    <s v="Male"/>
    <s v="Philippines"/>
    <x v="1"/>
    <s v="PhD"/>
    <s v="Computer Science PhD Student"/>
    <n v="0"/>
    <s v=" Google Gemini"/>
    <x v="0"/>
    <n v="0.8"/>
    <n v="0"/>
    <x v="7"/>
    <n v="2"/>
    <n v="3"/>
    <n v="0"/>
    <n v="3.7"/>
    <n v="26"/>
    <s v="Philippines"/>
    <s v="Computer Science PhD Student"/>
    <n v="0"/>
    <x v="2"/>
    <n v="0"/>
  </r>
  <r>
    <s v="U90008"/>
    <n v="28"/>
    <s v="Male"/>
    <s v="Philippines"/>
    <x v="1"/>
    <s v="PhD"/>
    <s v="Computer Science PhD Student"/>
    <n v="0"/>
    <s v=" Google Gemini"/>
    <x v="0"/>
    <n v="0.8"/>
    <n v="0"/>
    <x v="7"/>
    <n v="2"/>
    <n v="3"/>
    <n v="0"/>
    <n v="3.7"/>
    <n v="28"/>
    <s v="Philippines"/>
    <s v="Computer Science PhD Student"/>
    <n v="0"/>
    <x v="2"/>
    <n v="0"/>
  </r>
  <r>
    <s v="U90093"/>
    <n v="26"/>
    <s v="Male"/>
    <s v="Philippines"/>
    <x v="1"/>
    <s v="PhD"/>
    <s v="Computer Science PhD Student"/>
    <n v="0"/>
    <s v=" Google Gemini"/>
    <x v="0"/>
    <n v="0.8"/>
    <n v="0"/>
    <x v="7"/>
    <n v="2"/>
    <n v="3"/>
    <n v="0"/>
    <n v="3.7"/>
    <n v="26"/>
    <s v="Philippines"/>
    <s v="Computer Science PhD Student"/>
    <n v="0"/>
    <x v="2"/>
    <n v="0"/>
  </r>
  <r>
    <s v="U90435"/>
    <n v="26"/>
    <s v="Male"/>
    <s v="Philippines"/>
    <x v="1"/>
    <s v="PhD"/>
    <s v="Computer Science PhD Student"/>
    <n v="0"/>
    <s v=" Google Gemini"/>
    <x v="0"/>
    <n v="0.8"/>
    <n v="0"/>
    <x v="7"/>
    <n v="2"/>
    <n v="3"/>
    <n v="0"/>
    <n v="3.7"/>
    <n v="26"/>
    <s v="Philippines"/>
    <s v="Computer Science PhD Student"/>
    <n v="0"/>
    <x v="2"/>
    <n v="0"/>
  </r>
  <r>
    <s v="U0141"/>
    <n v="29"/>
    <s v="Female"/>
    <s v="United Kingdom"/>
    <x v="1"/>
    <s v="High School"/>
    <s v="Computer Science Student"/>
    <n v="0"/>
    <s v="Grammarly"/>
    <x v="0"/>
    <n v="2.6"/>
    <n v="10"/>
    <x v="8"/>
    <n v="4"/>
    <n v="7"/>
    <n v="4.8"/>
    <n v="6.2"/>
    <n v="29"/>
    <s v="United Kingdom"/>
    <s v="Computer Science Student"/>
    <n v="0"/>
    <x v="3"/>
    <n v="4.8"/>
  </r>
  <r>
    <s v="U0125"/>
    <n v="26"/>
    <s v="Female"/>
    <s v="Nigeria"/>
    <x v="1"/>
    <s v="High School"/>
    <s v="Computer Science Student"/>
    <n v="0"/>
    <s v="Chat GPT"/>
    <x v="0"/>
    <n v="0.6"/>
    <n v="0"/>
    <x v="9"/>
    <n v="2"/>
    <n v="5"/>
    <n v="2.2000000000000002"/>
    <n v="8.8000000000000007"/>
    <n v="26"/>
    <s v="Nigeria"/>
    <s v="Computer Science Student"/>
    <n v="0"/>
    <x v="0"/>
    <n v="2.2000000000000002"/>
  </r>
  <r>
    <s v="U0027"/>
    <n v="20"/>
    <s v="Male"/>
    <s v="United Kingdom"/>
    <x v="1"/>
    <s v="Undergraduate"/>
    <s v="Computer Science Student"/>
    <n v="0"/>
    <s v="Chat GPT"/>
    <x v="0"/>
    <n v="1.3"/>
    <n v="0"/>
    <x v="10"/>
    <n v="4"/>
    <n v="7"/>
    <n v="2.9"/>
    <n v="8.1"/>
    <n v="20"/>
    <s v="United Kingdom"/>
    <s v="Computer Science Student"/>
    <n v="0"/>
    <x v="0"/>
    <n v="2.9"/>
  </r>
  <r>
    <s v="U0187"/>
    <n v="21"/>
    <s v="Female"/>
    <s v="Pakistan"/>
    <x v="1"/>
    <s v="Undergraduate"/>
    <s v="Computer Science Student"/>
    <n v="0"/>
    <s v="DeepSeek"/>
    <x v="0"/>
    <n v="2.9"/>
    <n v="20"/>
    <x v="11"/>
    <n v="2"/>
    <n v="4"/>
    <m/>
    <n v="5.5"/>
    <n v="21"/>
    <s v="Pakistan"/>
    <s v="Computer Science Student"/>
    <n v="0"/>
    <x v="4"/>
    <n v="3.2436781609195395"/>
  </r>
  <r>
    <s v="U0153"/>
    <n v="22"/>
    <s v="Male"/>
    <s v="United States"/>
    <x v="1"/>
    <s v="High School"/>
    <s v="Computer Science Student"/>
    <n v="0"/>
    <s v="Microsoft Copilot"/>
    <x v="0"/>
    <n v="5.5"/>
    <n v="0"/>
    <x v="12"/>
    <n v="3"/>
    <n v="8"/>
    <n v="10.9"/>
    <n v="7.4"/>
    <n v="22"/>
    <s v="United States"/>
    <s v="Computer Science Student"/>
    <n v="0"/>
    <x v="1"/>
    <n v="10.9"/>
  </r>
  <r>
    <s v="U0174"/>
    <n v="32"/>
    <s v="Male"/>
    <s v="Canada"/>
    <x v="1"/>
    <s v="High School"/>
    <s v="Computer Science Student"/>
    <n v="0"/>
    <s v="claude"/>
    <x v="0"/>
    <n v="3.9"/>
    <n v="0"/>
    <x v="13"/>
    <n v="3"/>
    <n v="6"/>
    <n v="7.3"/>
    <n v="4.8"/>
    <n v="32"/>
    <s v="Canada"/>
    <s v="Computer Science Student"/>
    <n v="0"/>
    <x v="5"/>
    <n v="7.3"/>
  </r>
  <r>
    <s v="U90023"/>
    <n v="28"/>
    <s v="Female"/>
    <s v="United Kingdom"/>
    <x v="1"/>
    <s v="High School"/>
    <s v="Computer Science Student"/>
    <n v="0"/>
    <s v="Grammarly"/>
    <x v="0"/>
    <n v="2.6"/>
    <n v="10"/>
    <x v="8"/>
    <n v="4"/>
    <n v="7"/>
    <n v="4.8"/>
    <n v="6.2"/>
    <n v="28"/>
    <s v="United Kingdom"/>
    <s v="Computer Science Student"/>
    <n v="0"/>
    <x v="3"/>
    <n v="4.8"/>
  </r>
  <r>
    <s v="U90051"/>
    <n v="22"/>
    <s v="Male"/>
    <s v="United Kingdom"/>
    <x v="1"/>
    <s v="Undergraduate"/>
    <s v="Computer Science Student"/>
    <n v="0"/>
    <s v="Chat GPT"/>
    <x v="0"/>
    <n v="1.3"/>
    <n v="0"/>
    <x v="10"/>
    <n v="4"/>
    <n v="7"/>
    <n v="2.9"/>
    <n v="8.1"/>
    <n v="22"/>
    <s v="United Kingdom"/>
    <s v="Computer Science Student"/>
    <n v="0"/>
    <x v="0"/>
    <n v="2.9"/>
  </r>
  <r>
    <s v="U90106"/>
    <n v="33"/>
    <s v="Male"/>
    <s v="Canada"/>
    <x v="1"/>
    <s v="High School"/>
    <s v="Computer Science Student"/>
    <n v="0"/>
    <s v="claude"/>
    <x v="0"/>
    <n v="3.9"/>
    <n v="0"/>
    <x v="13"/>
    <n v="3"/>
    <n v="6"/>
    <n v="7.3"/>
    <n v="4.8"/>
    <n v="33"/>
    <s v="Canada"/>
    <s v="Computer Science Student"/>
    <n v="0"/>
    <x v="5"/>
    <n v="7.3"/>
  </r>
  <r>
    <s v="U90127"/>
    <n v="34"/>
    <s v="Male"/>
    <s v="Canada"/>
    <x v="1"/>
    <s v="High School"/>
    <s v="Computer Science Student"/>
    <n v="0"/>
    <s v="claude"/>
    <x v="0"/>
    <n v="3.9"/>
    <n v="0"/>
    <x v="13"/>
    <n v="3"/>
    <n v="6"/>
    <n v="7.3"/>
    <n v="4.8"/>
    <n v="34"/>
    <s v="Canada"/>
    <s v="Computer Science Student"/>
    <n v="0"/>
    <x v="5"/>
    <n v="7.3"/>
  </r>
  <r>
    <s v="U90168"/>
    <n v="21"/>
    <s v="Male"/>
    <s v="United States"/>
    <x v="1"/>
    <s v="High School"/>
    <s v="Computer Science Student"/>
    <n v="0"/>
    <s v="Microsoft Copilot"/>
    <x v="0"/>
    <n v="5.5"/>
    <n v="0"/>
    <x v="12"/>
    <n v="3"/>
    <n v="8"/>
    <n v="10.9"/>
    <n v="7.4"/>
    <n v="21"/>
    <s v="United States"/>
    <s v="Computer Science Student"/>
    <n v="0"/>
    <x v="1"/>
    <n v="10.9"/>
  </r>
  <r>
    <s v="U90208"/>
    <n v="22"/>
    <s v="Male"/>
    <s v="United States"/>
    <x v="1"/>
    <s v="High School"/>
    <s v="Computer Science Student"/>
    <n v="0"/>
    <s v="Microsoft Copilot"/>
    <x v="0"/>
    <n v="5.5"/>
    <n v="0"/>
    <x v="12"/>
    <n v="3"/>
    <n v="8"/>
    <n v="10.9"/>
    <n v="7.4"/>
    <n v="22"/>
    <s v="United States"/>
    <s v="Computer Science Student"/>
    <n v="0"/>
    <x v="1"/>
    <n v="10.9"/>
  </r>
  <r>
    <s v="U90257"/>
    <n v="21"/>
    <s v="Female"/>
    <s v="Pakistan"/>
    <x v="1"/>
    <s v="Undergraduate"/>
    <s v="Computer Science Student"/>
    <n v="0"/>
    <s v="DeepSeek"/>
    <x v="0"/>
    <n v="2.9"/>
    <n v="20"/>
    <x v="11"/>
    <n v="2"/>
    <n v="4"/>
    <m/>
    <n v="5.5"/>
    <n v="21"/>
    <s v="Pakistan"/>
    <s v="Computer Science Student"/>
    <n v="0"/>
    <x v="4"/>
    <n v="3.2436781609195395"/>
  </r>
  <r>
    <s v="U90272"/>
    <n v="19"/>
    <s v="Female"/>
    <s v="Pakistan"/>
    <x v="1"/>
    <s v="Undergraduate"/>
    <s v="Computer Science Student"/>
    <n v="0"/>
    <s v="DeepSeek"/>
    <x v="0"/>
    <n v="2.9"/>
    <n v="20"/>
    <x v="11"/>
    <n v="2"/>
    <n v="4"/>
    <m/>
    <n v="5.5"/>
    <n v="19"/>
    <s v="Pakistan"/>
    <s v="Computer Science Student"/>
    <n v="0"/>
    <x v="4"/>
    <n v="3.2436781609195395"/>
  </r>
  <r>
    <s v="U90409"/>
    <n v="22"/>
    <s v="Male"/>
    <s v="United Kingdom"/>
    <x v="1"/>
    <s v="Undergraduate"/>
    <s v="Computer Science Student"/>
    <n v="0"/>
    <s v="Chat GPT"/>
    <x v="0"/>
    <n v="1.3"/>
    <n v="0"/>
    <x v="10"/>
    <n v="4"/>
    <n v="7"/>
    <n v="2.9"/>
    <n v="8.1"/>
    <n v="22"/>
    <s v="United Kingdom"/>
    <s v="Computer Science Student"/>
    <n v="0"/>
    <x v="0"/>
    <n v="2.9"/>
  </r>
  <r>
    <s v="U90459"/>
    <n v="30"/>
    <s v="Male"/>
    <s v="Canada"/>
    <x v="1"/>
    <s v="High School"/>
    <s v="Computer Science Student"/>
    <n v="0"/>
    <s v="claude"/>
    <x v="0"/>
    <n v="3.9"/>
    <n v="0"/>
    <x v="13"/>
    <n v="3"/>
    <n v="6"/>
    <n v="7.3"/>
    <n v="4.8"/>
    <n v="30"/>
    <s v="Canada"/>
    <s v="Computer Science Student"/>
    <n v="0"/>
    <x v="5"/>
    <n v="7.3"/>
  </r>
  <r>
    <s v="U90471"/>
    <n v="32"/>
    <s v="Male"/>
    <s v="Canada"/>
    <x v="1"/>
    <s v="High School"/>
    <s v="Computer Science Student"/>
    <n v="0"/>
    <s v="claude"/>
    <x v="0"/>
    <n v="3.9"/>
    <n v="0"/>
    <x v="13"/>
    <n v="3"/>
    <n v="6"/>
    <n v="7.3"/>
    <n v="4.8"/>
    <n v="32"/>
    <s v="Canada"/>
    <s v="Computer Science Student"/>
    <n v="0"/>
    <x v="5"/>
    <n v="7.3"/>
  </r>
  <r>
    <s v="U90509"/>
    <n v="28"/>
    <s v="Female"/>
    <s v="United Kingdom"/>
    <x v="1"/>
    <s v="High School"/>
    <s v="Computer Science Student"/>
    <n v="0"/>
    <s v="Grammarly"/>
    <x v="0"/>
    <n v="2.6"/>
    <n v="10"/>
    <x v="8"/>
    <n v="4"/>
    <n v="7"/>
    <n v="4.8"/>
    <n v="6.2"/>
    <n v="28"/>
    <s v="United Kingdom"/>
    <s v="Computer Science Student"/>
    <n v="0"/>
    <x v="3"/>
    <n v="4.8"/>
  </r>
  <r>
    <s v="U90523"/>
    <n v="27"/>
    <s v="Female"/>
    <s v="United Kingdom"/>
    <x v="1"/>
    <s v="High School"/>
    <s v="Computer Science Student"/>
    <n v="0"/>
    <s v="Grammarly"/>
    <x v="0"/>
    <n v="2.6"/>
    <n v="10"/>
    <x v="8"/>
    <n v="4"/>
    <n v="7"/>
    <n v="4.8"/>
    <n v="6.2"/>
    <n v="27"/>
    <s v="United Kingdom"/>
    <s v="Computer Science Student"/>
    <n v="0"/>
    <x v="3"/>
    <n v="4.8"/>
  </r>
  <r>
    <s v="U90649"/>
    <n v="28"/>
    <s v="Female"/>
    <s v="United Kingdom"/>
    <x v="1"/>
    <s v="High School"/>
    <s v="Computer Science Student"/>
    <n v="0"/>
    <s v="Grammarly"/>
    <x v="0"/>
    <n v="2.6"/>
    <n v="10"/>
    <x v="8"/>
    <n v="4"/>
    <n v="7"/>
    <n v="4.8"/>
    <n v="6.2"/>
    <n v="28"/>
    <s v="United Kingdom"/>
    <s v="Computer Science Student"/>
    <n v="0"/>
    <x v="3"/>
    <n v="4.8"/>
  </r>
  <r>
    <s v="U90650"/>
    <n v="25"/>
    <s v="Female"/>
    <s v="Nigeria"/>
    <x v="1"/>
    <s v="High School"/>
    <s v="Computer Science Student"/>
    <n v="0"/>
    <s v="Chat GPT"/>
    <x v="0"/>
    <n v="0.6"/>
    <n v="0"/>
    <x v="9"/>
    <n v="2"/>
    <n v="5"/>
    <n v="2.2000000000000002"/>
    <n v="8.8000000000000007"/>
    <n v="25"/>
    <s v="Nigeria"/>
    <s v="Computer Science Student"/>
    <n v="0"/>
    <x v="0"/>
    <n v="2.2000000000000002"/>
  </r>
  <r>
    <s v="U90699"/>
    <n v="24"/>
    <s v="Female"/>
    <s v="Nigeria"/>
    <x v="1"/>
    <s v="High School"/>
    <s v="Computer Science Student"/>
    <n v="0"/>
    <s v="Chat GPT"/>
    <x v="0"/>
    <n v="0.6"/>
    <n v="0"/>
    <x v="9"/>
    <n v="2"/>
    <n v="5"/>
    <n v="2.2000000000000002"/>
    <n v="8.8000000000000007"/>
    <n v="24"/>
    <s v="Nigeria"/>
    <s v="Computer Science Student"/>
    <n v="0"/>
    <x v="0"/>
    <n v="2.2000000000000002"/>
  </r>
  <r>
    <s v="U0198"/>
    <n v="29"/>
    <s v="Female"/>
    <s v="Germany"/>
    <x v="0"/>
    <s v="Bachelor's"/>
    <s v="Customer Service Specialist"/>
    <n v="0"/>
    <s v="Chat GPT"/>
    <x v="3"/>
    <n v="1"/>
    <n v="0"/>
    <x v="0"/>
    <n v="3"/>
    <n v="6"/>
    <n v="2.7"/>
    <n v="8"/>
    <n v="29"/>
    <s v="Germany"/>
    <s v="Customer Service Specialist"/>
    <n v="0"/>
    <x v="0"/>
    <n v="2.7"/>
  </r>
  <r>
    <s v="U0062"/>
    <n v="22"/>
    <s v="Male"/>
    <s v="Australia"/>
    <x v="1"/>
    <s v="Master's"/>
    <s v="Data Science Student"/>
    <n v="0"/>
    <s v="Microsoft Copilot"/>
    <x v="1"/>
    <n v="5.9"/>
    <n v="0"/>
    <x v="14"/>
    <n v="3"/>
    <n v="7"/>
    <n v="9"/>
    <n v="7.3"/>
    <n v="22"/>
    <s v="Australia"/>
    <s v="Data Science Student"/>
    <n v="0"/>
    <x v="1"/>
    <n v="9"/>
  </r>
  <r>
    <s v="U90007"/>
    <n v="22"/>
    <s v="Male"/>
    <s v="Australia"/>
    <x v="1"/>
    <s v="Master's"/>
    <s v="Data Science Student"/>
    <n v="0"/>
    <s v="Microsoft Copilot"/>
    <x v="1"/>
    <n v="5.9"/>
    <n v="0"/>
    <x v="14"/>
    <n v="3"/>
    <n v="7"/>
    <n v="9"/>
    <n v="7.3"/>
    <n v="22"/>
    <s v="Australia"/>
    <s v="Data Science Student"/>
    <n v="0"/>
    <x v="1"/>
    <n v="9"/>
  </r>
  <r>
    <s v="U90482"/>
    <n v="20"/>
    <s v="Male"/>
    <s v="Australia"/>
    <x v="1"/>
    <s v="Master's"/>
    <s v="Data Science Student"/>
    <n v="0"/>
    <s v="Microsoft Copilot"/>
    <x v="1"/>
    <n v="5.9"/>
    <n v="0"/>
    <x v="14"/>
    <n v="3"/>
    <n v="7"/>
    <n v="9"/>
    <n v="7.3"/>
    <n v="20"/>
    <s v="Australia"/>
    <s v="Data Science Student"/>
    <n v="0"/>
    <x v="1"/>
    <n v="9"/>
  </r>
  <r>
    <s v="U0143"/>
    <n v="20"/>
    <s v="Female"/>
    <s v="Pakistan"/>
    <x v="1"/>
    <s v="Undergraduate"/>
    <s v="Digital Marketing Student"/>
    <n v="0"/>
    <s v="claude"/>
    <x v="4"/>
    <n v="3.4"/>
    <n v="10"/>
    <x v="15"/>
    <n v="3"/>
    <n v="6"/>
    <n v="7.2"/>
    <n v="4.5999999999999996"/>
    <n v="20"/>
    <s v="Pakistan"/>
    <s v="Digital Marketing Student"/>
    <n v="0"/>
    <x v="5"/>
    <n v="7.2"/>
  </r>
  <r>
    <s v="U0212"/>
    <n v="22"/>
    <s v="Female"/>
    <s v="India"/>
    <x v="1"/>
    <s v="Undergraduate"/>
    <s v="Digital Marketing Student"/>
    <n v="0"/>
    <s v="Microsoft Copilot"/>
    <x v="4"/>
    <n v="0.7"/>
    <n v="30"/>
    <x v="16"/>
    <n v="4"/>
    <n v="6"/>
    <n v="5.9"/>
    <n v="5.4"/>
    <n v="22"/>
    <s v="India"/>
    <s v="Digital Marketing Student"/>
    <n v="0"/>
    <x v="1"/>
    <n v="5.9"/>
  </r>
  <r>
    <s v="U90455"/>
    <n v="18"/>
    <s v="Female"/>
    <s v="Pakistan"/>
    <x v="1"/>
    <s v="Undergraduate"/>
    <s v="Digital Marketing Student"/>
    <n v="0"/>
    <s v="claude"/>
    <x v="4"/>
    <n v="3.4"/>
    <n v="10"/>
    <x v="15"/>
    <n v="3"/>
    <n v="6"/>
    <n v="7.2"/>
    <n v="4.5999999999999996"/>
    <n v="18"/>
    <s v="Pakistan"/>
    <s v="Digital Marketing Student"/>
    <n v="0"/>
    <x v="5"/>
    <n v="7.2"/>
  </r>
  <r>
    <s v="U90500"/>
    <n v="22"/>
    <s v="Female"/>
    <s v="Pakistan"/>
    <x v="1"/>
    <s v="Undergraduate"/>
    <s v="Digital Marketing Student"/>
    <n v="0"/>
    <s v="claude"/>
    <x v="4"/>
    <n v="3.4"/>
    <n v="10"/>
    <x v="15"/>
    <n v="3"/>
    <n v="6"/>
    <n v="7.2"/>
    <n v="4.5999999999999996"/>
    <n v="22"/>
    <s v="Pakistan"/>
    <s v="Digital Marketing Student"/>
    <n v="0"/>
    <x v="5"/>
    <n v="7.2"/>
  </r>
  <r>
    <s v="U90513"/>
    <n v="22"/>
    <s v="Female"/>
    <s v="Pakistan"/>
    <x v="1"/>
    <s v="Undergraduate"/>
    <s v="Digital Marketing Student"/>
    <n v="0"/>
    <s v="claude"/>
    <x v="4"/>
    <n v="3.4"/>
    <n v="10"/>
    <x v="15"/>
    <n v="3"/>
    <n v="6"/>
    <n v="7.2"/>
    <n v="4.5999999999999996"/>
    <n v="22"/>
    <s v="Pakistan"/>
    <s v="Digital Marketing Student"/>
    <n v="0"/>
    <x v="5"/>
    <n v="7.2"/>
  </r>
  <r>
    <s v="U90571"/>
    <n v="21"/>
    <s v="Female"/>
    <s v="India"/>
    <x v="1"/>
    <s v="Undergraduate"/>
    <s v="Digital Marketing Student"/>
    <n v="0"/>
    <s v="Microsoft Copilot"/>
    <x v="4"/>
    <n v="0.7"/>
    <n v="30"/>
    <x v="16"/>
    <n v="4"/>
    <n v="6"/>
    <n v="5.9"/>
    <n v="5.4"/>
    <n v="21"/>
    <s v="India"/>
    <s v="Digital Marketing Student"/>
    <n v="0"/>
    <x v="1"/>
    <n v="5.9"/>
  </r>
  <r>
    <s v="U90671"/>
    <n v="23"/>
    <s v="Female"/>
    <s v="India"/>
    <x v="1"/>
    <s v="Undergraduate"/>
    <s v="Digital Marketing Student"/>
    <n v="0"/>
    <s v="Microsoft Copilot"/>
    <x v="4"/>
    <n v="0.7"/>
    <n v="30"/>
    <x v="16"/>
    <n v="4"/>
    <n v="6"/>
    <n v="5.9"/>
    <n v="5.4"/>
    <n v="23"/>
    <s v="India"/>
    <s v="Digital Marketing Student"/>
    <n v="0"/>
    <x v="1"/>
    <n v="5.9"/>
  </r>
  <r>
    <s v="U0273"/>
    <n v="22"/>
    <s v="Female"/>
    <s v="United States"/>
    <x v="1"/>
    <s v="Undergraduate"/>
    <s v="Digital Media Student"/>
    <n v="0"/>
    <s v="Chat GPT"/>
    <x v="4"/>
    <n v="5.9"/>
    <n v="20"/>
    <x v="1"/>
    <n v="3"/>
    <n v="5"/>
    <n v="12.4"/>
    <n v="5.7"/>
    <n v="22"/>
    <s v="United States"/>
    <s v="Digital Media Student"/>
    <n v="0"/>
    <x v="0"/>
    <n v="12.4"/>
  </r>
  <r>
    <s v="U90499"/>
    <n v="21"/>
    <s v="Female"/>
    <s v="United States"/>
    <x v="1"/>
    <s v="Undergraduate"/>
    <s v="Digital Media Student"/>
    <n v="0"/>
    <s v="Chat GPT"/>
    <x v="4"/>
    <n v="5.9"/>
    <n v="20"/>
    <x v="1"/>
    <n v="3"/>
    <n v="5"/>
    <n v="12.4"/>
    <n v="5.7"/>
    <n v="21"/>
    <s v="United States"/>
    <s v="Digital Media Student"/>
    <n v="0"/>
    <x v="0"/>
    <n v="12.4"/>
  </r>
  <r>
    <s v="U0227"/>
    <n v="23"/>
    <s v="Male"/>
    <s v="Pakistan"/>
    <x v="1"/>
    <s v="Master's"/>
    <s v="English Literature Student"/>
    <n v="0"/>
    <s v="Chat GPT"/>
    <x v="5"/>
    <n v="1.7"/>
    <n v="20"/>
    <x v="17"/>
    <n v="2"/>
    <n v="3"/>
    <n v="2.7"/>
    <n v="5.4"/>
    <n v="23"/>
    <s v="Pakistan"/>
    <s v="English Literature Student"/>
    <n v="0"/>
    <x v="0"/>
    <n v="2.7"/>
  </r>
  <r>
    <s v="U0182"/>
    <n v="17"/>
    <s v="Female"/>
    <s v="Nigeria"/>
    <x v="1"/>
    <s v="High School"/>
    <s v="English Literature Student"/>
    <n v="0"/>
    <s v="Microsoft Copilot"/>
    <x v="5"/>
    <n v="9.5"/>
    <n v="25"/>
    <x v="18"/>
    <n v="3"/>
    <n v="9"/>
    <n v="15.2"/>
    <n v="5.7"/>
    <n v="17"/>
    <s v="Nigeria"/>
    <s v="English Literature Student"/>
    <n v="0"/>
    <x v="1"/>
    <n v="15.2"/>
  </r>
  <r>
    <s v="U0172"/>
    <n v="22"/>
    <s v="Female"/>
    <s v="Pakistan"/>
    <x v="1"/>
    <s v="Undergraduate"/>
    <s v="English Literature Student"/>
    <n v="0"/>
    <s v="Chat GPT"/>
    <x v="5"/>
    <n v="3.9"/>
    <n v="0"/>
    <x v="19"/>
    <n v="4"/>
    <n v="9"/>
    <n v="6.7"/>
    <n v="7.3"/>
    <n v="22"/>
    <s v="Pakistan"/>
    <s v="English Literature Student"/>
    <n v="0"/>
    <x v="0"/>
    <n v="6.7"/>
  </r>
  <r>
    <s v="U0091"/>
    <n v="21"/>
    <s v="Male"/>
    <s v="Canada"/>
    <x v="1"/>
    <s v="High School"/>
    <s v="English Literature Student"/>
    <n v="0"/>
    <s v="claude"/>
    <x v="5"/>
    <n v="2.9"/>
    <n v="10"/>
    <x v="13"/>
    <n v="2"/>
    <n v="4"/>
    <n v="6.6"/>
    <n v="6.4"/>
    <n v="21"/>
    <s v="Canada"/>
    <s v="English Literature Student"/>
    <n v="0"/>
    <x v="5"/>
    <n v="6.6"/>
  </r>
  <r>
    <s v="U0229"/>
    <n v="20"/>
    <s v="Female"/>
    <s v="India"/>
    <x v="1"/>
    <s v="Bachelor's"/>
    <s v="English Literature Student"/>
    <n v="0"/>
    <s v="Chat GPT"/>
    <x v="5"/>
    <n v="1.6"/>
    <n v="0"/>
    <x v="20"/>
    <n v="2"/>
    <n v="5"/>
    <n v="5.3"/>
    <n v="8.4"/>
    <n v="20"/>
    <s v="India"/>
    <s v="English Literature Student"/>
    <n v="0"/>
    <x v="0"/>
    <n v="5.3"/>
  </r>
  <r>
    <s v="U90074"/>
    <n v="23"/>
    <s v="Male"/>
    <s v="Canada"/>
    <x v="1"/>
    <s v="High School"/>
    <s v="English Literature Student"/>
    <n v="0"/>
    <s v="claude"/>
    <x v="5"/>
    <n v="2.9"/>
    <n v="10"/>
    <x v="13"/>
    <n v="2"/>
    <n v="4"/>
    <n v="6.6"/>
    <n v="6.4"/>
    <n v="23"/>
    <s v="Canada"/>
    <s v="English Literature Student"/>
    <n v="0"/>
    <x v="5"/>
    <n v="6.6"/>
  </r>
  <r>
    <s v="U90114"/>
    <n v="22"/>
    <s v="Female"/>
    <s v="Pakistan"/>
    <x v="1"/>
    <s v="Undergraduate"/>
    <s v="English Literature Student"/>
    <n v="0"/>
    <s v="Chat GPT"/>
    <x v="5"/>
    <n v="3.9"/>
    <n v="0"/>
    <x v="19"/>
    <n v="4"/>
    <n v="9"/>
    <n v="6.7"/>
    <n v="7.3"/>
    <n v="22"/>
    <s v="Pakistan"/>
    <s v="English Literature Student"/>
    <n v="0"/>
    <x v="0"/>
    <n v="6.7"/>
  </r>
  <r>
    <s v="U90160"/>
    <n v="18"/>
    <s v="Female"/>
    <s v="India"/>
    <x v="1"/>
    <s v="Bachelor's"/>
    <s v="English Literature Student"/>
    <n v="0"/>
    <s v="Chat GPT"/>
    <x v="5"/>
    <n v="1.6"/>
    <n v="0"/>
    <x v="20"/>
    <n v="2"/>
    <n v="5"/>
    <n v="5.3"/>
    <n v="8.4"/>
    <n v="18"/>
    <s v="India"/>
    <s v="English Literature Student"/>
    <n v="0"/>
    <x v="0"/>
    <n v="5.3"/>
  </r>
  <r>
    <s v="U90374"/>
    <n v="19"/>
    <s v="Male"/>
    <s v="Canada"/>
    <x v="1"/>
    <s v="High School"/>
    <s v="English Literature Student"/>
    <n v="0"/>
    <s v="claude"/>
    <x v="5"/>
    <n v="2.9"/>
    <n v="10"/>
    <x v="13"/>
    <n v="2"/>
    <n v="4"/>
    <n v="6.6"/>
    <n v="6.4"/>
    <n v="19"/>
    <s v="Canada"/>
    <s v="English Literature Student"/>
    <n v="0"/>
    <x v="5"/>
    <n v="6.6"/>
  </r>
  <r>
    <s v="U90410"/>
    <n v="23"/>
    <s v="Female"/>
    <s v="Pakistan"/>
    <x v="1"/>
    <s v="Undergraduate"/>
    <s v="English Literature Student"/>
    <n v="0"/>
    <s v="Chat GPT"/>
    <x v="5"/>
    <n v="3.9"/>
    <n v="0"/>
    <x v="19"/>
    <n v="4"/>
    <n v="9"/>
    <n v="6.7"/>
    <n v="7.3"/>
    <n v="23"/>
    <s v="Pakistan"/>
    <s v="English Literature Student"/>
    <n v="0"/>
    <x v="0"/>
    <n v="6.7"/>
  </r>
  <r>
    <s v="U90442"/>
    <n v="21"/>
    <s v="Female"/>
    <s v="India"/>
    <x v="1"/>
    <s v="Bachelor's"/>
    <s v="English Literature Student"/>
    <n v="0"/>
    <s v="Chat GPT"/>
    <x v="5"/>
    <n v="1.6"/>
    <n v="0"/>
    <x v="20"/>
    <n v="2"/>
    <n v="5"/>
    <n v="5.3"/>
    <n v="8.4"/>
    <n v="21"/>
    <s v="India"/>
    <s v="English Literature Student"/>
    <n v="0"/>
    <x v="0"/>
    <n v="5.3"/>
  </r>
  <r>
    <s v="U90467"/>
    <n v="19"/>
    <s v="Female"/>
    <s v="Nigeria"/>
    <x v="1"/>
    <s v="High School"/>
    <s v="English Literature Student"/>
    <n v="0"/>
    <s v="Microsoft Copilot"/>
    <x v="5"/>
    <n v="9.5"/>
    <n v="25"/>
    <x v="18"/>
    <n v="3"/>
    <n v="9"/>
    <n v="15.2"/>
    <n v="5.7"/>
    <n v="19"/>
    <s v="Nigeria"/>
    <s v="English Literature Student"/>
    <n v="0"/>
    <x v="1"/>
    <n v="15.2"/>
  </r>
  <r>
    <s v="U90564"/>
    <n v="22"/>
    <s v="Male"/>
    <s v="Canada"/>
    <x v="1"/>
    <s v="High School"/>
    <s v="English Literature Student"/>
    <n v="0"/>
    <s v="claude"/>
    <x v="5"/>
    <n v="2.9"/>
    <n v="10"/>
    <x v="13"/>
    <n v="2"/>
    <n v="4"/>
    <n v="6.6"/>
    <n v="6.4"/>
    <n v="22"/>
    <s v="Canada"/>
    <s v="English Literature Student"/>
    <n v="0"/>
    <x v="5"/>
    <n v="6.6"/>
  </r>
  <r>
    <s v="U90686"/>
    <n v="25"/>
    <s v="Male"/>
    <s v="Pakistan"/>
    <x v="1"/>
    <s v="Master's"/>
    <s v="English Literature Student"/>
    <n v="0"/>
    <s v="Chat GPT"/>
    <x v="5"/>
    <n v="1.7"/>
    <n v="20"/>
    <x v="17"/>
    <n v="2"/>
    <n v="3"/>
    <n v="2.7"/>
    <n v="5.4"/>
    <n v="25"/>
    <s v="Pakistan"/>
    <s v="English Literature Student"/>
    <n v="0"/>
    <x v="0"/>
    <n v="2.7"/>
  </r>
  <r>
    <s v="U0213"/>
    <n v="22"/>
    <s v="Female"/>
    <s v="UNKNOWN"/>
    <x v="1"/>
    <s v="Bachelor's"/>
    <s v="German Literature and Comparative Studies Student"/>
    <n v="0"/>
    <s v="Chat GPT"/>
    <x v="5"/>
    <n v="2.5"/>
    <n v="10"/>
    <x v="20"/>
    <n v="2"/>
    <n v="5"/>
    <n v="4.4000000000000004"/>
    <n v="7.8"/>
    <n v="22"/>
    <s v="Unknown"/>
    <s v="German Literature and Comparative Studies Student"/>
    <n v="0"/>
    <x v="0"/>
    <n v="4.4000000000000004"/>
  </r>
  <r>
    <s v="U90369"/>
    <n v="24"/>
    <s v="Female"/>
    <s v="UNKNOWN"/>
    <x v="1"/>
    <s v="Bachelor's"/>
    <s v="German Literature and Comparative Studies Student"/>
    <n v="0"/>
    <s v="Chat GPT"/>
    <x v="5"/>
    <n v="2.5"/>
    <n v="10"/>
    <x v="20"/>
    <n v="2"/>
    <n v="5"/>
    <n v="4.4000000000000004"/>
    <n v="7.8"/>
    <n v="24"/>
    <s v="Unknown"/>
    <s v="German Literature and Comparative Studies Student"/>
    <n v="0"/>
    <x v="0"/>
    <n v="4.4000000000000004"/>
  </r>
  <r>
    <s v="U90392"/>
    <n v="24"/>
    <s v="Female"/>
    <s v="UNKNOWN"/>
    <x v="1"/>
    <s v="Bachelor's"/>
    <s v="German Literature and Comparative Studies Student"/>
    <n v="0"/>
    <s v="Chat GPT"/>
    <x v="5"/>
    <n v="2.5"/>
    <n v="10"/>
    <x v="20"/>
    <n v="2"/>
    <n v="5"/>
    <n v="4.4000000000000004"/>
    <n v="7.8"/>
    <n v="24"/>
    <s v="Unknown"/>
    <s v="German Literature and Comparative Studies Student"/>
    <n v="0"/>
    <x v="0"/>
    <n v="4.4000000000000004"/>
  </r>
  <r>
    <s v="U0102"/>
    <n v="18"/>
    <s v="Male"/>
    <s v="Philippines"/>
    <x v="1"/>
    <s v="Undergraduate"/>
    <s v="Information Technology Student"/>
    <n v="0"/>
    <s v=" Google Gemini"/>
    <x v="1"/>
    <n v="1.6"/>
    <n v="0"/>
    <x v="21"/>
    <n v="4"/>
    <n v="5"/>
    <n v="4.3"/>
    <n v="3.2"/>
    <n v="18"/>
    <s v="Philippines"/>
    <s v="Information Technology Student"/>
    <n v="0"/>
    <x v="2"/>
    <n v="4.3"/>
  </r>
  <r>
    <s v="U0034"/>
    <n v="18"/>
    <s v="Male"/>
    <s v="Philippines"/>
    <x v="1"/>
    <s v="Undergraduate"/>
    <s v="Information Technology Student"/>
    <n v="0"/>
    <s v="Grammarly"/>
    <x v="1"/>
    <n v="0.9"/>
    <n v="0"/>
    <x v="6"/>
    <n v="4"/>
    <n v="6"/>
    <n v="2.5"/>
    <n v="6.1"/>
    <n v="18"/>
    <s v="Philippines"/>
    <s v="Information Technology Student"/>
    <n v="0"/>
    <x v="3"/>
    <n v="2.5"/>
  </r>
  <r>
    <s v="U90338"/>
    <n v="16"/>
    <s v="Male"/>
    <s v="Philippines"/>
    <x v="1"/>
    <s v="Undergraduate"/>
    <s v="Information Technology Student"/>
    <n v="0"/>
    <s v="Grammarly"/>
    <x v="1"/>
    <n v="0.9"/>
    <n v="0"/>
    <x v="6"/>
    <n v="4"/>
    <n v="6"/>
    <n v="2.5"/>
    <n v="6.1"/>
    <n v="16"/>
    <s v="Philippines"/>
    <s v="Information Technology Student"/>
    <n v="0"/>
    <x v="3"/>
    <n v="2.5"/>
  </r>
  <r>
    <s v="U90441"/>
    <n v="17"/>
    <s v="Male"/>
    <s v="Philippines"/>
    <x v="1"/>
    <s v="Undergraduate"/>
    <s v="Information Technology Student"/>
    <n v="0"/>
    <s v="Grammarly"/>
    <x v="1"/>
    <n v="0.9"/>
    <n v="0"/>
    <x v="6"/>
    <n v="4"/>
    <n v="6"/>
    <n v="2.5"/>
    <n v="6.1"/>
    <n v="17"/>
    <s v="Philippines"/>
    <s v="Information Technology Student"/>
    <n v="0"/>
    <x v="3"/>
    <n v="2.5"/>
  </r>
  <r>
    <s v="U90464"/>
    <n v="16"/>
    <s v="Male"/>
    <s v="Philippines"/>
    <x v="1"/>
    <s v="Undergraduate"/>
    <s v="Information Technology Student"/>
    <n v="0"/>
    <s v="Grammarly"/>
    <x v="1"/>
    <n v="0.9"/>
    <n v="0"/>
    <x v="6"/>
    <n v="4"/>
    <n v="6"/>
    <n v="2.5"/>
    <n v="6.1"/>
    <n v="16"/>
    <s v="Philippines"/>
    <s v="Information Technology Student"/>
    <n v="0"/>
    <x v="3"/>
    <n v="2.5"/>
  </r>
  <r>
    <s v="U90557"/>
    <n v="20"/>
    <s v="Male"/>
    <s v="Philippines"/>
    <x v="1"/>
    <s v="Undergraduate"/>
    <s v="Information Technology Student"/>
    <n v="0"/>
    <s v="Grammarly"/>
    <x v="1"/>
    <n v="0.9"/>
    <n v="0"/>
    <x v="6"/>
    <n v="4"/>
    <n v="6"/>
    <n v="2.5"/>
    <n v="6.1"/>
    <n v="20"/>
    <s v="Philippines"/>
    <s v="Information Technology Student"/>
    <n v="0"/>
    <x v="3"/>
    <n v="2.5"/>
  </r>
  <r>
    <s v="U90618"/>
    <n v="20"/>
    <s v="Male"/>
    <s v="Philippines"/>
    <x v="1"/>
    <s v="Undergraduate"/>
    <s v="Information Technology Student"/>
    <n v="0"/>
    <s v=" Google Gemini"/>
    <x v="1"/>
    <n v="1.6"/>
    <n v="0"/>
    <x v="21"/>
    <n v="4"/>
    <n v="5"/>
    <n v="4.3"/>
    <n v="3.2"/>
    <n v="20"/>
    <s v="Philippines"/>
    <s v="Information Technology Student"/>
    <n v="0"/>
    <x v="2"/>
    <n v="4.3"/>
  </r>
  <r>
    <s v="U90688"/>
    <n v="18"/>
    <s v="Male"/>
    <s v="Philippines"/>
    <x v="1"/>
    <s v="Undergraduate"/>
    <s v="Information Technology Student"/>
    <n v="0"/>
    <s v=" Google Gemini"/>
    <x v="1"/>
    <n v="1.6"/>
    <n v="0"/>
    <x v="21"/>
    <n v="4"/>
    <n v="5"/>
    <n v="4.3"/>
    <n v="3.2"/>
    <n v="18"/>
    <s v="Philippines"/>
    <s v="Information Technology Student"/>
    <n v="0"/>
    <x v="2"/>
    <n v="4.3"/>
  </r>
  <r>
    <s v="U0089"/>
    <n v="20"/>
    <s v="Male"/>
    <s v="United States of America"/>
    <x v="1"/>
    <s v="Master's"/>
    <s v="Machine Learning Student"/>
    <n v="0"/>
    <s v="Chat GPT"/>
    <x v="0"/>
    <n v="1.4"/>
    <n v="0"/>
    <x v="22"/>
    <n v="3"/>
    <n v="5"/>
    <n v="1.2"/>
    <n v="5.6"/>
    <n v="20"/>
    <s v="United States Of America"/>
    <s v="Machine Learning Student"/>
    <n v="0"/>
    <x v="0"/>
    <n v="1.2"/>
  </r>
  <r>
    <s v="U90222"/>
    <n v="18"/>
    <s v="Male"/>
    <s v="United States of America"/>
    <x v="1"/>
    <s v="Master's"/>
    <s v="Machine Learning Student"/>
    <n v="0"/>
    <s v="Chat GPT"/>
    <x v="0"/>
    <n v="1.4"/>
    <n v="0"/>
    <x v="22"/>
    <n v="3"/>
    <n v="5"/>
    <n v="1.2"/>
    <n v="5.6"/>
    <n v="18"/>
    <s v="United States Of America"/>
    <s v="Machine Learning Student"/>
    <n v="0"/>
    <x v="0"/>
    <n v="1.2"/>
  </r>
  <r>
    <s v="U90490"/>
    <n v="22"/>
    <s v="Male"/>
    <s v="United States of America"/>
    <x v="1"/>
    <s v="Master's"/>
    <s v="Machine Learning Student"/>
    <n v="0"/>
    <s v="Chat GPT"/>
    <x v="0"/>
    <n v="1.4"/>
    <n v="0"/>
    <x v="22"/>
    <n v="3"/>
    <n v="5"/>
    <n v="1.2"/>
    <n v="5.6"/>
    <n v="22"/>
    <s v="United States Of America"/>
    <s v="Machine Learning Student"/>
    <n v="0"/>
    <x v="0"/>
    <n v="1.2"/>
  </r>
  <r>
    <s v="U90550"/>
    <n v="21"/>
    <s v="Male"/>
    <s v="United States of America"/>
    <x v="1"/>
    <s v="Master's"/>
    <s v="Machine Learning Student"/>
    <n v="0"/>
    <s v="Chat GPT"/>
    <x v="0"/>
    <n v="1.4"/>
    <n v="0"/>
    <x v="22"/>
    <n v="3"/>
    <n v="5"/>
    <n v="1.2"/>
    <n v="5.6"/>
    <n v="21"/>
    <s v="United States Of America"/>
    <s v="Machine Learning Student"/>
    <n v="0"/>
    <x v="0"/>
    <n v="1.2"/>
  </r>
  <r>
    <s v="U0029"/>
    <n v="19"/>
    <s v="Male"/>
    <s v="France"/>
    <x v="1"/>
    <s v="Undergraduate"/>
    <s v="Mathematics Student"/>
    <n v="0"/>
    <s v="claude"/>
    <x v="1"/>
    <n v="2"/>
    <n v="0"/>
    <x v="10"/>
    <n v="4"/>
    <n v="6"/>
    <n v="3"/>
    <n v="6.3"/>
    <n v="19"/>
    <s v="France"/>
    <s v="Mathematics Student"/>
    <n v="0"/>
    <x v="5"/>
    <n v="3"/>
  </r>
  <r>
    <s v="U90028"/>
    <n v="19"/>
    <s v="Male"/>
    <s v="France"/>
    <x v="1"/>
    <s v="Undergraduate"/>
    <s v="Mathematics Student"/>
    <n v="0"/>
    <s v="claude"/>
    <x v="1"/>
    <n v="2"/>
    <n v="0"/>
    <x v="10"/>
    <n v="4"/>
    <n v="6"/>
    <n v="3"/>
    <n v="6.3"/>
    <n v="19"/>
    <s v="France"/>
    <s v="Mathematics Student"/>
    <n v="0"/>
    <x v="5"/>
    <n v="3"/>
  </r>
  <r>
    <s v="U90693"/>
    <n v="21"/>
    <s v="Male"/>
    <s v="France"/>
    <x v="1"/>
    <s v="Undergraduate"/>
    <s v="Mathematics Student"/>
    <n v="0"/>
    <s v="claude"/>
    <x v="1"/>
    <n v="2"/>
    <n v="0"/>
    <x v="10"/>
    <n v="4"/>
    <n v="6"/>
    <n v="3"/>
    <n v="6.3"/>
    <n v="21"/>
    <s v="France"/>
    <s v="Mathematics Student"/>
    <n v="0"/>
    <x v="5"/>
    <n v="3"/>
  </r>
  <r>
    <s v="U0287"/>
    <n v="22"/>
    <s v="Male"/>
    <s v="India"/>
    <x v="1"/>
    <s v="Undergradate"/>
    <s v="Mechanical Engineering Student"/>
    <n v="0"/>
    <s v="Meta AI"/>
    <x v="1"/>
    <n v="2.4"/>
    <n v="20"/>
    <x v="16"/>
    <n v="4"/>
    <n v="6"/>
    <n v="4.8"/>
    <n v="6.2"/>
    <n v="22"/>
    <s v="India"/>
    <s v="Mechanical Engineering Student"/>
    <n v="0"/>
    <x v="6"/>
    <n v="4.8"/>
  </r>
  <r>
    <s v="U90247"/>
    <n v="22"/>
    <s v="Male"/>
    <s v="India"/>
    <x v="1"/>
    <s v="Undergradate"/>
    <s v="Mechanical Engineering Student"/>
    <n v="0"/>
    <s v="Meta AI"/>
    <x v="1"/>
    <n v="2.4"/>
    <n v="20"/>
    <x v="16"/>
    <n v="4"/>
    <n v="6"/>
    <n v="4.8"/>
    <n v="6.2"/>
    <n v="22"/>
    <s v="India"/>
    <s v="Mechanical Engineering Student"/>
    <n v="0"/>
    <x v="6"/>
    <n v="4.8"/>
  </r>
  <r>
    <s v="U90521"/>
    <n v="23"/>
    <s v="Male"/>
    <s v="India"/>
    <x v="1"/>
    <s v="Undergradate"/>
    <s v="Mechanical Engineering Student"/>
    <n v="0"/>
    <s v="Meta AI"/>
    <x v="1"/>
    <n v="2.4"/>
    <n v="20"/>
    <x v="16"/>
    <n v="4"/>
    <n v="6"/>
    <n v="4.8"/>
    <n v="6.2"/>
    <n v="23"/>
    <s v="India"/>
    <s v="Mechanical Engineering Student"/>
    <n v="0"/>
    <x v="6"/>
    <n v="4.8"/>
  </r>
  <r>
    <s v="U90576"/>
    <n v="21"/>
    <s v="Male"/>
    <s v="India"/>
    <x v="1"/>
    <s v="Undergradate"/>
    <s v="Mechanical Engineering Student"/>
    <n v="0"/>
    <s v="Meta AI"/>
    <x v="1"/>
    <n v="2.4"/>
    <n v="20"/>
    <x v="16"/>
    <n v="4"/>
    <n v="6"/>
    <n v="4.8"/>
    <n v="6.2"/>
    <n v="21"/>
    <s v="India"/>
    <s v="Mechanical Engineering Student"/>
    <n v="0"/>
    <x v="6"/>
    <n v="4.8"/>
  </r>
  <r>
    <s v="U0251"/>
    <n v="24"/>
    <s v="Male"/>
    <s v="U.K."/>
    <x v="1"/>
    <s v="Bachelor's"/>
    <s v="Molecular Biology Student"/>
    <n v="0"/>
    <s v="Microsoft Copilot"/>
    <x v="2"/>
    <n v="1.3"/>
    <n v="0"/>
    <x v="20"/>
    <n v="4"/>
    <n v="7"/>
    <n v="2.7"/>
    <n v="4.8"/>
    <n v="24"/>
    <s v="U.K."/>
    <s v="Molecular Biology Student"/>
    <n v="0"/>
    <x v="1"/>
    <n v="2.7"/>
  </r>
  <r>
    <s v="U0140"/>
    <n v="19"/>
    <s v="Female"/>
    <s v="United States"/>
    <x v="1"/>
    <s v="Undergraduate"/>
    <s v="Molecular Biology Student"/>
    <n v="0"/>
    <s v="Microsoft Copilot"/>
    <x v="2"/>
    <n v="2.8"/>
    <n v="20"/>
    <x v="23"/>
    <n v="3"/>
    <n v="6"/>
    <n v="6.9"/>
    <n v="6.5"/>
    <n v="19"/>
    <s v="United States"/>
    <s v="Molecular Biology Student"/>
    <n v="0"/>
    <x v="1"/>
    <n v="6.9"/>
  </r>
  <r>
    <s v="U90197"/>
    <n v="25"/>
    <s v="Male"/>
    <s v="U.K."/>
    <x v="1"/>
    <s v="Bachelor's"/>
    <s v="Molecular Biology Student"/>
    <n v="0"/>
    <s v="Microsoft Copilot"/>
    <x v="2"/>
    <n v="1.3"/>
    <n v="0"/>
    <x v="20"/>
    <n v="4"/>
    <n v="7"/>
    <n v="2.7"/>
    <n v="4.8"/>
    <n v="25"/>
    <s v="U.K."/>
    <s v="Molecular Biology Student"/>
    <n v="0"/>
    <x v="1"/>
    <n v="2.7"/>
  </r>
  <r>
    <s v="U90478"/>
    <n v="19"/>
    <s v="Female"/>
    <s v="United States"/>
    <x v="1"/>
    <s v="Undergraduate"/>
    <s v="Molecular Biology Student"/>
    <n v="0"/>
    <s v="Microsoft Copilot"/>
    <x v="2"/>
    <n v="2.8"/>
    <n v="20"/>
    <x v="23"/>
    <n v="3"/>
    <n v="6"/>
    <n v="6.9"/>
    <n v="6.5"/>
    <n v="19"/>
    <s v="United States"/>
    <s v="Molecular Biology Student"/>
    <n v="0"/>
    <x v="1"/>
    <n v="6.9"/>
  </r>
  <r>
    <s v="U90535"/>
    <n v="19"/>
    <s v="Female"/>
    <s v="United States"/>
    <x v="1"/>
    <s v="Undergraduate"/>
    <s v="Molecular Biology Student"/>
    <n v="0"/>
    <s v="Microsoft Copilot"/>
    <x v="2"/>
    <n v="2.8"/>
    <n v="20"/>
    <x v="23"/>
    <n v="3"/>
    <n v="6"/>
    <n v="6.9"/>
    <n v="6.5"/>
    <n v="19"/>
    <s v="United States"/>
    <s v="Molecular Biology Student"/>
    <n v="0"/>
    <x v="1"/>
    <n v="6.9"/>
  </r>
  <r>
    <s v="U0094"/>
    <n v="43"/>
    <s v="Male"/>
    <s v="Nigeria"/>
    <x v="0"/>
    <s v="Diploma"/>
    <s v="Multimedia Content Producer"/>
    <n v="0"/>
    <s v="Chat GPT"/>
    <x v="4"/>
    <n v="1.2"/>
    <n v="0"/>
    <x v="24"/>
    <n v="3"/>
    <n v="7"/>
    <n v="1"/>
    <n v="10.9"/>
    <n v="43"/>
    <s v="Nigeria"/>
    <s v="Multimedia Content Producer"/>
    <n v="0"/>
    <x v="0"/>
    <n v="1"/>
  </r>
  <r>
    <s v="U90039"/>
    <n v="42"/>
    <s v="Male"/>
    <s v="Nigeria"/>
    <x v="0"/>
    <s v="Diploma"/>
    <s v="Multimedia Content Producer"/>
    <n v="0"/>
    <s v="Chat GPT"/>
    <x v="4"/>
    <n v="1.2"/>
    <n v="0"/>
    <x v="24"/>
    <n v="3"/>
    <n v="7"/>
    <n v="1"/>
    <n v="10.9"/>
    <n v="42"/>
    <s v="Nigeria"/>
    <s v="Multimedia Content Producer"/>
    <n v="0"/>
    <x v="0"/>
    <n v="1"/>
  </r>
  <r>
    <s v="U90199"/>
    <n v="41"/>
    <s v="Male"/>
    <s v="Nigeria"/>
    <x v="0"/>
    <s v="Diploma"/>
    <s v="Multimedia Content Producer"/>
    <n v="0"/>
    <s v="Chat GPT"/>
    <x v="4"/>
    <n v="1.2"/>
    <n v="0"/>
    <x v="24"/>
    <n v="3"/>
    <n v="7"/>
    <n v="1"/>
    <n v="10.9"/>
    <n v="41"/>
    <s v="Nigeria"/>
    <s v="Multimedia Content Producer"/>
    <n v="0"/>
    <x v="0"/>
    <n v="1"/>
  </r>
  <r>
    <s v="U0137"/>
    <n v="23"/>
    <s v="Male"/>
    <s v="UNKNOWN"/>
    <x v="1"/>
    <s v="Master's"/>
    <s v="Software Engineering Student"/>
    <n v="0"/>
    <s v="Microsoft Copilot"/>
    <x v="0"/>
    <n v="1"/>
    <n v="20"/>
    <x v="21"/>
    <n v="3"/>
    <n v="5"/>
    <n v="2.6"/>
    <n v="6.2"/>
    <n v="23"/>
    <s v="Unknown"/>
    <s v="Software Engineering Student"/>
    <n v="0"/>
    <x v="1"/>
    <n v="2.6"/>
  </r>
  <r>
    <s v="U0261"/>
    <n v="27"/>
    <s v="Female"/>
    <s v="Canada"/>
    <x v="1"/>
    <s v="Undergraduate"/>
    <s v="Software Engineering Student"/>
    <n v="0"/>
    <s v="Microsoft Copilot"/>
    <x v="0"/>
    <n v="4.9000000000000004"/>
    <n v="20"/>
    <x v="25"/>
    <n v="4"/>
    <n v="7"/>
    <n v="9"/>
    <n v="6"/>
    <n v="27"/>
    <s v="Canada"/>
    <s v="Software Engineering Student"/>
    <n v="0"/>
    <x v="1"/>
    <n v="9"/>
  </r>
  <r>
    <s v="U0009"/>
    <n v="22"/>
    <s v="Female"/>
    <s v="Kenya"/>
    <x v="1"/>
    <s v="Bachelor's"/>
    <s v="Software Engineering Student"/>
    <n v="0"/>
    <s v=" Google Gemini"/>
    <x v="0"/>
    <n v="3.3"/>
    <n v="0"/>
    <x v="26"/>
    <n v="2"/>
    <n v="6"/>
    <n v="6.4"/>
    <n v="5.5"/>
    <n v="22"/>
    <s v="Kenya"/>
    <s v="Software Engineering Student"/>
    <n v="0"/>
    <x v="2"/>
    <n v="6.4"/>
  </r>
  <r>
    <s v="U90020"/>
    <n v="29"/>
    <s v="Female"/>
    <s v="Canada"/>
    <x v="1"/>
    <s v="Undergraduate"/>
    <s v="Software Engineering Student"/>
    <n v="0"/>
    <s v="Microsoft Copilot"/>
    <x v="0"/>
    <n v="4.9000000000000004"/>
    <n v="20"/>
    <x v="25"/>
    <n v="4"/>
    <n v="7"/>
    <n v="9"/>
    <n v="6"/>
    <n v="29"/>
    <s v="Canada"/>
    <s v="Software Engineering Student"/>
    <n v="0"/>
    <x v="1"/>
    <n v="9"/>
  </r>
  <r>
    <s v="U90231"/>
    <n v="20"/>
    <s v="Female"/>
    <s v="Kenya"/>
    <x v="1"/>
    <s v="Bachelor's"/>
    <s v="Software Engineering Student"/>
    <n v="0"/>
    <s v=" Google Gemini"/>
    <x v="0"/>
    <n v="3.3"/>
    <n v="0"/>
    <x v="26"/>
    <n v="2"/>
    <n v="6"/>
    <n v="6.4"/>
    <n v="5.5"/>
    <n v="20"/>
    <s v="Kenya"/>
    <s v="Software Engineering Student"/>
    <n v="0"/>
    <x v="2"/>
    <n v="6.4"/>
  </r>
  <r>
    <s v="U90246"/>
    <n v="28"/>
    <s v="Female"/>
    <s v="Canada"/>
    <x v="1"/>
    <s v="Undergraduate"/>
    <s v="Software Engineering Student"/>
    <n v="0"/>
    <s v="Microsoft Copilot"/>
    <x v="0"/>
    <n v="4.9000000000000004"/>
    <n v="20"/>
    <x v="25"/>
    <n v="4"/>
    <n v="7"/>
    <n v="9"/>
    <n v="6"/>
    <n v="28"/>
    <s v="Canada"/>
    <s v="Software Engineering Student"/>
    <n v="0"/>
    <x v="1"/>
    <n v="9"/>
  </r>
  <r>
    <s v="U90269"/>
    <n v="22"/>
    <s v="Female"/>
    <s v="Kenya"/>
    <x v="1"/>
    <s v="Bachelor's"/>
    <s v="Software Engineering Student"/>
    <n v="0"/>
    <s v=" Google Gemini"/>
    <x v="0"/>
    <n v="3.3"/>
    <n v="0"/>
    <x v="26"/>
    <n v="2"/>
    <n v="6"/>
    <n v="6.4"/>
    <n v="5.5"/>
    <n v="22"/>
    <s v="Kenya"/>
    <s v="Software Engineering Student"/>
    <n v="0"/>
    <x v="2"/>
    <n v="6.4"/>
  </r>
  <r>
    <s v="U90422"/>
    <n v="26"/>
    <s v="Female"/>
    <s v="Canada"/>
    <x v="1"/>
    <s v="Undergraduate"/>
    <s v="Software Engineering Student"/>
    <n v="0"/>
    <s v="Microsoft Copilot"/>
    <x v="0"/>
    <n v="4.9000000000000004"/>
    <n v="20"/>
    <x v="25"/>
    <n v="4"/>
    <n v="7"/>
    <n v="9"/>
    <n v="6"/>
    <n v="26"/>
    <s v="Canada"/>
    <s v="Software Engineering Student"/>
    <n v="0"/>
    <x v="1"/>
    <n v="9"/>
  </r>
  <r>
    <s v="U90463"/>
    <n v="22"/>
    <s v="Male"/>
    <s v="UNKNOWN"/>
    <x v="1"/>
    <s v="Master's"/>
    <s v="Software Engineering Student"/>
    <n v="0"/>
    <s v="Microsoft Copilot"/>
    <x v="0"/>
    <n v="1"/>
    <n v="20"/>
    <x v="21"/>
    <n v="3"/>
    <n v="5"/>
    <n v="2.6"/>
    <n v="6.2"/>
    <n v="22"/>
    <s v="Unknown"/>
    <s v="Software Engineering Student"/>
    <n v="0"/>
    <x v="1"/>
    <n v="2.6"/>
  </r>
  <r>
    <s v="U90511"/>
    <n v="20"/>
    <s v="Female"/>
    <s v="Kenya"/>
    <x v="1"/>
    <s v="Bachelor's"/>
    <s v="Software Engineering Student"/>
    <n v="0"/>
    <s v=" Google Gemini"/>
    <x v="0"/>
    <n v="3.3"/>
    <n v="0"/>
    <x v="26"/>
    <n v="2"/>
    <n v="6"/>
    <n v="6.4"/>
    <n v="5.5"/>
    <n v="20"/>
    <s v="Kenya"/>
    <s v="Software Engineering Student"/>
    <n v="0"/>
    <x v="2"/>
    <n v="6.4"/>
  </r>
  <r>
    <s v="U0275"/>
    <m/>
    <s v="Male"/>
    <s v="India"/>
    <x v="1"/>
    <s v="High School"/>
    <s v="Statistics Student"/>
    <n v="0"/>
    <s v=" Google Gemini"/>
    <x v="6"/>
    <n v="2"/>
    <n v="0"/>
    <x v="27"/>
    <n v="5"/>
    <n v="5"/>
    <n v="3.6"/>
    <n v="4.4000000000000004"/>
    <n v="30.023333333333333"/>
    <s v="India"/>
    <s v="Statistics Student"/>
    <n v="0"/>
    <x v="2"/>
    <n v="3.6"/>
  </r>
  <r>
    <s v="U90536"/>
    <m/>
    <s v="Male"/>
    <s v="India"/>
    <x v="1"/>
    <s v="High School"/>
    <s v="Statistics Student"/>
    <n v="0"/>
    <s v=" Google Gemini"/>
    <x v="6"/>
    <n v="2"/>
    <n v="0"/>
    <x v="27"/>
    <n v="5"/>
    <n v="5"/>
    <n v="3.6"/>
    <n v="4.4000000000000004"/>
    <n v="30.023333333333333"/>
    <s v="India"/>
    <s v="Statistics Student"/>
    <n v="0"/>
    <x v="2"/>
    <n v="3.6"/>
  </r>
  <r>
    <s v="U90408"/>
    <m/>
    <s v="Female"/>
    <s v="United States"/>
    <x v="0"/>
    <s v="Bachelor's"/>
    <s v="UNKNOWN"/>
    <n v="0"/>
    <s v="Unknown"/>
    <x v="5"/>
    <n v="3.1"/>
    <n v="30"/>
    <x v="28"/>
    <n v="3"/>
    <n v="7"/>
    <n v="5.2"/>
    <n v="8.4"/>
    <n v="30.023333333333333"/>
    <s v="United States"/>
    <s v="UNKNOWN"/>
    <n v="0"/>
    <x v="7"/>
    <n v="5.2"/>
  </r>
  <r>
    <s v="U90515"/>
    <m/>
    <s v="Female"/>
    <s v="United States"/>
    <x v="0"/>
    <s v="Bachelor's"/>
    <s v="UNKNOWN"/>
    <n v="0"/>
    <s v="Unknown"/>
    <x v="5"/>
    <n v="3.1"/>
    <n v="30"/>
    <x v="28"/>
    <n v="3"/>
    <n v="7"/>
    <n v="5.2"/>
    <n v="8.4"/>
    <n v="30.023333333333333"/>
    <s v="United States"/>
    <s v="UNKNOWN"/>
    <n v="0"/>
    <x v="7"/>
    <n v="5.2"/>
  </r>
  <r>
    <s v="U90041"/>
    <n v="22"/>
    <s v="Female"/>
    <s v="India"/>
    <x v="1"/>
    <s v="Graduate"/>
    <s v="Computer Science Student"/>
    <n v="46"/>
    <s v="Grammarly"/>
    <x v="0"/>
    <n v="9.8000000000000007"/>
    <n v="0"/>
    <x v="29"/>
    <n v="4"/>
    <n v="9"/>
    <n v="15.8"/>
    <n v="5.2"/>
    <n v="22"/>
    <s v="India"/>
    <s v="Computer Science Student"/>
    <n v="46"/>
    <x v="3"/>
    <n v="15.8"/>
  </r>
  <r>
    <s v="U90019"/>
    <n v="26"/>
    <s v="Male"/>
    <s v="Pakistan"/>
    <x v="1"/>
    <s v="Graduate"/>
    <s v="Mechanical Engineering Student"/>
    <n v="46"/>
    <s v="Chat GPT"/>
    <x v="2"/>
    <n v="2.7"/>
    <n v="20"/>
    <x v="7"/>
    <n v="3"/>
    <n v="5"/>
    <n v="5"/>
    <n v="6.9"/>
    <n v="26"/>
    <s v="Pakistan"/>
    <s v="Mechanical Engineering Student"/>
    <n v="46"/>
    <x v="0"/>
    <n v="5"/>
  </r>
  <r>
    <s v="U90486"/>
    <n v="19"/>
    <s v="Male"/>
    <s v="Canada"/>
    <x v="1"/>
    <s v="Graduate"/>
    <s v="Business Administration Student"/>
    <n v="48"/>
    <s v=" Google Gemini"/>
    <x v="1"/>
    <n v="1.7"/>
    <n v="30"/>
    <x v="6"/>
    <n v="3"/>
    <n v="5"/>
    <n v="1.9"/>
    <n v="4.3"/>
    <n v="19"/>
    <s v="Canada"/>
    <s v="Business Administration Student"/>
    <n v="48"/>
    <x v="2"/>
    <n v="1.9"/>
  </r>
  <r>
    <s v="U90046"/>
    <n v="19"/>
    <s v="Male"/>
    <s v="Canada"/>
    <x v="1"/>
    <s v="Graduate"/>
    <s v="Business Administration Student"/>
    <n v="50"/>
    <s v=" Google Gemini"/>
    <x v="1"/>
    <n v="1.7"/>
    <n v="30"/>
    <x v="6"/>
    <n v="3"/>
    <n v="5"/>
    <n v="1.9"/>
    <n v="4.3"/>
    <n v="19"/>
    <s v="Canada"/>
    <s v="Business Administration Student"/>
    <n v="50"/>
    <x v="2"/>
    <n v="1.9"/>
  </r>
  <r>
    <s v="U0072"/>
    <n v="23"/>
    <s v="Female"/>
    <s v="India"/>
    <x v="1"/>
    <s v="Graduate"/>
    <s v="Computer Science Student"/>
    <n v="50"/>
    <s v="Grammarly"/>
    <x v="0"/>
    <n v="9.8000000000000007"/>
    <n v="0"/>
    <x v="29"/>
    <n v="4"/>
    <n v="9"/>
    <n v="15.8"/>
    <n v="5.2"/>
    <n v="23"/>
    <s v="India"/>
    <s v="Computer Science Student"/>
    <n v="50"/>
    <x v="3"/>
    <n v="15.8"/>
  </r>
  <r>
    <s v="U90307"/>
    <n v="21"/>
    <s v="Female"/>
    <s v="India"/>
    <x v="1"/>
    <s v="Graduate"/>
    <s v="Computer Science Student"/>
    <n v="52"/>
    <s v="Grammarly"/>
    <x v="0"/>
    <n v="9.8000000000000007"/>
    <n v="0"/>
    <x v="29"/>
    <n v="4"/>
    <n v="9"/>
    <n v="15.8"/>
    <n v="5.2"/>
    <n v="21"/>
    <s v="India"/>
    <s v="Computer Science Student"/>
    <n v="52"/>
    <x v="3"/>
    <n v="15.8"/>
  </r>
  <r>
    <s v="U90690"/>
    <n v="20"/>
    <s v="Male"/>
    <s v="Pakistan"/>
    <x v="1"/>
    <s v="Undergraduate"/>
    <s v="English Literature Student"/>
    <n v="54"/>
    <s v="Chat GPT"/>
    <x v="5"/>
    <n v="6.3"/>
    <n v="0"/>
    <x v="30"/>
    <n v="3"/>
    <n v="8"/>
    <n v="10"/>
    <n v="7.3"/>
    <n v="20"/>
    <s v="Pakistan"/>
    <s v="English Literature Student"/>
    <n v="54"/>
    <x v="0"/>
    <n v="10"/>
  </r>
  <r>
    <s v="U0104"/>
    <n v="26"/>
    <s v="Male"/>
    <s v="Pakistan"/>
    <x v="1"/>
    <s v="Undergraduate"/>
    <s v="Mechanical Engineering Student"/>
    <n v="54"/>
    <s v="Chat GPT"/>
    <x v="2"/>
    <n v="2.7"/>
    <n v="20"/>
    <x v="7"/>
    <n v="3"/>
    <n v="5"/>
    <n v="5"/>
    <n v="6.9"/>
    <n v="26"/>
    <s v="Pakistan"/>
    <s v="Mechanical Engineering Student"/>
    <n v="54"/>
    <x v="0"/>
    <n v="5"/>
  </r>
  <r>
    <s v="U90373"/>
    <n v="26"/>
    <s v="Female"/>
    <s v="India"/>
    <x v="1"/>
    <s v="PhD"/>
    <s v="Biotechnology PhD Student"/>
    <n v="55"/>
    <s v="Grammarly"/>
    <x v="1"/>
    <n v="3.4"/>
    <n v="50"/>
    <x v="6"/>
    <n v="4"/>
    <n v="8"/>
    <n v="7.2"/>
    <n v="8"/>
    <n v="26"/>
    <s v="India"/>
    <s v="Biotechnology PhD Student"/>
    <n v="55"/>
    <x v="3"/>
    <n v="7.2"/>
  </r>
  <r>
    <s v="U0015"/>
    <n v="18"/>
    <s v="Male"/>
    <s v="Canada"/>
    <x v="1"/>
    <s v="Graduate"/>
    <s v="Business Administration Student"/>
    <n v="56"/>
    <s v=" Google Gemini"/>
    <x v="1"/>
    <n v="1.7"/>
    <n v="30"/>
    <x v="6"/>
    <n v="3"/>
    <n v="5"/>
    <n v="1.9"/>
    <n v="4.3"/>
    <n v="18"/>
    <s v="Canada"/>
    <s v="Business Administration Student"/>
    <n v="56"/>
    <x v="2"/>
    <n v="1.9"/>
  </r>
  <r>
    <s v="U90275"/>
    <n v="18"/>
    <s v="Male"/>
    <s v="Canada"/>
    <x v="1"/>
    <s v="Graduate"/>
    <s v="Business Administration Student"/>
    <n v="56"/>
    <s v=" Google Gemini"/>
    <x v="1"/>
    <n v="1.7"/>
    <n v="30"/>
    <x v="6"/>
    <n v="3"/>
    <n v="5"/>
    <n v="1.9"/>
    <n v="4.3"/>
    <n v="18"/>
    <s v="Canada"/>
    <s v="Business Administration Student"/>
    <n v="56"/>
    <x v="2"/>
    <n v="1.9"/>
  </r>
  <r>
    <s v="U90375"/>
    <n v="19"/>
    <s v="Male"/>
    <s v="UNKNOWN"/>
    <x v="1"/>
    <s v="High School"/>
    <s v="English Literature Student"/>
    <n v="56"/>
    <s v="Chat GPT"/>
    <x v="5"/>
    <n v="3"/>
    <n v="25"/>
    <x v="2"/>
    <n v="4"/>
    <n v="7"/>
    <n v="4.9000000000000004"/>
    <n v="8.4"/>
    <n v="19"/>
    <s v="Unknown"/>
    <s v="English Literature Student"/>
    <n v="56"/>
    <x v="0"/>
    <n v="4.9000000000000004"/>
  </r>
  <r>
    <s v="U90406"/>
    <n v="26"/>
    <s v="Male"/>
    <s v="Pakistan"/>
    <x v="1"/>
    <s v="Graduate"/>
    <s v="Mechanical Engineering Student"/>
    <n v="56"/>
    <s v="Chat GPT"/>
    <x v="2"/>
    <n v="2.7"/>
    <n v="20"/>
    <x v="7"/>
    <n v="3"/>
    <n v="5"/>
    <n v="5"/>
    <n v="6.9"/>
    <n v="26"/>
    <s v="Pakistan"/>
    <s v="Mechanical Engineering Student"/>
    <n v="56"/>
    <x v="0"/>
    <n v="5"/>
  </r>
  <r>
    <s v="U90349"/>
    <n v="16"/>
    <s v="Female"/>
    <s v="UNKNOWN"/>
    <x v="1"/>
    <s v="Undergraduate"/>
    <s v="UNKNOWN"/>
    <n v="56"/>
    <s v="Perplexity AI"/>
    <x v="2"/>
    <n v="1.9"/>
    <n v="0"/>
    <x v="31"/>
    <n v="3"/>
    <n v="5"/>
    <n v="3"/>
    <n v="5.4"/>
    <n v="16"/>
    <s v="Unknown"/>
    <s v="UNKNOWN"/>
    <n v="56"/>
    <x v="8"/>
    <n v="3"/>
  </r>
  <r>
    <s v="U90347"/>
    <n v="17"/>
    <s v="Male"/>
    <s v="Canada"/>
    <x v="1"/>
    <s v="Graduate"/>
    <s v="Business Administration Student"/>
    <n v="57"/>
    <s v=" Google Gemini"/>
    <x v="1"/>
    <n v="1.7"/>
    <n v="30"/>
    <x v="6"/>
    <n v="3"/>
    <n v="5"/>
    <n v="1.9"/>
    <n v="4.3"/>
    <n v="17"/>
    <s v="Canada"/>
    <s v="Business Administration Student"/>
    <n v="57"/>
    <x v="2"/>
    <n v="1.9"/>
  </r>
  <r>
    <s v="U0196"/>
    <n v="19"/>
    <s v="Male"/>
    <s v="Pakistan"/>
    <x v="1"/>
    <s v="Undergraduate"/>
    <s v="English Literature Student"/>
    <n v="58"/>
    <s v="Chat GPT"/>
    <x v="5"/>
    <n v="6.3"/>
    <n v="0"/>
    <x v="30"/>
    <n v="3"/>
    <n v="8"/>
    <n v="10"/>
    <n v="7.3"/>
    <n v="19"/>
    <s v="Pakistan"/>
    <s v="English Literature Student"/>
    <n v="58"/>
    <x v="0"/>
    <n v="10"/>
  </r>
  <r>
    <s v="U90522"/>
    <n v="22"/>
    <s v="Male"/>
    <s v="Philippines"/>
    <x v="1"/>
    <s v="High School"/>
    <s v="English Literature Student"/>
    <n v="58"/>
    <s v="claude"/>
    <x v="5"/>
    <n v="3"/>
    <n v="0"/>
    <x v="32"/>
    <n v="4"/>
    <n v="9"/>
    <n v="10.5"/>
    <n v="6.4"/>
    <n v="22"/>
    <s v="Philippines"/>
    <s v="English Literature Student"/>
    <n v="58"/>
    <x v="5"/>
    <n v="10.5"/>
  </r>
  <r>
    <s v="U0023"/>
    <n v="21"/>
    <s v="Male"/>
    <s v="UNKNOWN"/>
    <x v="1"/>
    <s v="High School"/>
    <s v="English Literature Student"/>
    <n v="59"/>
    <s v="Chat GPT"/>
    <x v="5"/>
    <n v="3"/>
    <n v="25"/>
    <x v="2"/>
    <n v="4"/>
    <n v="7"/>
    <n v="4.9000000000000004"/>
    <n v="8.4"/>
    <n v="21"/>
    <s v="Unknown"/>
    <s v="English Literature Student"/>
    <n v="59"/>
    <x v="0"/>
    <n v="4.9000000000000004"/>
  </r>
  <r>
    <s v="U0260"/>
    <n v="25"/>
    <s v="Female"/>
    <s v="India"/>
    <x v="1"/>
    <s v="PhD"/>
    <s v="Biotechnology PhD Student"/>
    <n v="60"/>
    <s v="Grammarly"/>
    <x v="1"/>
    <n v="3.4"/>
    <n v="50"/>
    <x v="6"/>
    <n v="4"/>
    <n v="8"/>
    <n v="7.2"/>
    <n v="8"/>
    <n v="25"/>
    <s v="India"/>
    <s v="Biotechnology PhD Student"/>
    <n v="60"/>
    <x v="3"/>
    <n v="7.2"/>
  </r>
  <r>
    <s v="U90261"/>
    <n v="20"/>
    <s v="Male"/>
    <s v="Pakistan"/>
    <x v="1"/>
    <s v="Undergraduate"/>
    <s v="English Literature Student"/>
    <n v="60"/>
    <s v="Chat GPT"/>
    <x v="5"/>
    <n v="6.3"/>
    <n v="0"/>
    <x v="30"/>
    <n v="3"/>
    <n v="8"/>
    <n v="10"/>
    <n v="7.3"/>
    <n v="20"/>
    <s v="Pakistan"/>
    <s v="English Literature Student"/>
    <n v="60"/>
    <x v="0"/>
    <n v="10"/>
  </r>
  <r>
    <s v="U0238"/>
    <n v="21"/>
    <s v="Male"/>
    <s v="Pakistan"/>
    <x v="1"/>
    <s v="High School"/>
    <s v="Digital Media Student"/>
    <n v="62"/>
    <s v="Chat GPT"/>
    <x v="4"/>
    <n v="7.2"/>
    <n v="10"/>
    <x v="33"/>
    <n v="4"/>
    <n v="7"/>
    <n v="13.2"/>
    <n v="6.1"/>
    <n v="21"/>
    <s v="Pakistan"/>
    <s v="Digital Media Student"/>
    <n v="62"/>
    <x v="0"/>
    <n v="13.2"/>
  </r>
  <r>
    <s v="U0063"/>
    <n v="24"/>
    <s v="Male"/>
    <s v="Philippines"/>
    <x v="1"/>
    <s v="High School"/>
    <s v="English Literature Student"/>
    <n v="63"/>
    <s v="claude"/>
    <x v="5"/>
    <n v="3"/>
    <n v="0"/>
    <x v="32"/>
    <n v="4"/>
    <n v="9"/>
    <n v="10.5"/>
    <n v="6.4"/>
    <n v="24"/>
    <s v="Philippines"/>
    <s v="English Literature Student"/>
    <n v="63"/>
    <x v="5"/>
    <n v="10.5"/>
  </r>
  <r>
    <s v="U90361"/>
    <n v="24"/>
    <s v="Male"/>
    <s v="Philippines"/>
    <x v="1"/>
    <s v="High School"/>
    <s v="English Literature Student"/>
    <n v="63"/>
    <s v="claude"/>
    <x v="5"/>
    <n v="3"/>
    <n v="0"/>
    <x v="32"/>
    <n v="4"/>
    <n v="9"/>
    <n v="10.5"/>
    <n v="6.4"/>
    <n v="24"/>
    <s v="Philippines"/>
    <s v="English Literature Student"/>
    <n v="63"/>
    <x v="5"/>
    <n v="10.5"/>
  </r>
  <r>
    <s v="U90516"/>
    <n v="18"/>
    <s v="Male"/>
    <s v="Pakistan"/>
    <x v="1"/>
    <s v="Undergraduate"/>
    <s v="English Literature Student"/>
    <n v="63"/>
    <s v="Chat GPT"/>
    <x v="5"/>
    <n v="6.3"/>
    <n v="0"/>
    <x v="30"/>
    <n v="3"/>
    <n v="8"/>
    <n v="10"/>
    <n v="7.3"/>
    <n v="18"/>
    <s v="Pakistan"/>
    <s v="English Literature Student"/>
    <n v="63"/>
    <x v="0"/>
    <n v="10"/>
  </r>
  <r>
    <s v="U90674"/>
    <n v="22"/>
    <s v="Male"/>
    <s v="UNKNOWN"/>
    <x v="1"/>
    <s v="High School"/>
    <s v="English Literature Student"/>
    <n v="63"/>
    <s v="Chat GPT"/>
    <x v="5"/>
    <n v="3"/>
    <n v="25"/>
    <x v="2"/>
    <n v="4"/>
    <n v="7"/>
    <n v="4.9000000000000004"/>
    <n v="8.4"/>
    <n v="22"/>
    <s v="Unknown"/>
    <s v="English Literature Student"/>
    <n v="63"/>
    <x v="0"/>
    <n v="4.9000000000000004"/>
  </r>
  <r>
    <s v="U0258"/>
    <n v="16"/>
    <s v="Female"/>
    <s v="UNKNOWN"/>
    <x v="1"/>
    <s v="Undergraduate"/>
    <s v="UNKNOWN"/>
    <n v="63"/>
    <s v="Perplexity AI"/>
    <x v="2"/>
    <n v="1.9"/>
    <n v="0"/>
    <x v="31"/>
    <n v="3"/>
    <n v="5"/>
    <n v="3"/>
    <n v="5.4"/>
    <n v="16"/>
    <s v="Unknown"/>
    <s v="UNKNOWN"/>
    <n v="63"/>
    <x v="8"/>
    <n v="3"/>
  </r>
  <r>
    <s v="U90078"/>
    <n v="26"/>
    <s v="Female"/>
    <s v="India"/>
    <x v="1"/>
    <s v="PhD"/>
    <s v="Biotechnology PhD Student"/>
    <n v="64"/>
    <s v="Grammarly"/>
    <x v="1"/>
    <n v="3.4"/>
    <n v="50"/>
    <x v="6"/>
    <n v="4"/>
    <n v="8"/>
    <n v="7.2"/>
    <n v="8"/>
    <n v="26"/>
    <s v="India"/>
    <s v="Biotechnology PhD Student"/>
    <n v="64"/>
    <x v="3"/>
    <n v="7.2"/>
  </r>
  <r>
    <s v="U90400"/>
    <n v="23"/>
    <s v="Male"/>
    <s v="UNKNOWN"/>
    <x v="1"/>
    <s v="High School"/>
    <s v="English Literature Student"/>
    <n v="64"/>
    <s v="Chat GPT"/>
    <x v="5"/>
    <n v="3"/>
    <n v="25"/>
    <x v="2"/>
    <n v="4"/>
    <n v="7"/>
    <n v="4.9000000000000004"/>
    <n v="8.4"/>
    <n v="23"/>
    <s v="Unknown"/>
    <s v="English Literature Student"/>
    <n v="64"/>
    <x v="0"/>
    <n v="4.9000000000000004"/>
  </r>
  <r>
    <s v="U90193"/>
    <n v="20"/>
    <s v="Male"/>
    <s v="UNKNOWN"/>
    <x v="1"/>
    <s v="High School"/>
    <s v="English Literature Student"/>
    <n v="65"/>
    <s v="Chat GPT"/>
    <x v="5"/>
    <n v="3"/>
    <n v="25"/>
    <x v="2"/>
    <n v="4"/>
    <n v="7"/>
    <n v="4.9000000000000004"/>
    <n v="8.4"/>
    <n v="20"/>
    <s v="Unknown"/>
    <s v="English Literature Student"/>
    <n v="65"/>
    <x v="0"/>
    <n v="4.9000000000000004"/>
  </r>
  <r>
    <s v="U90469"/>
    <n v="17"/>
    <s v="Female"/>
    <s v="India"/>
    <x v="1"/>
    <s v="Undergraduate"/>
    <s v="Information Technology Student"/>
    <n v="65"/>
    <s v="Chat GPT"/>
    <x v="1"/>
    <n v="1.1000000000000001"/>
    <n v="20"/>
    <x v="34"/>
    <n v="4"/>
    <n v="7"/>
    <n v="5.6"/>
    <n v="6.3"/>
    <n v="17"/>
    <s v="India"/>
    <s v="Information Technology Student"/>
    <n v="65"/>
    <x v="0"/>
    <n v="5.6"/>
  </r>
  <r>
    <s v="U90251"/>
    <n v="28"/>
    <s v="Male"/>
    <s v="Brazil"/>
    <x v="1"/>
    <s v="Undergraduate"/>
    <s v="Literature Student"/>
    <n v="65"/>
    <s v="Chat GPT"/>
    <x v="5"/>
    <n v="0"/>
    <n v="0"/>
    <x v="16"/>
    <n v="2"/>
    <n v="4"/>
    <n v="1.5"/>
    <n v="5.8"/>
    <n v="28"/>
    <s v="Brazil"/>
    <s v="Literature Student"/>
    <n v="65"/>
    <x v="0"/>
    <n v="1.5"/>
  </r>
  <r>
    <s v="U0004"/>
    <n v="18"/>
    <s v="Female"/>
    <s v="India"/>
    <x v="1"/>
    <s v="Undergraduate"/>
    <s v="Information Technology Student"/>
    <n v="66"/>
    <s v="Chat GPT"/>
    <x v="1"/>
    <n v="1.1000000000000001"/>
    <n v="20"/>
    <x v="34"/>
    <n v="4"/>
    <n v="7"/>
    <n v="5.6"/>
    <n v="6.3"/>
    <n v="18"/>
    <s v="India"/>
    <s v="Information Technology Student"/>
    <n v="66"/>
    <x v="0"/>
    <n v="5.6"/>
  </r>
  <r>
    <s v="U90384"/>
    <n v="29"/>
    <s v="Female"/>
    <s v="Pakistan"/>
    <x v="1"/>
    <s v="Undergraduate"/>
    <s v="Digital Marketing Student"/>
    <n v="67"/>
    <s v="Chat GPT"/>
    <x v="4"/>
    <n v="1.9"/>
    <n v="0"/>
    <x v="7"/>
    <n v="4"/>
    <n v="7"/>
    <n v="1.4"/>
    <n v="7.4"/>
    <n v="29"/>
    <s v="Pakistan"/>
    <s v="Digital Marketing Student"/>
    <n v="67"/>
    <x v="0"/>
    <n v="1.4"/>
  </r>
  <r>
    <s v="U0017"/>
    <n v="30"/>
    <s v="Female"/>
    <s v="Pakistan"/>
    <x v="1"/>
    <s v="Undergraduate"/>
    <s v="Software Engineering Student"/>
    <n v="67"/>
    <s v="Chat GPT"/>
    <x v="0"/>
    <n v="1.4"/>
    <n v="20"/>
    <x v="35"/>
    <n v="3"/>
    <n v="3"/>
    <n v="0.8"/>
    <n v="5.6"/>
    <n v="30"/>
    <s v="Pakistan"/>
    <s v="Software Engineering Student"/>
    <n v="67"/>
    <x v="0"/>
    <n v="0.8"/>
  </r>
  <r>
    <s v="U90480"/>
    <n v="23"/>
    <s v="Female"/>
    <s v="India"/>
    <x v="1"/>
    <s v="PhD"/>
    <s v="Biotechnology PhD Student"/>
    <n v="68"/>
    <s v="Grammarly"/>
    <x v="1"/>
    <n v="3.4"/>
    <n v="50"/>
    <x v="6"/>
    <n v="4"/>
    <n v="8"/>
    <n v="7.2"/>
    <n v="8"/>
    <n v="23"/>
    <s v="India"/>
    <s v="Biotechnology PhD Student"/>
    <n v="68"/>
    <x v="3"/>
    <n v="7.2"/>
  </r>
  <r>
    <s v="U0067"/>
    <n v="22"/>
    <s v="Male"/>
    <s v="India"/>
    <x v="1"/>
    <s v="Undergraduate"/>
    <s v="Biotechnology Student"/>
    <n v="68"/>
    <s v="Chat GPT"/>
    <x v="1"/>
    <n v="0.7"/>
    <n v="0"/>
    <x v="34"/>
    <n v="4"/>
    <n v="6"/>
    <n v="2.1"/>
    <n v="8.6"/>
    <n v="22"/>
    <s v="India"/>
    <s v="Biotechnology Student"/>
    <n v="68"/>
    <x v="0"/>
    <n v="2.1"/>
  </r>
  <r>
    <s v="U90058"/>
    <n v="26"/>
    <s v="Male"/>
    <s v="Brazil"/>
    <x v="1"/>
    <s v="Undergraduate"/>
    <s v="Literature Student"/>
    <n v="68"/>
    <s v="Chat GPT"/>
    <x v="5"/>
    <n v="0"/>
    <n v="0"/>
    <x v="16"/>
    <n v="2"/>
    <n v="4"/>
    <n v="1.5"/>
    <n v="5.8"/>
    <n v="26"/>
    <s v="Brazil"/>
    <s v="Literature Student"/>
    <n v="68"/>
    <x v="0"/>
    <n v="1.5"/>
  </r>
  <r>
    <s v="U90605"/>
    <n v="22"/>
    <s v="Male"/>
    <s v="India"/>
    <x v="1"/>
    <s v="Undergraduate"/>
    <s v="Digital Media and Communications Student"/>
    <n v="69"/>
    <s v=" Google Gemini"/>
    <x v="4"/>
    <n v="3.5"/>
    <n v="20"/>
    <x v="24"/>
    <n v="4"/>
    <n v="7"/>
    <n v="8.3000000000000007"/>
    <n v="6.2"/>
    <n v="22"/>
    <s v="India"/>
    <s v="Digital Media and Communications Student"/>
    <n v="69"/>
    <x v="2"/>
    <n v="8.3000000000000007"/>
  </r>
  <r>
    <s v="U90582"/>
    <n v="29"/>
    <s v="Female"/>
    <s v="Pakistan"/>
    <x v="1"/>
    <s v="Undergraduate"/>
    <s v="Digital Marketing Student"/>
    <n v="70"/>
    <s v="Chat GPT"/>
    <x v="4"/>
    <n v="1.9"/>
    <n v="0"/>
    <x v="7"/>
    <n v="4"/>
    <n v="7"/>
    <n v="1.4"/>
    <n v="7.4"/>
    <n v="29"/>
    <s v="Pakistan"/>
    <s v="Digital Marketing Student"/>
    <n v="70"/>
    <x v="0"/>
    <n v="1.4"/>
  </r>
  <r>
    <s v="U90399"/>
    <n v="31"/>
    <s v="Female"/>
    <s v="Pakistan"/>
    <x v="1"/>
    <s v="Graduate"/>
    <s v="Software Engineering Student"/>
    <n v="70"/>
    <s v="Chat GPT"/>
    <x v="0"/>
    <n v="1.4"/>
    <n v="20"/>
    <x v="35"/>
    <n v="3"/>
    <n v="3"/>
    <n v="0.8"/>
    <n v="5.6"/>
    <n v="31"/>
    <s v="Pakistan"/>
    <s v="Software Engineering Student"/>
    <n v="70"/>
    <x v="0"/>
    <n v="0.8"/>
  </r>
  <r>
    <s v="U90142"/>
    <n v="21"/>
    <s v="Male"/>
    <s v="India"/>
    <x v="1"/>
    <s v="Undergraduate"/>
    <s v="Data Science Student"/>
    <n v="71"/>
    <s v="Grammarly"/>
    <x v="2"/>
    <n v="1.5"/>
    <n v="0"/>
    <x v="16"/>
    <n v="2"/>
    <n v="4"/>
    <n v="2.2000000000000002"/>
    <n v="8"/>
    <n v="21"/>
    <s v="India"/>
    <s v="Data Science Student"/>
    <n v="71"/>
    <x v="3"/>
    <n v="2.2000000000000002"/>
  </r>
  <r>
    <s v="U90103"/>
    <n v="28"/>
    <s v="Female"/>
    <s v="Brazil"/>
    <x v="1"/>
    <s v="Master's"/>
    <s v="Software Engineering Student"/>
    <n v="71"/>
    <s v=" Google Gemini"/>
    <x v="0"/>
    <n v="0.8"/>
    <n v="0"/>
    <x v="36"/>
    <n v="4"/>
    <n v="6"/>
    <n v="1.2"/>
    <n v="8.3000000000000007"/>
    <n v="28"/>
    <s v="Brazil"/>
    <s v="Software Engineering Student"/>
    <n v="71"/>
    <x v="2"/>
    <n v="1.2"/>
  </r>
  <r>
    <s v="U90483"/>
    <n v="27"/>
    <s v="Male"/>
    <s v="Brazil"/>
    <x v="1"/>
    <s v="Undergraduate"/>
    <s v="Literature Student"/>
    <n v="72"/>
    <s v="Chat GPT"/>
    <x v="5"/>
    <n v="0"/>
    <n v="0"/>
    <x v="16"/>
    <n v="2"/>
    <n v="4"/>
    <n v="1.5"/>
    <n v="5.8"/>
    <n v="27"/>
    <s v="Brazil"/>
    <s v="Literature Student"/>
    <n v="72"/>
    <x v="0"/>
    <n v="1.5"/>
  </r>
  <r>
    <s v="U90276"/>
    <n v="16"/>
    <s v="Female"/>
    <s v="UNKNOWN"/>
    <x v="1"/>
    <s v="Undergraduate"/>
    <s v="UNKNOWN"/>
    <n v="72"/>
    <s v="Perplexity AI"/>
    <x v="2"/>
    <n v="1.9"/>
    <n v="0"/>
    <x v="31"/>
    <n v="3"/>
    <n v="5"/>
    <n v="3"/>
    <n v="5.4"/>
    <n v="16"/>
    <s v="Unknown"/>
    <s v="UNKNOWN"/>
    <n v="72"/>
    <x v="8"/>
    <n v="3"/>
  </r>
  <r>
    <s v="U90154"/>
    <n v="24"/>
    <s v="Male"/>
    <s v="India"/>
    <x v="1"/>
    <s v="Undergraduate"/>
    <s v="Biotechnology Student"/>
    <n v="73"/>
    <s v="Chat GPT"/>
    <x v="2"/>
    <n v="0.7"/>
    <n v="0"/>
    <x v="34"/>
    <n v="4"/>
    <n v="6"/>
    <n v="2.1"/>
    <n v="8.6"/>
    <n v="24"/>
    <s v="India"/>
    <s v="Biotechnology Student"/>
    <n v="73"/>
    <x v="0"/>
    <n v="2.1"/>
  </r>
  <r>
    <s v="U90474"/>
    <n v="18"/>
    <s v="Female"/>
    <s v="India"/>
    <x v="1"/>
    <s v="Undergraduate"/>
    <s v="Information Technology Student"/>
    <n v="73"/>
    <s v="Chat GPT"/>
    <x v="1"/>
    <n v="1.1000000000000001"/>
    <n v="20"/>
    <x v="34"/>
    <n v="4"/>
    <n v="7"/>
    <n v="5.6"/>
    <n v="6.3"/>
    <n v="18"/>
    <s v="India"/>
    <s v="Information Technology Student"/>
    <n v="73"/>
    <x v="0"/>
    <n v="5.6"/>
  </r>
  <r>
    <s v="U0206"/>
    <n v="26"/>
    <s v="Male"/>
    <s v="Brazil"/>
    <x v="1"/>
    <s v="Undergraduate"/>
    <s v="Literature Student"/>
    <n v="73"/>
    <s v="Chat GPT"/>
    <x v="5"/>
    <n v="0"/>
    <n v="0"/>
    <x v="16"/>
    <n v="2"/>
    <n v="4"/>
    <n v="1.5"/>
    <n v="5.8"/>
    <n v="26"/>
    <s v="Brazil"/>
    <s v="Literature Student"/>
    <n v="73"/>
    <x v="0"/>
    <n v="1.5"/>
  </r>
  <r>
    <s v="U90352"/>
    <n v="27"/>
    <s v="Male"/>
    <s v="Brazil"/>
    <x v="1"/>
    <s v="Undergraduate"/>
    <s v="Literature Student"/>
    <n v="73"/>
    <s v="Chat GPT"/>
    <x v="5"/>
    <n v="0"/>
    <n v="0"/>
    <x v="16"/>
    <n v="2"/>
    <n v="4"/>
    <n v="1.5"/>
    <n v="5.8"/>
    <n v="27"/>
    <s v="Brazil"/>
    <s v="Literature Student"/>
    <n v="73"/>
    <x v="0"/>
    <n v="1.5"/>
  </r>
  <r>
    <s v="U0041"/>
    <n v="27"/>
    <s v="Female"/>
    <s v="Pakistan"/>
    <x v="1"/>
    <s v="Undergraduate"/>
    <s v="Digital Marketing Student"/>
    <n v="74"/>
    <s v="Chat GPT"/>
    <x v="4"/>
    <n v="1.9"/>
    <n v="0"/>
    <x v="7"/>
    <n v="4"/>
    <n v="7"/>
    <n v="1.4"/>
    <n v="7.4"/>
    <n v="27"/>
    <s v="Pakistan"/>
    <s v="Digital Marketing Student"/>
    <n v="74"/>
    <x v="0"/>
    <n v="1.4"/>
  </r>
  <r>
    <s v="U90315"/>
    <n v="28"/>
    <s v="Male"/>
    <s v="Brazil"/>
    <x v="1"/>
    <s v="Undergraduate"/>
    <s v="Literature Student"/>
    <n v="74"/>
    <s v="Chat GPT"/>
    <x v="5"/>
    <n v="0"/>
    <n v="0"/>
    <x v="16"/>
    <n v="2"/>
    <n v="4"/>
    <n v="1.5"/>
    <n v="5.8"/>
    <n v="28"/>
    <s v="Brazil"/>
    <s v="Literature Student"/>
    <n v="74"/>
    <x v="0"/>
    <n v="1.5"/>
  </r>
  <r>
    <s v="U90143"/>
    <n v="27"/>
    <s v="Female"/>
    <s v="Brazil"/>
    <x v="1"/>
    <s v="Master's"/>
    <s v="Software Engineering Student"/>
    <n v="74"/>
    <s v=" Google Gemini"/>
    <x v="0"/>
    <n v="0.8"/>
    <n v="0"/>
    <x v="36"/>
    <n v="4"/>
    <n v="6"/>
    <n v="1.2"/>
    <n v="8.3000000000000007"/>
    <n v="27"/>
    <s v="Brazil"/>
    <s v="Software Engineering Student"/>
    <n v="74"/>
    <x v="2"/>
    <n v="1.2"/>
  </r>
  <r>
    <s v="U90153"/>
    <n v="22"/>
    <s v="Male"/>
    <s v="India"/>
    <x v="1"/>
    <s v="Undergraduate"/>
    <s v="Data Science Student"/>
    <n v="75"/>
    <s v="Grammarly"/>
    <x v="2"/>
    <n v="1.5"/>
    <n v="0"/>
    <x v="16"/>
    <n v="2"/>
    <n v="4"/>
    <n v="2.2000000000000002"/>
    <n v="8"/>
    <n v="22"/>
    <s v="India"/>
    <s v="Data Science Student"/>
    <n v="75"/>
    <x v="3"/>
    <n v="2.2000000000000002"/>
  </r>
  <r>
    <s v="U90200"/>
    <n v="22"/>
    <s v="Male"/>
    <s v="India"/>
    <x v="1"/>
    <s v="Undergraduate"/>
    <s v="Digital Media and Communications Student"/>
    <n v="75"/>
    <s v=" Google Gemini"/>
    <x v="4"/>
    <n v="3.5"/>
    <n v="20"/>
    <x v="24"/>
    <n v="4"/>
    <n v="7"/>
    <n v="8.3000000000000007"/>
    <n v="6.2"/>
    <n v="22"/>
    <s v="India"/>
    <s v="Digital Media and Communications Student"/>
    <n v="75"/>
    <x v="2"/>
    <n v="8.3000000000000007"/>
  </r>
  <r>
    <s v="U0148"/>
    <n v="17"/>
    <s v="Male"/>
    <s v="Pakistan"/>
    <x v="1"/>
    <s v="Bachelor's"/>
    <s v="Engineering Student"/>
    <n v="75"/>
    <s v="Microsoft Copilot"/>
    <x v="1"/>
    <n v="5.9"/>
    <n v="0"/>
    <x v="37"/>
    <n v="2"/>
    <n v="5"/>
    <n v="12.1"/>
    <n v="0"/>
    <n v="17"/>
    <s v="Pakistan"/>
    <s v="Engineering Student"/>
    <n v="75"/>
    <x v="1"/>
    <n v="12.1"/>
  </r>
  <r>
    <s v="U90063"/>
    <n v="21"/>
    <s v="Male"/>
    <s v="India"/>
    <x v="1"/>
    <s v="Undergraduate"/>
    <s v="Biotechnology Student"/>
    <n v="76"/>
    <s v="Chat GPT"/>
    <x v="2"/>
    <n v="0.7"/>
    <n v="0"/>
    <x v="34"/>
    <n v="4"/>
    <n v="6"/>
    <n v="2.1"/>
    <n v="8.6"/>
    <n v="21"/>
    <s v="India"/>
    <s v="Biotechnology Student"/>
    <n v="76"/>
    <x v="0"/>
    <n v="2.1"/>
  </r>
  <r>
    <s v="U0077"/>
    <n v="16"/>
    <s v="Female"/>
    <s v="Philippines"/>
    <x v="1"/>
    <s v="Undergraduate"/>
    <s v="Information Technology Student"/>
    <n v="76"/>
    <s v="Chat GPT"/>
    <x v="6"/>
    <n v="1.2"/>
    <n v="0"/>
    <x v="16"/>
    <n v="3"/>
    <n v="5"/>
    <n v="3.7"/>
    <n v="8.1999999999999993"/>
    <n v="16"/>
    <s v="Philippines"/>
    <s v="Information Technology Student"/>
    <n v="76"/>
    <x v="0"/>
    <n v="3.7"/>
  </r>
  <r>
    <s v="U90381"/>
    <n v="28"/>
    <s v="Male"/>
    <s v="Brazil"/>
    <x v="1"/>
    <s v="Undergraduate"/>
    <s v="Literature Student"/>
    <n v="76"/>
    <s v="Chat GPT"/>
    <x v="5"/>
    <n v="0"/>
    <n v="0"/>
    <x v="16"/>
    <n v="2"/>
    <n v="4"/>
    <n v="1.5"/>
    <n v="5.8"/>
    <n v="28"/>
    <s v="Brazil"/>
    <s v="Literature Student"/>
    <n v="76"/>
    <x v="0"/>
    <n v="1.5"/>
  </r>
  <r>
    <s v="U90607"/>
    <n v="25"/>
    <s v="Male"/>
    <s v="Brazil"/>
    <x v="1"/>
    <s v="Undergraduate"/>
    <s v="Literature Student"/>
    <n v="76"/>
    <s v="Chat GPT"/>
    <x v="5"/>
    <n v="0"/>
    <n v="0"/>
    <x v="16"/>
    <n v="2"/>
    <n v="4"/>
    <n v="1.5"/>
    <n v="5.8"/>
    <n v="25"/>
    <s v="Brazil"/>
    <s v="Literature Student"/>
    <n v="76"/>
    <x v="0"/>
    <n v="1.5"/>
  </r>
  <r>
    <s v="U0272"/>
    <n v="23"/>
    <s v="Male"/>
    <s v="India"/>
    <x v="1"/>
    <s v="Undergraduate"/>
    <s v="Data Science Student"/>
    <n v="77"/>
    <s v="Grammarly"/>
    <x v="2"/>
    <n v="1.5"/>
    <n v="0"/>
    <x v="16"/>
    <n v="2"/>
    <n v="4"/>
    <n v="2.2000000000000002"/>
    <n v="8"/>
    <n v="23"/>
    <s v="India"/>
    <s v="Data Science Student"/>
    <n v="77"/>
    <x v="3"/>
    <n v="2.2000000000000002"/>
  </r>
  <r>
    <s v="U90623"/>
    <n v="22"/>
    <s v="Male"/>
    <s v="India"/>
    <x v="1"/>
    <s v="Undergraduate"/>
    <s v="Biotechnology Student"/>
    <n v="78"/>
    <s v="Chat GPT"/>
    <x v="1"/>
    <n v="0.7"/>
    <n v="0"/>
    <x v="34"/>
    <n v="4"/>
    <n v="6"/>
    <n v="2.1"/>
    <n v="8.6"/>
    <n v="22"/>
    <s v="India"/>
    <s v="Biotechnology Student"/>
    <n v="78"/>
    <x v="0"/>
    <n v="2.1"/>
  </r>
  <r>
    <s v="U90087"/>
    <n v="18"/>
    <s v="Male"/>
    <s v="India"/>
    <x v="1"/>
    <s v="Undergraduate"/>
    <s v="Digital Media and Communications Student"/>
    <n v="78"/>
    <s v=" Google Gemini"/>
    <x v="4"/>
    <n v="3.5"/>
    <n v="20"/>
    <x v="24"/>
    <n v="4"/>
    <n v="7"/>
    <n v="8.3000000000000007"/>
    <n v="6.2"/>
    <n v="18"/>
    <s v="India"/>
    <s v="Digital Media and Communications Student"/>
    <n v="78"/>
    <x v="2"/>
    <n v="8.3000000000000007"/>
  </r>
  <r>
    <s v="U0116"/>
    <n v="20"/>
    <s v="Male"/>
    <s v="India"/>
    <x v="1"/>
    <s v="Undergraduate"/>
    <s v="Digital Media and Communications Student"/>
    <n v="79"/>
    <s v=" Google Gemini"/>
    <x v="4"/>
    <n v="3.5"/>
    <n v="20"/>
    <x v="24"/>
    <n v="4"/>
    <n v="7"/>
    <n v="8.3000000000000007"/>
    <n v="6.2"/>
    <n v="20"/>
    <s v="India"/>
    <s v="Digital Media and Communications Student"/>
    <n v="79"/>
    <x v="2"/>
    <n v="8.3000000000000007"/>
  </r>
  <r>
    <s v="U90669"/>
    <n v="16"/>
    <s v="Male"/>
    <s v="Pakistan"/>
    <x v="1"/>
    <s v="Bachelor's"/>
    <s v="Engineering Student"/>
    <n v="79"/>
    <s v="Microsoft Copilot"/>
    <x v="1"/>
    <n v="5.9"/>
    <n v="0"/>
    <x v="37"/>
    <n v="2"/>
    <n v="5"/>
    <n v="12.1"/>
    <n v="0"/>
    <n v="16"/>
    <s v="Pakistan"/>
    <s v="Engineering Student"/>
    <n v="79"/>
    <x v="1"/>
    <n v="12.1"/>
  </r>
  <r>
    <s v="U90302"/>
    <n v="18"/>
    <s v="Female"/>
    <s v="Philippines"/>
    <x v="1"/>
    <s v="Undergraduate"/>
    <s v="Information Technology Student"/>
    <n v="79"/>
    <s v="Chat GPT"/>
    <x v="6"/>
    <n v="1.2"/>
    <n v="0"/>
    <x v="16"/>
    <n v="3"/>
    <n v="5"/>
    <n v="3.7"/>
    <n v="8.1999999999999993"/>
    <n v="18"/>
    <s v="Philippines"/>
    <s v="Information Technology Student"/>
    <n v="79"/>
    <x v="0"/>
    <n v="3.7"/>
  </r>
  <r>
    <s v="U0123"/>
    <n v="18"/>
    <s v="Female"/>
    <s v="Pakistan"/>
    <x v="1"/>
    <s v="Undergraduate"/>
    <s v="Biomedical Engineering Student"/>
    <n v="80"/>
    <s v="Grammarly"/>
    <x v="2"/>
    <n v="4.0999999999999996"/>
    <n v="20"/>
    <x v="32"/>
    <n v="5"/>
    <n v="8"/>
    <n v="10.5"/>
    <n v="5.8"/>
    <n v="18"/>
    <s v="Pakistan"/>
    <s v="Biomedical Engineering Student"/>
    <n v="80"/>
    <x v="3"/>
    <n v="10.5"/>
  </r>
  <r>
    <s v="U90014"/>
    <m/>
    <s v="Male"/>
    <s v="Pakistan"/>
    <x v="1"/>
    <s v="Bachelor's"/>
    <s v="Software Engineering Student"/>
    <n v="80"/>
    <s v="claude"/>
    <x v="1"/>
    <n v="2.2999999999999998"/>
    <n v="20"/>
    <x v="37"/>
    <n v="3"/>
    <n v="5"/>
    <n v="2.2999999999999998"/>
    <n v="6.4"/>
    <n v="30.023333333333333"/>
    <s v="Pakistan"/>
    <s v="Software Engineering Student"/>
    <n v="80"/>
    <x v="5"/>
    <n v="2.2999999999999998"/>
  </r>
  <r>
    <s v="U90225"/>
    <n v="19"/>
    <s v="Male"/>
    <s v="Pakistan"/>
    <x v="1"/>
    <s v="Bachelor's"/>
    <s v="Engineering Student"/>
    <n v="81"/>
    <s v="Microsoft Copilot"/>
    <x v="1"/>
    <n v="5.9"/>
    <n v="0"/>
    <x v="37"/>
    <n v="2"/>
    <n v="5"/>
    <n v="12.1"/>
    <n v="0"/>
    <n v="19"/>
    <s v="Pakistan"/>
    <s v="Engineering Student"/>
    <n v="81"/>
    <x v="1"/>
    <n v="12.1"/>
  </r>
  <r>
    <s v="U90543"/>
    <n v="19"/>
    <s v="Male"/>
    <s v="India"/>
    <x v="1"/>
    <s v="Undergraduate"/>
    <s v="Digital Media and Communications Student"/>
    <n v="82"/>
    <s v=" Google Gemini"/>
    <x v="4"/>
    <n v="3.5"/>
    <n v="20"/>
    <x v="24"/>
    <n v="4"/>
    <n v="7"/>
    <n v="8.3000000000000007"/>
    <n v="6.2"/>
    <n v="19"/>
    <s v="India"/>
    <s v="Digital Media and Communications Student"/>
    <n v="82"/>
    <x v="2"/>
    <n v="8.3000000000000007"/>
  </r>
  <r>
    <s v="U90393"/>
    <n v="18"/>
    <s v="Male"/>
    <s v="India"/>
    <x v="1"/>
    <s v="Master's"/>
    <s v="Physics Student"/>
    <n v="82"/>
    <s v="Chat GPT"/>
    <x v="1"/>
    <n v="0.7"/>
    <n v="0"/>
    <x v="3"/>
    <n v="4"/>
    <n v="7"/>
    <n v="0"/>
    <n v="0"/>
    <n v="18"/>
    <s v="India"/>
    <s v="Physics Student"/>
    <n v="82"/>
    <x v="0"/>
    <n v="0"/>
  </r>
  <r>
    <s v="U0280"/>
    <n v="28"/>
    <s v="Female"/>
    <s v="Brazil"/>
    <x v="1"/>
    <s v="Master's"/>
    <s v="Software Engineering Student"/>
    <n v="82"/>
    <s v=" Google Gemini"/>
    <x v="0"/>
    <n v="0.8"/>
    <n v="0"/>
    <x v="36"/>
    <n v="4"/>
    <n v="6"/>
    <n v="1.2"/>
    <n v="8.3000000000000007"/>
    <n v="28"/>
    <s v="Brazil"/>
    <s v="Software Engineering Student"/>
    <n v="82"/>
    <x v="2"/>
    <n v="1.2"/>
  </r>
  <r>
    <s v="U0154"/>
    <m/>
    <s v="Male"/>
    <s v="Pakistan"/>
    <x v="1"/>
    <s v="Bachelor's"/>
    <s v="Software Engineering Student"/>
    <n v="83"/>
    <s v="claude"/>
    <x v="1"/>
    <n v="2.2999999999999998"/>
    <n v="20"/>
    <x v="37"/>
    <n v="3"/>
    <n v="5"/>
    <n v="2.2999999999999998"/>
    <n v="6.4"/>
    <n v="30.023333333333333"/>
    <s v="Pakistan"/>
    <s v="Software Engineering Student"/>
    <n v="83"/>
    <x v="5"/>
    <n v="2.2999999999999998"/>
  </r>
  <r>
    <s v="U90071"/>
    <n v="21"/>
    <s v="Female"/>
    <s v="Philippines"/>
    <x v="1"/>
    <s v="Graduate"/>
    <s v="English Literature Student"/>
    <n v="84"/>
    <s v="Chat GPT"/>
    <x v="5"/>
    <n v="2.2999999999999998"/>
    <n v="10"/>
    <x v="38"/>
    <n v="3"/>
    <n v="4"/>
    <n v="3.4"/>
    <n v="6.1"/>
    <n v="21"/>
    <s v="Philippines"/>
    <s v="English Literature Student"/>
    <n v="84"/>
    <x v="0"/>
    <n v="3.4"/>
  </r>
  <r>
    <s v="U90450"/>
    <n v="23"/>
    <s v="Female"/>
    <s v="Pakistan"/>
    <x v="1"/>
    <s v="Graduate"/>
    <s v="English Literature Student"/>
    <n v="85"/>
    <s v="Microsoft Copilot"/>
    <x v="5"/>
    <n v="3.7"/>
    <n v="0"/>
    <x v="39"/>
    <n v="4"/>
    <n v="7"/>
    <n v="9.9"/>
    <n v="9"/>
    <n v="23"/>
    <s v="Pakistan"/>
    <s v="English Literature Student"/>
    <n v="85"/>
    <x v="1"/>
    <n v="9.9"/>
  </r>
  <r>
    <s v="U0165"/>
    <n v="22"/>
    <s v="Male"/>
    <s v="Brazil"/>
    <x v="1"/>
    <s v="High School"/>
    <s v="Mechanical Engineering Student"/>
    <n v="86"/>
    <s v=" Google Gemini"/>
    <x v="1"/>
    <n v="1.4"/>
    <n v="0"/>
    <x v="40"/>
    <n v="3"/>
    <n v="5"/>
    <n v="1.7"/>
    <n v="0"/>
    <n v="22"/>
    <s v="Brazil"/>
    <s v="Mechanical Engineering Student"/>
    <n v="86"/>
    <x v="2"/>
    <n v="1.7"/>
  </r>
  <r>
    <s v="U90191"/>
    <n v="20"/>
    <s v="Male"/>
    <s v="India"/>
    <x v="1"/>
    <s v="Undergraduate"/>
    <s v="Digital Media and Communications Student"/>
    <n v="87"/>
    <s v=" Google Gemini"/>
    <x v="4"/>
    <n v="3.5"/>
    <n v="20"/>
    <x v="24"/>
    <n v="4"/>
    <n v="7"/>
    <n v="8.3000000000000007"/>
    <n v="6.2"/>
    <n v="20"/>
    <s v="India"/>
    <s v="Digital Media and Communications Student"/>
    <n v="87"/>
    <x v="2"/>
    <n v="8.3000000000000007"/>
  </r>
  <r>
    <s v="U90072"/>
    <n v="22"/>
    <s v="Male"/>
    <s v="India"/>
    <x v="1"/>
    <s v="Undergraduate"/>
    <s v="Digital Media and Communications Student"/>
    <n v="88"/>
    <s v=" Google Gemini"/>
    <x v="4"/>
    <n v="3.5"/>
    <n v="20"/>
    <x v="24"/>
    <n v="4"/>
    <n v="7"/>
    <n v="8.3000000000000007"/>
    <n v="6.2"/>
    <n v="22"/>
    <s v="India"/>
    <s v="Digital Media and Communications Student"/>
    <n v="88"/>
    <x v="2"/>
    <n v="8.3000000000000007"/>
  </r>
  <r>
    <s v="U0053"/>
    <n v="21"/>
    <s v="Female"/>
    <s v="Philippines"/>
    <x v="1"/>
    <s v="Bachelor's"/>
    <s v="Psychology Research Student"/>
    <n v="88"/>
    <s v="Chat GPT"/>
    <x v="2"/>
    <n v="1.6"/>
    <n v="10"/>
    <x v="16"/>
    <n v="3"/>
    <n v="5"/>
    <n v="5.9"/>
    <n v="6.5"/>
    <n v="21"/>
    <s v="Philippines"/>
    <s v="Psychology Research Student"/>
    <n v="88"/>
    <x v="0"/>
    <n v="5.9"/>
  </r>
  <r>
    <s v="U90630"/>
    <n v="22"/>
    <s v="Female"/>
    <s v="Philippines"/>
    <x v="1"/>
    <s v="Graduate"/>
    <s v="English Literature Student"/>
    <n v="89"/>
    <s v="Chat GPT"/>
    <x v="5"/>
    <n v="2.2999999999999998"/>
    <n v="10"/>
    <x v="38"/>
    <n v="3"/>
    <n v="4"/>
    <n v="3.4"/>
    <n v="6.1"/>
    <n v="22"/>
    <s v="Philippines"/>
    <s v="English Literature Student"/>
    <n v="89"/>
    <x v="0"/>
    <n v="3.4"/>
  </r>
  <r>
    <s v="U90221"/>
    <n v="22"/>
    <s v="Male"/>
    <s v="Brazil"/>
    <x v="1"/>
    <s v="High School"/>
    <s v="Mechanical Engineering Student"/>
    <n v="89"/>
    <s v=" Google Gemini"/>
    <x v="1"/>
    <n v="1.4"/>
    <n v="0"/>
    <x v="40"/>
    <n v="3"/>
    <n v="5"/>
    <n v="1.7"/>
    <n v="0"/>
    <n v="22"/>
    <s v="Brazil"/>
    <s v="Mechanical Engineering Student"/>
    <n v="89"/>
    <x v="2"/>
    <n v="1.7"/>
  </r>
  <r>
    <s v="U90097"/>
    <n v="18"/>
    <s v="Female"/>
    <s v="Philippines"/>
    <x v="1"/>
    <s v="Graduate"/>
    <s v="English Literature Student"/>
    <n v="90"/>
    <s v="Chat GPT"/>
    <x v="5"/>
    <n v="2.2999999999999998"/>
    <n v="10"/>
    <x v="38"/>
    <n v="3"/>
    <n v="4"/>
    <n v="3.4"/>
    <n v="6.1"/>
    <n v="18"/>
    <s v="Philippines"/>
    <s v="English Literature Student"/>
    <n v="90"/>
    <x v="0"/>
    <n v="3.4"/>
  </r>
  <r>
    <s v="U90123"/>
    <n v="21"/>
    <s v="Female"/>
    <s v="Philippines"/>
    <x v="1"/>
    <s v="Graduate"/>
    <s v="English Literature Student"/>
    <n v="90"/>
    <s v="Chat GPT"/>
    <x v="5"/>
    <n v="2.2999999999999998"/>
    <n v="10"/>
    <x v="38"/>
    <n v="3"/>
    <n v="4"/>
    <n v="3.4"/>
    <n v="6.1"/>
    <n v="21"/>
    <s v="Philippines"/>
    <s v="English Literature Student"/>
    <n v="90"/>
    <x v="0"/>
    <n v="3.4"/>
  </r>
  <r>
    <s v="U90424"/>
    <n v="19"/>
    <s v="Female"/>
    <s v="Philippines"/>
    <x v="1"/>
    <s v="Graduate"/>
    <s v="English Literature Student"/>
    <n v="90"/>
    <s v="Chat GPT"/>
    <x v="5"/>
    <n v="2.2999999999999998"/>
    <n v="10"/>
    <x v="38"/>
    <n v="3"/>
    <n v="4"/>
    <n v="3.4"/>
    <n v="6.1"/>
    <n v="19"/>
    <s v="Philippines"/>
    <s v="English Literature Student"/>
    <n v="90"/>
    <x v="0"/>
    <n v="3.4"/>
  </r>
  <r>
    <s v="U90549"/>
    <m/>
    <s v="Male"/>
    <s v="Pakistan"/>
    <x v="1"/>
    <s v="Undergraduate"/>
    <s v="English Literature Student"/>
    <n v="90"/>
    <s v="Chat GPT"/>
    <x v="5"/>
    <n v="1.2"/>
    <n v="50"/>
    <x v="25"/>
    <n v="4"/>
    <n v="7"/>
    <m/>
    <n v="5.7"/>
    <n v="30.023333333333333"/>
    <s v="Pakistan"/>
    <s v="English Literature Student"/>
    <n v="90"/>
    <x v="0"/>
    <n v="5.8880829015544043"/>
  </r>
  <r>
    <s v="U90598"/>
    <n v="22"/>
    <s v="Male"/>
    <s v="Philippines"/>
    <x v="1"/>
    <s v="Undergraduate"/>
    <s v="Information Technology Student"/>
    <n v="90"/>
    <s v="Chat GPT"/>
    <x v="6"/>
    <n v="4.9000000000000004"/>
    <n v="20"/>
    <x v="1"/>
    <n v="4"/>
    <n v="6"/>
    <n v="8.1999999999999993"/>
    <n v="8.1"/>
    <n v="22"/>
    <s v="Philippines"/>
    <s v="Information Technology Student"/>
    <n v="90"/>
    <x v="0"/>
    <n v="8.1999999999999993"/>
  </r>
  <r>
    <s v="U90280"/>
    <n v="22"/>
    <s v="Male"/>
    <s v="United States"/>
    <x v="1"/>
    <s v="Undergraduate"/>
    <s v="Biology Student"/>
    <n v="91"/>
    <s v="Microsoft Copilot"/>
    <x v="1"/>
    <n v="4.0999999999999996"/>
    <n v="0"/>
    <x v="41"/>
    <n v="4"/>
    <n v="7"/>
    <n v="4.3"/>
    <n v="4.5999999999999996"/>
    <n v="22"/>
    <s v="United States"/>
    <s v="Biology Student"/>
    <n v="91"/>
    <x v="1"/>
    <n v="4.3"/>
  </r>
  <r>
    <s v="U90226"/>
    <m/>
    <s v="Male"/>
    <s v="Pakistan"/>
    <x v="1"/>
    <s v="Bachelor's"/>
    <s v="Software Engineering Student"/>
    <n v="92"/>
    <s v="claude"/>
    <x v="1"/>
    <n v="2.2999999999999998"/>
    <n v="20"/>
    <x v="37"/>
    <n v="3"/>
    <n v="5"/>
    <n v="2.2999999999999998"/>
    <n v="6.4"/>
    <n v="30.023333333333333"/>
    <s v="Pakistan"/>
    <s v="Software Engineering Student"/>
    <n v="92"/>
    <x v="5"/>
    <n v="2.2999999999999998"/>
  </r>
  <r>
    <s v="U0276"/>
    <n v="20"/>
    <s v="Female"/>
    <s v="Philippines"/>
    <x v="1"/>
    <s v="Graduate"/>
    <s v="English Literature Student"/>
    <n v="93"/>
    <s v="Chat GPT"/>
    <x v="5"/>
    <n v="2.2999999999999998"/>
    <n v="10"/>
    <x v="38"/>
    <n v="3"/>
    <n v="4"/>
    <n v="3.4"/>
    <n v="6.1"/>
    <n v="20"/>
    <s v="Philippines"/>
    <s v="English Literature Student"/>
    <n v="93"/>
    <x v="0"/>
    <n v="3.4"/>
  </r>
  <r>
    <s v="U90073"/>
    <n v="21"/>
    <s v="Female"/>
    <s v="Philippines"/>
    <x v="1"/>
    <s v="Graduate"/>
    <s v="English Literature Student"/>
    <n v="93"/>
    <s v="Chat GPT"/>
    <x v="5"/>
    <n v="2.2999999999999998"/>
    <n v="10"/>
    <x v="38"/>
    <n v="3"/>
    <n v="4"/>
    <n v="3.4"/>
    <n v="6.1"/>
    <n v="21"/>
    <s v="Philippines"/>
    <s v="English Literature Student"/>
    <n v="93"/>
    <x v="0"/>
    <n v="3.4"/>
  </r>
  <r>
    <s v="U90265"/>
    <m/>
    <s v="Male"/>
    <s v="Pakistan"/>
    <x v="1"/>
    <s v="Undergraduate"/>
    <s v="English Literature Student"/>
    <n v="93"/>
    <s v="Chat GPT"/>
    <x v="5"/>
    <n v="1.2"/>
    <n v="50"/>
    <x v="25"/>
    <n v="4"/>
    <n v="7"/>
    <m/>
    <n v="5.7"/>
    <n v="30.023333333333333"/>
    <s v="Pakistan"/>
    <s v="English Literature Student"/>
    <n v="93"/>
    <x v="0"/>
    <n v="5.8880829015544043"/>
  </r>
  <r>
    <s v="U90527"/>
    <n v="28"/>
    <s v="Female"/>
    <s v="Brazil"/>
    <x v="1"/>
    <s v="Master's"/>
    <s v="Software Engineering Student"/>
    <n v="93"/>
    <s v=" Google Gemini"/>
    <x v="0"/>
    <n v="0.8"/>
    <n v="0"/>
    <x v="36"/>
    <n v="4"/>
    <n v="6"/>
    <n v="1.2"/>
    <n v="8.3000000000000007"/>
    <n v="28"/>
    <s v="Brazil"/>
    <s v="Software Engineering Student"/>
    <n v="93"/>
    <x v="2"/>
    <n v="1.2"/>
  </r>
  <r>
    <s v="U0129"/>
    <n v="24"/>
    <s v="Female"/>
    <s v="Pakistan"/>
    <x v="1"/>
    <s v="Undergraduate"/>
    <s v="English Literature Student"/>
    <n v="95"/>
    <s v="Microsoft Copilot"/>
    <x v="5"/>
    <n v="3.7"/>
    <n v="0"/>
    <x v="39"/>
    <n v="4"/>
    <n v="7"/>
    <n v="9.9"/>
    <n v="9"/>
    <n v="24"/>
    <s v="Pakistan"/>
    <s v="English Literature Student"/>
    <n v="95"/>
    <x v="1"/>
    <n v="9.9"/>
  </r>
  <r>
    <s v="U0224"/>
    <n v="16"/>
    <s v="Male"/>
    <s v="India"/>
    <x v="1"/>
    <s v="Master's"/>
    <s v="Physics Student"/>
    <n v="96"/>
    <s v="Chat GPT"/>
    <x v="1"/>
    <n v="0.7"/>
    <n v="0"/>
    <x v="3"/>
    <n v="4"/>
    <n v="7"/>
    <n v="0"/>
    <n v="0"/>
    <n v="16"/>
    <s v="India"/>
    <s v="Physics Student"/>
    <n v="96"/>
    <x v="0"/>
    <n v="0"/>
  </r>
  <r>
    <s v="U90090"/>
    <n v="21"/>
    <s v="Male"/>
    <s v="United States"/>
    <x v="1"/>
    <s v="Undergraduate"/>
    <s v="Biology Student"/>
    <n v="97"/>
    <s v="Microsoft Copilot"/>
    <x v="1"/>
    <n v="4.0999999999999996"/>
    <n v="0"/>
    <x v="41"/>
    <n v="4"/>
    <n v="7"/>
    <n v="4.3"/>
    <n v="4.5999999999999996"/>
    <n v="21"/>
    <s v="United States"/>
    <s v="Biology Student"/>
    <n v="97"/>
    <x v="1"/>
    <n v="4.3"/>
  </r>
  <r>
    <s v="U90496"/>
    <n v="20"/>
    <s v="Male"/>
    <s v="United States"/>
    <x v="1"/>
    <s v="Undergraduate"/>
    <s v="Biology Student"/>
    <n v="97"/>
    <s v="Microsoft Copilot"/>
    <x v="1"/>
    <n v="4.0999999999999996"/>
    <n v="0"/>
    <x v="41"/>
    <n v="4"/>
    <n v="7"/>
    <n v="4.3"/>
    <n v="4.5999999999999996"/>
    <n v="20"/>
    <s v="United States"/>
    <s v="Biology Student"/>
    <n v="97"/>
    <x v="1"/>
    <n v="4.3"/>
  </r>
  <r>
    <s v="U90538"/>
    <n v="24"/>
    <s v="Male"/>
    <s v="Pakistan"/>
    <x v="1"/>
    <s v="Bachelor's"/>
    <s v="Computer Science Student"/>
    <n v="97"/>
    <s v="Perplexity AI"/>
    <x v="6"/>
    <n v="1"/>
    <n v="0"/>
    <x v="9"/>
    <n v="3"/>
    <n v="3"/>
    <n v="4.2"/>
    <n v="6.5"/>
    <n v="24"/>
    <s v="Pakistan"/>
    <s v="Computer Science Student"/>
    <n v="97"/>
    <x v="8"/>
    <n v="4.2"/>
  </r>
  <r>
    <s v="U90394"/>
    <n v="23"/>
    <s v="Female"/>
    <s v="India"/>
    <x v="1"/>
    <s v="Undergraduate"/>
    <s v="Digital Marketing Student"/>
    <n v="97"/>
    <s v="Perplexity AI"/>
    <x v="4"/>
    <n v="0"/>
    <n v="25"/>
    <x v="24"/>
    <n v="3"/>
    <n v="5"/>
    <n v="2.1"/>
    <n v="6"/>
    <n v="23"/>
    <s v="India"/>
    <s v="Digital Marketing Student"/>
    <n v="97"/>
    <x v="8"/>
    <n v="2.1"/>
  </r>
  <r>
    <s v="U90252"/>
    <n v="24"/>
    <s v="Male"/>
    <s v="Brazil"/>
    <x v="1"/>
    <s v="High School"/>
    <s v="Mechanical Engineering Student"/>
    <n v="97"/>
    <s v=" Google Gemini"/>
    <x v="1"/>
    <n v="1.4"/>
    <n v="0"/>
    <x v="40"/>
    <n v="3"/>
    <n v="5"/>
    <n v="1.7"/>
    <n v="0"/>
    <n v="24"/>
    <s v="Brazil"/>
    <s v="Mechanical Engineering Student"/>
    <n v="97"/>
    <x v="2"/>
    <n v="1.7"/>
  </r>
  <r>
    <s v="U90177"/>
    <n v="16"/>
    <s v="Male"/>
    <s v="India"/>
    <x v="1"/>
    <s v="Master's"/>
    <s v="Physics Student"/>
    <n v="97"/>
    <s v="Chat GPT"/>
    <x v="1"/>
    <n v="0.7"/>
    <n v="0"/>
    <x v="3"/>
    <n v="4"/>
    <n v="7"/>
    <n v="0"/>
    <n v="0"/>
    <n v="16"/>
    <s v="India"/>
    <s v="Physics Student"/>
    <n v="97"/>
    <x v="0"/>
    <n v="0"/>
  </r>
  <r>
    <s v="U0101"/>
    <n v="21"/>
    <s v="Male"/>
    <s v="United States"/>
    <x v="1"/>
    <s v="Undergraduate"/>
    <s v="Biology Student"/>
    <n v="98"/>
    <s v="Microsoft Copilot"/>
    <x v="1"/>
    <n v="4.0999999999999996"/>
    <n v="0"/>
    <x v="41"/>
    <n v="4"/>
    <n v="7"/>
    <n v="4.3"/>
    <n v="4.5999999999999996"/>
    <n v="21"/>
    <s v="United States"/>
    <s v="Biology Student"/>
    <n v="98"/>
    <x v="1"/>
    <n v="4.3"/>
  </r>
  <r>
    <s v="U90291"/>
    <n v="30"/>
    <s v="Female"/>
    <s v="India"/>
    <x v="1"/>
    <s v="Bachelor's"/>
    <s v="Biotechnology Student"/>
    <n v="98"/>
    <s v="Chat GPT"/>
    <x v="2"/>
    <n v="3.3"/>
    <n v="0"/>
    <x v="42"/>
    <n v="5"/>
    <n v="10"/>
    <n v="5.9"/>
    <n v="8.1999999999999993"/>
    <n v="30"/>
    <s v="India"/>
    <s v="Biotechnology Student"/>
    <n v="98"/>
    <x v="0"/>
    <n v="5.9"/>
  </r>
  <r>
    <s v="U90282"/>
    <n v="25"/>
    <s v="Male"/>
    <s v="United Kingdom"/>
    <x v="1"/>
    <s v="High School"/>
    <s v="Business Administration Student"/>
    <n v="98"/>
    <s v="Chat GPT"/>
    <x v="1"/>
    <n v="0.6"/>
    <n v="25"/>
    <x v="36"/>
    <n v="4"/>
    <n v="6"/>
    <n v="0.1"/>
    <n v="2.2999999999999998"/>
    <n v="25"/>
    <s v="United Kingdom"/>
    <s v="Business Administration Student"/>
    <n v="98"/>
    <x v="0"/>
    <n v="0.1"/>
  </r>
  <r>
    <s v="U0038"/>
    <m/>
    <s v="Male"/>
    <s v="Nigeria"/>
    <x v="1"/>
    <s v="Undergraduate"/>
    <s v="English Literature Student"/>
    <n v="98"/>
    <s v="claude"/>
    <x v="5"/>
    <n v="1.7"/>
    <n v="20"/>
    <x v="31"/>
    <n v="3"/>
    <n v="6"/>
    <n v="2.9"/>
    <n v="7.7"/>
    <n v="30.023333333333333"/>
    <s v="Nigeria"/>
    <s v="English Literature Student"/>
    <n v="98"/>
    <x v="5"/>
    <n v="2.9"/>
  </r>
  <r>
    <s v="U90115"/>
    <n v="25"/>
    <s v="Female"/>
    <s v="India"/>
    <x v="1"/>
    <s v="Undergraduate"/>
    <s v="Digital Marketing Student"/>
    <n v="99"/>
    <s v="Perplexity AI"/>
    <x v="4"/>
    <n v="0"/>
    <n v="25"/>
    <x v="24"/>
    <n v="3"/>
    <n v="5"/>
    <n v="2.1"/>
    <n v="6"/>
    <n v="25"/>
    <s v="India"/>
    <s v="Digital Marketing Student"/>
    <n v="99"/>
    <x v="8"/>
    <n v="2.1"/>
  </r>
  <r>
    <s v="U90696"/>
    <n v="22"/>
    <s v="Female"/>
    <s v="Philippines"/>
    <x v="1"/>
    <s v="Bachelor's"/>
    <s v="Psychology Research Student"/>
    <n v="99"/>
    <s v="Chat GPT"/>
    <x v="2"/>
    <n v="1.6"/>
    <n v="10"/>
    <x v="16"/>
    <n v="3"/>
    <n v="5"/>
    <n v="5.9"/>
    <n v="6.5"/>
    <n v="22"/>
    <s v="Philippines"/>
    <s v="Psychology Research Student"/>
    <n v="99"/>
    <x v="0"/>
    <n v="5.9"/>
  </r>
  <r>
    <s v="U0208"/>
    <n v="23"/>
    <s v="Female"/>
    <s v="India"/>
    <x v="1"/>
    <s v="Undergraduate"/>
    <s v="Digital Marketing Student"/>
    <n v="100"/>
    <s v="Perplexity AI"/>
    <x v="4"/>
    <n v="0"/>
    <n v="25"/>
    <x v="24"/>
    <n v="3"/>
    <n v="5"/>
    <n v="2.1"/>
    <n v="6"/>
    <n v="23"/>
    <s v="India"/>
    <s v="Digital Marketing Student"/>
    <n v="100"/>
    <x v="8"/>
    <n v="2.1"/>
  </r>
  <r>
    <s v="U0028"/>
    <m/>
    <s v="Male"/>
    <s v="Pakistan"/>
    <x v="1"/>
    <s v="Undergraduate"/>
    <s v="English Literature Student"/>
    <n v="100"/>
    <s v="Chat GPT"/>
    <x v="5"/>
    <n v="1.2"/>
    <n v="50"/>
    <x v="25"/>
    <n v="4"/>
    <n v="7"/>
    <m/>
    <n v="5.7"/>
    <n v="30.023333333333333"/>
    <s v="Pakistan"/>
    <s v="English Literature Student"/>
    <n v="100"/>
    <x v="0"/>
    <n v="5.8880829015544043"/>
  </r>
  <r>
    <s v="U90451"/>
    <m/>
    <s v="Male"/>
    <s v="Pakistan"/>
    <x v="1"/>
    <s v="Undergraduate"/>
    <s v="English Literature Student"/>
    <n v="100"/>
    <s v="Chat GPT"/>
    <x v="5"/>
    <n v="1.2"/>
    <n v="50"/>
    <x v="25"/>
    <n v="4"/>
    <n v="7"/>
    <m/>
    <n v="5.7"/>
    <n v="30.023333333333333"/>
    <s v="Pakistan"/>
    <s v="English Literature Student"/>
    <n v="100"/>
    <x v="0"/>
    <n v="5.8880829015544043"/>
  </r>
  <r>
    <s v="U90396"/>
    <n v="22"/>
    <s v="Male"/>
    <s v="United Kingdom"/>
    <x v="1"/>
    <s v="High School"/>
    <s v="Business Administration Student"/>
    <n v="103"/>
    <s v="Chat GPT"/>
    <x v="1"/>
    <n v="0.6"/>
    <n v="25"/>
    <x v="36"/>
    <n v="4"/>
    <n v="6"/>
    <n v="0.1"/>
    <n v="2.2999999999999998"/>
    <n v="22"/>
    <s v="United Kingdom"/>
    <s v="Business Administration Student"/>
    <n v="103"/>
    <x v="0"/>
    <n v="0.1"/>
  </r>
  <r>
    <s v="U90243"/>
    <n v="25"/>
    <s v="Male"/>
    <s v="India"/>
    <x v="1"/>
    <s v="Master's"/>
    <s v="English Literature Student"/>
    <n v="103"/>
    <s v=" Google Gemini"/>
    <x v="5"/>
    <n v="1.5"/>
    <n v="20"/>
    <x v="43"/>
    <n v="3"/>
    <n v="6"/>
    <n v="3.7"/>
    <n v="3.9"/>
    <n v="25"/>
    <s v="India"/>
    <s v="English Literature Student"/>
    <n v="103"/>
    <x v="2"/>
    <n v="3.7"/>
  </r>
  <r>
    <s v="U0064"/>
    <n v="20"/>
    <s v="Male"/>
    <s v="India"/>
    <x v="1"/>
    <s v="Bachelor's"/>
    <s v="Data Science Student"/>
    <n v="104"/>
    <s v="Chat GPT"/>
    <x v="1"/>
    <n v="6.8"/>
    <n v="0"/>
    <x v="19"/>
    <n v="2"/>
    <n v="6"/>
    <n v="14.1"/>
    <n v="6.4"/>
    <n v="20"/>
    <s v="India"/>
    <s v="Data Science Student"/>
    <n v="104"/>
    <x v="0"/>
    <n v="14.1"/>
  </r>
  <r>
    <s v="U90189"/>
    <m/>
    <s v="Male"/>
    <s v="Pakistan"/>
    <x v="1"/>
    <s v="Undergraduate"/>
    <s v="English Literature Student"/>
    <n v="104"/>
    <s v="Chat GPT"/>
    <x v="5"/>
    <n v="1.2"/>
    <n v="50"/>
    <x v="25"/>
    <n v="4"/>
    <n v="7"/>
    <m/>
    <n v="5.7"/>
    <n v="30.023333333333333"/>
    <s v="Pakistan"/>
    <s v="English Literature Student"/>
    <n v="104"/>
    <x v="0"/>
    <n v="5.8880829015544043"/>
  </r>
  <r>
    <s v="U90284"/>
    <n v="16"/>
    <s v="Female"/>
    <s v="United States"/>
    <x v="1"/>
    <s v="High School"/>
    <s v="Environmental Science Student"/>
    <n v="104"/>
    <s v="Meta AI"/>
    <x v="2"/>
    <n v="0.7"/>
    <n v="0"/>
    <x v="2"/>
    <n v="4"/>
    <n v="7"/>
    <n v="1"/>
    <n v="5.9"/>
    <n v="16"/>
    <s v="United States"/>
    <s v="Environmental Science Student"/>
    <n v="104"/>
    <x v="6"/>
    <n v="1"/>
  </r>
  <r>
    <s v="U90620"/>
    <m/>
    <s v="Male"/>
    <s v="Pakistan"/>
    <x v="1"/>
    <s v="Undergraduate"/>
    <s v="English Literature Student"/>
    <n v="106"/>
    <s v="Chat GPT"/>
    <x v="5"/>
    <n v="1.2"/>
    <n v="50"/>
    <x v="25"/>
    <n v="4"/>
    <n v="7"/>
    <m/>
    <n v="5.7"/>
    <n v="30.023333333333333"/>
    <s v="Pakistan"/>
    <s v="English Literature Student"/>
    <n v="106"/>
    <x v="0"/>
    <n v="5.8880829015544043"/>
  </r>
  <r>
    <s v="U0078"/>
    <n v="22"/>
    <s v="Male"/>
    <s v="Philippines"/>
    <x v="1"/>
    <s v="Undergraduate"/>
    <s v="Information Technology Student"/>
    <n v="106"/>
    <s v="Chat GPT"/>
    <x v="6"/>
    <n v="4.9000000000000004"/>
    <n v="20"/>
    <x v="1"/>
    <n v="4"/>
    <n v="6"/>
    <n v="8.1999999999999993"/>
    <n v="8.1"/>
    <n v="22"/>
    <s v="Philippines"/>
    <s v="Information Technology Student"/>
    <n v="106"/>
    <x v="0"/>
    <n v="8.1999999999999993"/>
  </r>
  <r>
    <s v="U0228"/>
    <n v="22"/>
    <s v="Male"/>
    <s v="Kenya"/>
    <x v="1"/>
    <s v="High School"/>
    <s v="Biology Student"/>
    <n v="109"/>
    <s v="Chat GPT"/>
    <x v="2"/>
    <n v="9.6"/>
    <n v="20"/>
    <x v="44"/>
    <n v="4"/>
    <n v="9"/>
    <n v="19.399999999999999"/>
    <n v="5.2"/>
    <n v="22"/>
    <s v="Kenya"/>
    <s v="Biology Student"/>
    <n v="109"/>
    <x v="0"/>
    <n v="19.399999999999999"/>
  </r>
  <r>
    <s v="U90164"/>
    <n v="32"/>
    <s v="Female"/>
    <s v="India"/>
    <x v="1"/>
    <s v="Bachelor's"/>
    <s v="Biotechnology Student"/>
    <n v="109"/>
    <s v="Chat GPT"/>
    <x v="2"/>
    <n v="3.3"/>
    <n v="0"/>
    <x v="42"/>
    <n v="5"/>
    <n v="10"/>
    <n v="5.9"/>
    <n v="8.1999999999999993"/>
    <n v="32"/>
    <s v="India"/>
    <s v="Biotechnology Student"/>
    <n v="109"/>
    <x v="0"/>
    <n v="5.9"/>
  </r>
  <r>
    <s v="U90343"/>
    <n v="32"/>
    <s v="Female"/>
    <s v="India"/>
    <x v="1"/>
    <s v="Bachelor's"/>
    <s v="Biotechnology Student"/>
    <n v="109"/>
    <s v="Chat GPT"/>
    <x v="2"/>
    <n v="3.3"/>
    <n v="0"/>
    <x v="42"/>
    <n v="5"/>
    <n v="10"/>
    <n v="5.9"/>
    <n v="8.1999999999999993"/>
    <n v="32"/>
    <s v="India"/>
    <s v="Biotechnology Student"/>
    <n v="109"/>
    <x v="0"/>
    <n v="5.9"/>
  </r>
  <r>
    <s v="U0042"/>
    <n v="23"/>
    <s v="Male"/>
    <s v="United Kingdom"/>
    <x v="1"/>
    <s v="High School"/>
    <s v="Business Administration Student"/>
    <n v="109"/>
    <s v="Chat GPT"/>
    <x v="1"/>
    <n v="0.6"/>
    <n v="25"/>
    <x v="36"/>
    <n v="4"/>
    <n v="6"/>
    <n v="0.1"/>
    <n v="2.2999999999999998"/>
    <n v="23"/>
    <s v="United Kingdom"/>
    <s v="Business Administration Student"/>
    <n v="109"/>
    <x v="0"/>
    <n v="0.1"/>
  </r>
  <r>
    <s v="U0215"/>
    <n v="23"/>
    <s v="Male"/>
    <s v="India"/>
    <x v="1"/>
    <s v="Master's"/>
    <s v="English Literature Student"/>
    <n v="109"/>
    <s v=" Google Gemini"/>
    <x v="5"/>
    <n v="1.5"/>
    <n v="20"/>
    <x v="43"/>
    <n v="3"/>
    <n v="6"/>
    <n v="3.7"/>
    <n v="3.9"/>
    <n v="23"/>
    <s v="India"/>
    <s v="English Literature Student"/>
    <n v="109"/>
    <x v="2"/>
    <n v="3.7"/>
  </r>
  <r>
    <s v="U90613"/>
    <n v="22"/>
    <s v="Male"/>
    <s v="United States"/>
    <x v="1"/>
    <s v="Undergraduate"/>
    <s v="Biology Student"/>
    <n v="110"/>
    <s v="Microsoft Copilot"/>
    <x v="1"/>
    <n v="4.0999999999999996"/>
    <n v="0"/>
    <x v="41"/>
    <n v="4"/>
    <n v="7"/>
    <n v="4.3"/>
    <n v="4.5999999999999996"/>
    <n v="22"/>
    <s v="United States"/>
    <s v="Biology Student"/>
    <n v="110"/>
    <x v="1"/>
    <n v="4.3"/>
  </r>
  <r>
    <s v="U0202"/>
    <n v="32"/>
    <s v="Female"/>
    <s v="India"/>
    <x v="1"/>
    <s v="Bachelor's"/>
    <s v="Biotechnology Student"/>
    <n v="110"/>
    <s v="Chat GPT"/>
    <x v="2"/>
    <n v="3.3"/>
    <n v="0"/>
    <x v="42"/>
    <n v="5"/>
    <n v="10"/>
    <n v="5.9"/>
    <n v="8.1999999999999993"/>
    <n v="32"/>
    <s v="India"/>
    <s v="Biotechnology Student"/>
    <n v="110"/>
    <x v="0"/>
    <n v="5.9"/>
  </r>
  <r>
    <s v="U90456"/>
    <n v="22"/>
    <s v="Male"/>
    <s v="India"/>
    <x v="1"/>
    <s v="Bachelor's"/>
    <s v="Data Science Student"/>
    <n v="110"/>
    <s v="Chat GPT"/>
    <x v="1"/>
    <n v="6.8"/>
    <n v="0"/>
    <x v="19"/>
    <n v="2"/>
    <n v="6"/>
    <n v="14.1"/>
    <n v="6.4"/>
    <n v="22"/>
    <s v="India"/>
    <s v="Data Science Student"/>
    <n v="110"/>
    <x v="0"/>
    <n v="14.1"/>
  </r>
  <r>
    <s v="U90449"/>
    <n v="16"/>
    <s v="Male"/>
    <s v="India"/>
    <x v="1"/>
    <s v="Master's"/>
    <s v="Physics Student"/>
    <n v="110"/>
    <s v="Chat GPT"/>
    <x v="1"/>
    <n v="0.7"/>
    <n v="0"/>
    <x v="3"/>
    <n v="4"/>
    <n v="7"/>
    <n v="0"/>
    <n v="0"/>
    <n v="16"/>
    <s v="India"/>
    <s v="Physics Student"/>
    <n v="110"/>
    <x v="0"/>
    <n v="0"/>
  </r>
  <r>
    <s v="U0092"/>
    <n v="22"/>
    <s v="Male"/>
    <s v="Pakistan"/>
    <x v="1"/>
    <s v="Bachelor's"/>
    <s v="Computer Science Student"/>
    <n v="113"/>
    <s v="Perplexity AI"/>
    <x v="6"/>
    <n v="1"/>
    <n v="0"/>
    <x v="9"/>
    <n v="3"/>
    <n v="3"/>
    <n v="4.2"/>
    <n v="6.5"/>
    <n v="22"/>
    <s v="Pakistan"/>
    <s v="Computer Science Student"/>
    <n v="113"/>
    <x v="8"/>
    <n v="4.2"/>
  </r>
  <r>
    <s v="U90684"/>
    <n v="21"/>
    <s v="Male"/>
    <s v="United Kingdom"/>
    <x v="1"/>
    <s v="High School"/>
    <s v="Business Administration Student"/>
    <n v="114"/>
    <s v="Chat GPT"/>
    <x v="1"/>
    <n v="0.6"/>
    <n v="25"/>
    <x v="36"/>
    <n v="4"/>
    <n v="6"/>
    <n v="0.1"/>
    <n v="2.2999999999999998"/>
    <n v="21"/>
    <s v="United Kingdom"/>
    <s v="Business Administration Student"/>
    <n v="114"/>
    <x v="0"/>
    <n v="0.1"/>
  </r>
  <r>
    <s v="U90056"/>
    <m/>
    <s v="Female"/>
    <s v="Australia"/>
    <x v="1"/>
    <s v="Undergraduate"/>
    <s v="Biomedical Science Student"/>
    <n v="115"/>
    <s v="Chat GPT"/>
    <x v="1"/>
    <n v="1.2"/>
    <n v="0"/>
    <x v="45"/>
    <n v="4"/>
    <n v="7"/>
    <n v="5.3"/>
    <n v="7.1"/>
    <n v="30.023333333333333"/>
    <s v="Australia"/>
    <s v="Biomedical Science Student"/>
    <n v="115"/>
    <x v="0"/>
    <n v="5.3"/>
  </r>
  <r>
    <s v="U90260"/>
    <n v="19"/>
    <s v="Male"/>
    <s v="India"/>
    <x v="1"/>
    <s v="Bachelor's"/>
    <s v="Data Science Student"/>
    <n v="115"/>
    <s v="Chat GPT"/>
    <x v="1"/>
    <n v="6.8"/>
    <n v="0"/>
    <x v="19"/>
    <n v="2"/>
    <n v="6"/>
    <n v="14.1"/>
    <n v="6.4"/>
    <n v="19"/>
    <s v="India"/>
    <s v="Data Science Student"/>
    <n v="115"/>
    <x v="0"/>
    <n v="14.1"/>
  </r>
  <r>
    <s v="U90328"/>
    <n v="21"/>
    <s v="Male"/>
    <s v="India"/>
    <x v="1"/>
    <s v="Bachelor's"/>
    <s v="Data Science Student"/>
    <n v="115"/>
    <s v="Chat GPT"/>
    <x v="1"/>
    <n v="6.8"/>
    <n v="0"/>
    <x v="19"/>
    <n v="2"/>
    <n v="6"/>
    <n v="14.1"/>
    <n v="6.4"/>
    <n v="21"/>
    <s v="India"/>
    <s v="Data Science Student"/>
    <n v="115"/>
    <x v="0"/>
    <n v="14.1"/>
  </r>
  <r>
    <s v="U90505"/>
    <n v="25"/>
    <s v="Male"/>
    <s v="India"/>
    <x v="1"/>
    <s v="Master's"/>
    <s v="English Literature Student"/>
    <n v="117"/>
    <s v=" Google Gemini"/>
    <x v="5"/>
    <n v="1.5"/>
    <n v="20"/>
    <x v="43"/>
    <n v="3"/>
    <n v="6"/>
    <n v="3.7"/>
    <n v="3.9"/>
    <n v="25"/>
    <s v="India"/>
    <s v="English Literature Student"/>
    <n v="117"/>
    <x v="2"/>
    <n v="3.7"/>
  </r>
  <r>
    <s v="U0043"/>
    <n v="21"/>
    <s v="Male"/>
    <s v="United Kingdom"/>
    <x v="1"/>
    <s v="Undergraduate"/>
    <s v="Computer Science Student"/>
    <n v="118"/>
    <s v=" Google Gemini"/>
    <x v="0"/>
    <n v="0"/>
    <n v="0"/>
    <x v="46"/>
    <n v="2"/>
    <n v="6"/>
    <n v="12.4"/>
    <n v="6.3"/>
    <n v="21"/>
    <s v="United Kingdom"/>
    <s v="Computer Science Student"/>
    <n v="118"/>
    <x v="2"/>
    <n v="12.4"/>
  </r>
  <r>
    <s v="U0090"/>
    <n v="16"/>
    <s v="Female"/>
    <s v="United States"/>
    <x v="1"/>
    <s v="High School"/>
    <s v="Environmental Science Student"/>
    <n v="118"/>
    <s v="Meta AI"/>
    <x v="2"/>
    <n v="0.7"/>
    <n v="0"/>
    <x v="2"/>
    <n v="4"/>
    <n v="7"/>
    <n v="1"/>
    <n v="5.9"/>
    <n v="16"/>
    <s v="United States"/>
    <s v="Environmental Science Student"/>
    <n v="118"/>
    <x v="6"/>
    <n v="1"/>
  </r>
  <r>
    <s v="U90367"/>
    <n v="22"/>
    <s v="Male"/>
    <s v="Kenya"/>
    <x v="1"/>
    <s v="High School"/>
    <s v="Biology Student"/>
    <n v="120"/>
    <s v="Chat GPT"/>
    <x v="2"/>
    <n v="9.6"/>
    <n v="20"/>
    <x v="44"/>
    <n v="4"/>
    <n v="9"/>
    <n v="19.399999999999999"/>
    <n v="5.2"/>
    <n v="22"/>
    <s v="Kenya"/>
    <s v="Biology Student"/>
    <n v="120"/>
    <x v="0"/>
    <n v="19.399999999999999"/>
  </r>
  <r>
    <s v="U90575"/>
    <n v="16"/>
    <s v="Female"/>
    <s v="United States"/>
    <x v="1"/>
    <s v="High School"/>
    <s v="Environmental Science Student"/>
    <n v="121"/>
    <s v="Meta AI"/>
    <x v="2"/>
    <n v="0.7"/>
    <n v="0"/>
    <x v="2"/>
    <n v="4"/>
    <n v="7"/>
    <n v="1"/>
    <n v="5.9"/>
    <n v="16"/>
    <s v="United States"/>
    <s v="Environmental Science Student"/>
    <n v="121"/>
    <x v="6"/>
    <n v="1"/>
  </r>
  <r>
    <s v="U90270"/>
    <n v="19"/>
    <s v="Male"/>
    <s v="United Kingdom"/>
    <x v="1"/>
    <s v="Undergraduate"/>
    <s v="Computer Science Student"/>
    <n v="124"/>
    <s v=" Google Gemini"/>
    <x v="0"/>
    <n v="0"/>
    <n v="0"/>
    <x v="46"/>
    <n v="2"/>
    <n v="6"/>
    <n v="12.4"/>
    <n v="6.3"/>
    <n v="19"/>
    <s v="United Kingdom"/>
    <s v="Computer Science Student"/>
    <n v="124"/>
    <x v="2"/>
    <n v="12.4"/>
  </r>
  <r>
    <s v="U0157"/>
    <n v="20"/>
    <s v="Male"/>
    <s v="India"/>
    <x v="1"/>
    <s v="Undergraduate"/>
    <s v="Mechanical Engineering Student"/>
    <n v="126"/>
    <s v="Chat GPT"/>
    <x v="2"/>
    <n v="0.9"/>
    <n v="0"/>
    <x v="9"/>
    <n v="4"/>
    <n v="4"/>
    <n v="1.8"/>
    <n v="6.3"/>
    <n v="20"/>
    <s v="India"/>
    <s v="Mechanical Engineering Student"/>
    <n v="126"/>
    <x v="0"/>
    <n v="1.8"/>
  </r>
  <r>
    <s v="U90570"/>
    <n v="22"/>
    <s v="Female"/>
    <s v="Nigeria"/>
    <x v="1"/>
    <s v="Master's"/>
    <s v="Biomedical Engineering Student"/>
    <n v="127"/>
    <s v="claude"/>
    <x v="2"/>
    <n v="1.6"/>
    <n v="30"/>
    <x v="2"/>
    <n v="4"/>
    <n v="6"/>
    <n v="3.5"/>
    <n v="0"/>
    <n v="22"/>
    <s v="Nigeria"/>
    <s v="Biomedical Engineering Student"/>
    <n v="127"/>
    <x v="5"/>
    <n v="3.5"/>
  </r>
  <r>
    <s v="U90612"/>
    <n v="23"/>
    <s v="Male"/>
    <s v="United Kingdom"/>
    <x v="1"/>
    <s v="Undergraduate"/>
    <s v="Computer Science Student"/>
    <n v="127"/>
    <s v=" Google Gemini"/>
    <x v="0"/>
    <n v="0"/>
    <n v="0"/>
    <x v="46"/>
    <n v="2"/>
    <n v="6"/>
    <n v="12.4"/>
    <n v="6.3"/>
    <n v="23"/>
    <s v="United Kingdom"/>
    <s v="Computer Science Student"/>
    <n v="127"/>
    <x v="2"/>
    <n v="12.4"/>
  </r>
  <r>
    <s v="U90655"/>
    <n v="18"/>
    <s v="Male"/>
    <s v="Philippines"/>
    <x v="1"/>
    <s v="Undergraduate"/>
    <s v="Digital Media Production Student"/>
    <n v="127"/>
    <s v="claude"/>
    <x v="4"/>
    <n v="1.6"/>
    <n v="30"/>
    <x v="24"/>
    <n v="4"/>
    <n v="6"/>
    <n v="3.8"/>
    <n v="3.8"/>
    <n v="18"/>
    <s v="Philippines"/>
    <s v="Digital Media Production Student"/>
    <n v="127"/>
    <x v="5"/>
    <n v="3.8"/>
  </r>
  <r>
    <s v="U90031"/>
    <m/>
    <s v="Female"/>
    <s v="Australia"/>
    <x v="1"/>
    <s v="Undergraduate"/>
    <s v="Biomedical Science Student"/>
    <n v="128"/>
    <s v="Chat GPT"/>
    <x v="1"/>
    <n v="1.2"/>
    <n v="0"/>
    <x v="45"/>
    <n v="4"/>
    <n v="7"/>
    <n v="5.3"/>
    <n v="7.1"/>
    <n v="30.023333333333333"/>
    <s v="Australia"/>
    <s v="Biomedical Science Student"/>
    <n v="128"/>
    <x v="0"/>
    <n v="5.3"/>
  </r>
  <r>
    <s v="U90213"/>
    <n v="21"/>
    <s v="Male"/>
    <s v="United States"/>
    <x v="1"/>
    <s v="Bachelor's"/>
    <s v="Business Administration Student"/>
    <n v="128"/>
    <s v="claude"/>
    <x v="1"/>
    <n v="3.9"/>
    <n v="0"/>
    <x v="20"/>
    <n v="4"/>
    <n v="7"/>
    <n v="9.8000000000000007"/>
    <n v="5.0999999999999996"/>
    <n v="21"/>
    <s v="United States"/>
    <s v="Business Administration Student"/>
    <n v="128"/>
    <x v="5"/>
    <n v="9.8000000000000007"/>
  </r>
  <r>
    <s v="U90429"/>
    <n v="21"/>
    <s v="Male"/>
    <s v="United States"/>
    <x v="1"/>
    <s v="Bachelor's"/>
    <s v="Business Administration Student"/>
    <n v="128"/>
    <s v="claude"/>
    <x v="1"/>
    <n v="3.9"/>
    <n v="0"/>
    <x v="20"/>
    <n v="4"/>
    <n v="7"/>
    <n v="9.8000000000000007"/>
    <n v="5.0999999999999996"/>
    <n v="21"/>
    <s v="United States"/>
    <s v="Business Administration Student"/>
    <n v="128"/>
    <x v="5"/>
    <n v="9.8000000000000007"/>
  </r>
  <r>
    <s v="U90273"/>
    <n v="16"/>
    <s v="Male"/>
    <s v="Philippines"/>
    <x v="1"/>
    <s v="Undergraduate"/>
    <s v="Digital Media Production Student"/>
    <n v="128"/>
    <s v="claude"/>
    <x v="4"/>
    <n v="1.6"/>
    <n v="30"/>
    <x v="24"/>
    <n v="4"/>
    <n v="6"/>
    <n v="3.8"/>
    <n v="3.8"/>
    <n v="16"/>
    <s v="Philippines"/>
    <s v="Digital Media Production Student"/>
    <n v="128"/>
    <x v="5"/>
    <n v="3.8"/>
  </r>
  <r>
    <s v="U0076"/>
    <n v="17"/>
    <s v="Female"/>
    <s v="Philippines"/>
    <x v="1"/>
    <s v="Master's"/>
    <s v="Creative Writing Student"/>
    <n v="130"/>
    <s v="claude"/>
    <x v="1"/>
    <n v="2.4"/>
    <n v="20"/>
    <x v="10"/>
    <n v="4"/>
    <n v="8"/>
    <n v="4.7"/>
    <n v="3.2"/>
    <n v="17"/>
    <s v="Philippines"/>
    <s v="Creative Writing Student"/>
    <n v="130"/>
    <x v="5"/>
    <n v="4.7"/>
  </r>
  <r>
    <s v="U90077"/>
    <n v="23"/>
    <s v="Male"/>
    <s v="Kenya"/>
    <x v="1"/>
    <s v="Master's"/>
    <s v="Data Science Student"/>
    <n v="130"/>
    <s v="Microsoft Copilot"/>
    <x v="6"/>
    <n v="1.4"/>
    <n v="25"/>
    <x v="7"/>
    <n v="3"/>
    <n v="6"/>
    <n v="2.2999999999999998"/>
    <n v="0"/>
    <n v="23"/>
    <s v="Kenya"/>
    <s v="Data Science Student"/>
    <n v="130"/>
    <x v="1"/>
    <n v="2.2999999999999998"/>
  </r>
  <r>
    <s v="U90029"/>
    <n v="18"/>
    <s v="Male"/>
    <s v="United States"/>
    <x v="1"/>
    <s v="Bachelor's"/>
    <s v="Business Administration Student"/>
    <n v="132"/>
    <s v="claude"/>
    <x v="1"/>
    <n v="3.9"/>
    <n v="0"/>
    <x v="20"/>
    <n v="4"/>
    <n v="7"/>
    <n v="9.8000000000000007"/>
    <n v="5.0999999999999996"/>
    <n v="18"/>
    <s v="United States"/>
    <s v="Business Administration Student"/>
    <n v="132"/>
    <x v="5"/>
    <n v="9.8000000000000007"/>
  </r>
  <r>
    <s v="U90365"/>
    <n v="22"/>
    <s v="Male"/>
    <s v="Kenya"/>
    <x v="1"/>
    <s v="Master's"/>
    <s v="Data Science Student"/>
    <n v="132"/>
    <s v="Microsoft Copilot"/>
    <x v="6"/>
    <n v="1.4"/>
    <n v="25"/>
    <x v="7"/>
    <n v="3"/>
    <n v="6"/>
    <n v="2.2999999999999998"/>
    <n v="0"/>
    <n v="22"/>
    <s v="Kenya"/>
    <s v="Data Science Student"/>
    <n v="132"/>
    <x v="1"/>
    <n v="2.2999999999999998"/>
  </r>
  <r>
    <s v="U0207"/>
    <n v="16"/>
    <s v="Male"/>
    <s v="Philippines"/>
    <x v="1"/>
    <s v="Undergraduate"/>
    <s v="Digital Media Production Student"/>
    <n v="132"/>
    <s v="claude"/>
    <x v="4"/>
    <n v="1.6"/>
    <n v="30"/>
    <x v="24"/>
    <n v="4"/>
    <n v="6"/>
    <n v="3.8"/>
    <n v="3.8"/>
    <n v="16"/>
    <s v="Philippines"/>
    <s v="Digital Media Production Student"/>
    <n v="132"/>
    <x v="5"/>
    <n v="3.8"/>
  </r>
  <r>
    <s v="U0166"/>
    <m/>
    <s v="Female"/>
    <s v="Australia"/>
    <x v="1"/>
    <s v="Undergraduate"/>
    <s v="Biomedical Science Student"/>
    <n v="133"/>
    <s v="Chat GPT"/>
    <x v="1"/>
    <n v="1.2"/>
    <n v="0"/>
    <x v="45"/>
    <n v="4"/>
    <n v="7"/>
    <n v="5.3"/>
    <n v="7.1"/>
    <n v="30.023333333333333"/>
    <s v="Australia"/>
    <s v="Biomedical Science Student"/>
    <n v="133"/>
    <x v="0"/>
    <n v="5.3"/>
  </r>
  <r>
    <s v="U90317"/>
    <n v="17"/>
    <s v="Male"/>
    <s v="United States"/>
    <x v="1"/>
    <s v="Bachelor's"/>
    <s v="Business Administration Student"/>
    <n v="134"/>
    <s v="claude"/>
    <x v="1"/>
    <n v="3.9"/>
    <n v="0"/>
    <x v="20"/>
    <n v="4"/>
    <n v="7"/>
    <n v="9.8000000000000007"/>
    <n v="5.0999999999999996"/>
    <n v="17"/>
    <s v="United States"/>
    <s v="Business Administration Student"/>
    <n v="134"/>
    <x v="5"/>
    <n v="9.8000000000000007"/>
  </r>
  <r>
    <s v="U90600"/>
    <n v="29"/>
    <s v="Male"/>
    <s v="India"/>
    <x v="1"/>
    <s v="Undergraduate"/>
    <s v="Electronics Engineering Student"/>
    <n v="134"/>
    <s v="Chat GPT"/>
    <x v="1"/>
    <n v="0.9"/>
    <n v="25"/>
    <x v="8"/>
    <n v="4"/>
    <n v="6"/>
    <n v="0"/>
    <n v="6.4"/>
    <n v="29"/>
    <s v="India"/>
    <s v="Electronics Engineering Student"/>
    <n v="134"/>
    <x v="0"/>
    <n v="0"/>
  </r>
  <r>
    <s v="U0007"/>
    <n v="24"/>
    <s v="Male"/>
    <s v="Germany"/>
    <x v="1"/>
    <s v="Master's"/>
    <s v="Machine Learning Research Student"/>
    <n v="134"/>
    <s v="claude"/>
    <x v="2"/>
    <n v="3.6"/>
    <n v="20"/>
    <x v="7"/>
    <n v="2"/>
    <n v="6"/>
    <n v="5.2"/>
    <n v="6.5"/>
    <n v="24"/>
    <s v="Germany"/>
    <s v="Machine Learning Research Student"/>
    <n v="134"/>
    <x v="5"/>
    <n v="5.2"/>
  </r>
  <r>
    <s v="U0133"/>
    <n v="20"/>
    <s v="Female"/>
    <s v="Nigeria"/>
    <x v="1"/>
    <s v="Master's"/>
    <s v="Biomedical Engineering Student"/>
    <n v="135"/>
    <s v="claude"/>
    <x v="2"/>
    <n v="1.6"/>
    <n v="30"/>
    <x v="2"/>
    <n v="4"/>
    <n v="6"/>
    <n v="3.5"/>
    <n v="0"/>
    <n v="20"/>
    <s v="Nigeria"/>
    <s v="Biomedical Engineering Student"/>
    <n v="135"/>
    <x v="5"/>
    <n v="3.5"/>
  </r>
  <r>
    <s v="U90268"/>
    <n v="21"/>
    <s v="Female"/>
    <s v="Nigeria"/>
    <x v="1"/>
    <s v="Master's"/>
    <s v="Biomedical Engineering Student"/>
    <n v="135"/>
    <s v="claude"/>
    <x v="2"/>
    <n v="1.6"/>
    <n v="30"/>
    <x v="2"/>
    <n v="4"/>
    <n v="6"/>
    <n v="3.5"/>
    <n v="0"/>
    <n v="21"/>
    <s v="Nigeria"/>
    <s v="Biomedical Engineering Student"/>
    <n v="135"/>
    <x v="5"/>
    <n v="3.5"/>
  </r>
  <r>
    <s v="U0105"/>
    <n v="19"/>
    <s v="Male"/>
    <s v="United States"/>
    <x v="1"/>
    <s v="Bachelor's"/>
    <s v="Business Administration Student"/>
    <n v="135"/>
    <s v="claude"/>
    <x v="1"/>
    <n v="3.9"/>
    <n v="0"/>
    <x v="20"/>
    <n v="4"/>
    <n v="7"/>
    <n v="9.8000000000000007"/>
    <n v="5.0999999999999996"/>
    <n v="19"/>
    <s v="United States"/>
    <s v="Business Administration Student"/>
    <n v="135"/>
    <x v="5"/>
    <n v="9.8000000000000007"/>
  </r>
  <r>
    <s v="U90169"/>
    <n v="22"/>
    <s v="Male"/>
    <s v="United Kingdom"/>
    <x v="1"/>
    <s v="Undergraduate"/>
    <s v="Computer Science Student"/>
    <n v="135"/>
    <s v=" Google Gemini"/>
    <x v="0"/>
    <n v="0"/>
    <n v="0"/>
    <x v="46"/>
    <n v="2"/>
    <n v="6"/>
    <n v="12.4"/>
    <n v="6.3"/>
    <n v="22"/>
    <s v="United Kingdom"/>
    <s v="Computer Science Student"/>
    <n v="135"/>
    <x v="2"/>
    <n v="12.4"/>
  </r>
  <r>
    <s v="U90425"/>
    <m/>
    <s v="Female"/>
    <s v="Australia"/>
    <x v="1"/>
    <s v="Undergraduate"/>
    <s v="Biomedical Science Student"/>
    <n v="136"/>
    <s v="Chat GPT"/>
    <x v="1"/>
    <n v="1.2"/>
    <n v="0"/>
    <x v="45"/>
    <n v="4"/>
    <n v="7"/>
    <n v="5.3"/>
    <n v="7.1"/>
    <n v="30.023333333333333"/>
    <s v="Australia"/>
    <s v="Biomedical Science Student"/>
    <n v="136"/>
    <x v="0"/>
    <n v="5.3"/>
  </r>
  <r>
    <s v="U0216"/>
    <n v="23"/>
    <s v="Male"/>
    <s v="France"/>
    <x v="1"/>
    <s v="Undergraduate"/>
    <s v="Computer Science Student"/>
    <n v="137"/>
    <s v="Unknown"/>
    <x v="0"/>
    <n v="1.8"/>
    <n v="10"/>
    <x v="47"/>
    <n v="4"/>
    <n v="5"/>
    <n v="4.0999999999999996"/>
    <n v="5.9"/>
    <n v="23"/>
    <s v="France"/>
    <s v="Computer Science Student"/>
    <n v="137"/>
    <x v="7"/>
    <n v="4.0999999999999996"/>
  </r>
  <r>
    <s v="U0250"/>
    <n v="23"/>
    <s v="Male"/>
    <s v="Kenya"/>
    <x v="1"/>
    <s v="Master's"/>
    <s v="Data Science Student"/>
    <n v="137"/>
    <s v="Microsoft Copilot"/>
    <x v="6"/>
    <n v="1.4"/>
    <n v="25"/>
    <x v="7"/>
    <n v="3"/>
    <n v="6"/>
    <n v="2.2999999999999998"/>
    <n v="0"/>
    <n v="23"/>
    <s v="Kenya"/>
    <s v="Data Science Student"/>
    <n v="137"/>
    <x v="1"/>
    <n v="2.2999999999999998"/>
  </r>
  <r>
    <s v="U90075"/>
    <m/>
    <s v="Female"/>
    <s v="Australia"/>
    <x v="1"/>
    <s v="Undergraduate"/>
    <s v="Biomedical Science Student"/>
    <n v="140"/>
    <s v="Chat GPT"/>
    <x v="1"/>
    <n v="1.2"/>
    <n v="0"/>
    <x v="45"/>
    <n v="4"/>
    <n v="7"/>
    <n v="5.3"/>
    <n v="7.1"/>
    <n v="30.023333333333333"/>
    <s v="Australia"/>
    <s v="Biomedical Science Student"/>
    <n v="140"/>
    <x v="0"/>
    <n v="5.3"/>
  </r>
  <r>
    <s v="U90568"/>
    <n v="32"/>
    <s v="Male"/>
    <s v="India"/>
    <x v="1"/>
    <s v="Undergraduate"/>
    <s v="Electronics Engineering Student"/>
    <n v="140"/>
    <s v="Chat GPT"/>
    <x v="1"/>
    <n v="0.9"/>
    <n v="25"/>
    <x v="8"/>
    <n v="4"/>
    <n v="6"/>
    <n v="0"/>
    <n v="6.4"/>
    <n v="32"/>
    <s v="India"/>
    <s v="Electronics Engineering Student"/>
    <n v="140"/>
    <x v="0"/>
    <n v="0"/>
  </r>
  <r>
    <s v="U90111"/>
    <m/>
    <s v="Female"/>
    <s v="Australia"/>
    <x v="1"/>
    <s v="Undergraduate"/>
    <s v="Biomedical Science Student"/>
    <n v="143"/>
    <s v="Chat GPT"/>
    <x v="1"/>
    <n v="1.2"/>
    <n v="0"/>
    <x v="45"/>
    <n v="4"/>
    <n v="7"/>
    <n v="5.3"/>
    <n v="7.1"/>
    <n v="30.023333333333333"/>
    <s v="Australia"/>
    <s v="Biomedical Science Student"/>
    <n v="143"/>
    <x v="0"/>
    <n v="5.3"/>
  </r>
  <r>
    <s v="U90156"/>
    <n v="20"/>
    <s v="Female"/>
    <s v="India"/>
    <x v="1"/>
    <s v="Master's"/>
    <s v="English Literature Student"/>
    <n v="145"/>
    <s v="Chat GPT"/>
    <x v="5"/>
    <n v="8.6"/>
    <n v="0"/>
    <x v="46"/>
    <n v="4"/>
    <n v="6"/>
    <n v="17.7"/>
    <n v="5.5"/>
    <n v="20"/>
    <s v="India"/>
    <s v="English Literature Student"/>
    <n v="145"/>
    <x v="0"/>
    <n v="17.7"/>
  </r>
  <r>
    <s v="U90295"/>
    <m/>
    <s v="Female"/>
    <s v="Australia"/>
    <x v="1"/>
    <s v="Undergraduate"/>
    <s v="Biomedical Science Student"/>
    <n v="147"/>
    <s v="Chat GPT"/>
    <x v="1"/>
    <n v="1.2"/>
    <n v="0"/>
    <x v="45"/>
    <n v="4"/>
    <n v="7"/>
    <n v="5.3"/>
    <n v="7.1"/>
    <n v="30.023333333333333"/>
    <s v="Australia"/>
    <s v="Biomedical Science Student"/>
    <n v="147"/>
    <x v="0"/>
    <n v="5.3"/>
  </r>
  <r>
    <s v="U90360"/>
    <n v="23"/>
    <s v="Male"/>
    <s v="France"/>
    <x v="1"/>
    <s v="Undergraduate"/>
    <s v="Computer Science Student"/>
    <n v="149"/>
    <s v="Unknown"/>
    <x v="0"/>
    <n v="1.8"/>
    <n v="10"/>
    <x v="47"/>
    <n v="4"/>
    <n v="5"/>
    <n v="4.0999999999999996"/>
    <n v="5.9"/>
    <n v="23"/>
    <s v="France"/>
    <s v="Computer Science Student"/>
    <n v="149"/>
    <x v="7"/>
    <n v="4.0999999999999996"/>
  </r>
  <r>
    <s v="U90452"/>
    <n v="22"/>
    <s v="Male"/>
    <s v="France"/>
    <x v="1"/>
    <s v="Undergraduate"/>
    <s v="Computer Science Student"/>
    <n v="151"/>
    <s v="Unknown"/>
    <x v="0"/>
    <n v="1.8"/>
    <n v="10"/>
    <x v="47"/>
    <n v="4"/>
    <n v="5"/>
    <n v="4.0999999999999996"/>
    <n v="5.9"/>
    <n v="22"/>
    <s v="France"/>
    <s v="Computer Science Student"/>
    <n v="151"/>
    <x v="7"/>
    <n v="4.0999999999999996"/>
  </r>
  <r>
    <s v="U90254"/>
    <n v="30"/>
    <s v="Male"/>
    <s v="India"/>
    <x v="1"/>
    <s v="Undergraduate"/>
    <s v="Electronics Engineering Student"/>
    <n v="152"/>
    <s v="Chat GPT"/>
    <x v="1"/>
    <n v="0.9"/>
    <n v="25"/>
    <x v="8"/>
    <n v="4"/>
    <n v="6"/>
    <n v="0"/>
    <n v="6.4"/>
    <n v="30"/>
    <s v="India"/>
    <s v="Electronics Engineering Student"/>
    <n v="152"/>
    <x v="0"/>
    <n v="0"/>
  </r>
  <r>
    <s v="U0197"/>
    <n v="32"/>
    <s v="Female"/>
    <s v="Brazil"/>
    <x v="1"/>
    <s v="High School"/>
    <s v="English Literature Student"/>
    <n v="152"/>
    <s v="Microsoft Copilot"/>
    <x v="5"/>
    <n v="0.5"/>
    <n v="10"/>
    <x v="48"/>
    <n v="5"/>
    <n v="7"/>
    <n v="3.1"/>
    <n v="5.9"/>
    <n v="32"/>
    <s v="Brazil"/>
    <s v="English Literature Student"/>
    <n v="152"/>
    <x v="1"/>
    <n v="3.1"/>
  </r>
  <r>
    <s v="U90611"/>
    <n v="20"/>
    <s v="Female"/>
    <s v="Nigeria"/>
    <x v="1"/>
    <s v="Master's"/>
    <s v="Biomedical Engineering Student"/>
    <n v="154"/>
    <s v="claude"/>
    <x v="2"/>
    <n v="1.6"/>
    <n v="30"/>
    <x v="2"/>
    <n v="4"/>
    <n v="6"/>
    <n v="3.5"/>
    <n v="0"/>
    <n v="20"/>
    <s v="Nigeria"/>
    <s v="Biomedical Engineering Student"/>
    <n v="154"/>
    <x v="5"/>
    <n v="3.5"/>
  </r>
  <r>
    <s v="U0120"/>
    <n v="31"/>
    <s v="Male"/>
    <s v="India"/>
    <x v="1"/>
    <s v="Undergraduate"/>
    <s v="Electronics Engineering Student"/>
    <n v="157"/>
    <s v="Chat GPT"/>
    <x v="1"/>
    <n v="0.9"/>
    <n v="25"/>
    <x v="8"/>
    <n v="4"/>
    <n v="6"/>
    <n v="0"/>
    <n v="6.4"/>
    <n v="31"/>
    <s v="India"/>
    <s v="Electronics Engineering Student"/>
    <n v="157"/>
    <x v="0"/>
    <n v="0"/>
  </r>
  <r>
    <s v="U0080"/>
    <n v="22"/>
    <s v="Male"/>
    <s v="UNKNOWN"/>
    <x v="1"/>
    <s v="High School"/>
    <s v="Computer Science Student"/>
    <n v="158"/>
    <s v="Chat GPT"/>
    <x v="0"/>
    <n v="1.6"/>
    <n v="10"/>
    <x v="49"/>
    <n v="4"/>
    <n v="6"/>
    <n v="5.9"/>
    <n v="8.4"/>
    <n v="22"/>
    <s v="Unknown"/>
    <s v="Computer Science Student"/>
    <n v="158"/>
    <x v="0"/>
    <n v="5.9"/>
  </r>
  <r>
    <s v="U90530"/>
    <m/>
    <s v="Female"/>
    <s v="Philippines"/>
    <x v="1"/>
    <s v="Bachelor's"/>
    <s v="UNKNOWN"/>
    <n v="162"/>
    <s v="Chat GPT"/>
    <x v="2"/>
    <n v="7.7"/>
    <n v="0"/>
    <x v="50"/>
    <n v="5"/>
    <n v="10"/>
    <n v="13.6"/>
    <n v="6.8"/>
    <n v="30.023333333333333"/>
    <s v="Philippines"/>
    <s v="UNKNOWN"/>
    <n v="162"/>
    <x v="0"/>
    <n v="13.6"/>
  </r>
  <r>
    <s v="U90663"/>
    <n v="22"/>
    <s v="Male"/>
    <s v="India"/>
    <x v="1"/>
    <s v="High School"/>
    <s v="Engineering Student"/>
    <n v="164"/>
    <s v="Unknown"/>
    <x v="1"/>
    <n v="5.4"/>
    <n v="0"/>
    <x v="14"/>
    <n v="4"/>
    <n v="9"/>
    <n v="6.8"/>
    <n v="6.9"/>
    <n v="22"/>
    <s v="India"/>
    <s v="Engineering Student"/>
    <n v="164"/>
    <x v="7"/>
    <n v="6.8"/>
  </r>
  <r>
    <s v="U90355"/>
    <n v="30"/>
    <s v="Female"/>
    <s v="Brazil"/>
    <x v="1"/>
    <s v="High School"/>
    <s v="Software Development Student"/>
    <n v="164"/>
    <s v="claude"/>
    <x v="0"/>
    <n v="1.9"/>
    <n v="0"/>
    <x v="10"/>
    <n v="4"/>
    <n v="7"/>
    <n v="4.8"/>
    <n v="5.0999999999999996"/>
    <n v="30"/>
    <s v="Brazil"/>
    <s v="Software Development Student"/>
    <n v="164"/>
    <x v="5"/>
    <n v="4.8"/>
  </r>
  <r>
    <s v="U90120"/>
    <m/>
    <s v="Female"/>
    <s v="Philippines"/>
    <x v="1"/>
    <s v="Bachelor's"/>
    <s v="UNKNOWN"/>
    <n v="164"/>
    <s v="Chat GPT"/>
    <x v="2"/>
    <n v="7.7"/>
    <n v="0"/>
    <x v="50"/>
    <n v="5"/>
    <n v="10"/>
    <n v="13.6"/>
    <n v="6.8"/>
    <n v="30.023333333333333"/>
    <s v="Philippines"/>
    <s v="UNKNOWN"/>
    <n v="164"/>
    <x v="0"/>
    <n v="13.6"/>
  </r>
  <r>
    <s v="U0281"/>
    <n v="22"/>
    <s v="Female"/>
    <s v="India"/>
    <x v="1"/>
    <s v="Master's"/>
    <s v="English Literature Student"/>
    <n v="167"/>
    <s v="Chat GPT"/>
    <x v="5"/>
    <n v="8.6"/>
    <n v="0"/>
    <x v="46"/>
    <n v="4"/>
    <n v="6"/>
    <n v="17.7"/>
    <n v="5.5"/>
    <n v="22"/>
    <s v="India"/>
    <s v="English Literature Student"/>
    <n v="167"/>
    <x v="0"/>
    <n v="17.7"/>
  </r>
  <r>
    <s v="U0014"/>
    <n v="23"/>
    <s v="Male"/>
    <s v="India"/>
    <x v="1"/>
    <s v="High School"/>
    <s v="Engineering Student"/>
    <n v="169"/>
    <s v="Unknown"/>
    <x v="1"/>
    <n v="5.4"/>
    <n v="0"/>
    <x v="14"/>
    <n v="4"/>
    <n v="9"/>
    <n v="6.8"/>
    <n v="6.9"/>
    <n v="23"/>
    <s v="India"/>
    <s v="Engineering Student"/>
    <n v="169"/>
    <x v="7"/>
    <n v="6.8"/>
  </r>
  <r>
    <s v="U90332"/>
    <m/>
    <s v="Female"/>
    <s v="Philippines"/>
    <x v="1"/>
    <s v="Bachelor's"/>
    <s v="UNKNOWN"/>
    <n v="173"/>
    <s v="Chat GPT"/>
    <x v="2"/>
    <n v="7.7"/>
    <n v="0"/>
    <x v="50"/>
    <n v="5"/>
    <n v="10"/>
    <n v="13.6"/>
    <n v="6.8"/>
    <n v="30.023333333333333"/>
    <s v="Philippines"/>
    <s v="UNKNOWN"/>
    <n v="173"/>
    <x v="0"/>
    <n v="13.6"/>
  </r>
  <r>
    <s v="U90679"/>
    <n v="23"/>
    <s v="Male"/>
    <s v="India"/>
    <x v="1"/>
    <s v="High School"/>
    <s v="Engineering Student"/>
    <n v="175"/>
    <s v="Unknown"/>
    <x v="1"/>
    <n v="5.4"/>
    <n v="0"/>
    <x v="14"/>
    <n v="4"/>
    <n v="9"/>
    <n v="6.8"/>
    <n v="6.9"/>
    <n v="23"/>
    <s v="India"/>
    <s v="Engineering Student"/>
    <n v="175"/>
    <x v="7"/>
    <n v="6.8"/>
  </r>
  <r>
    <s v="U90397"/>
    <n v="24"/>
    <s v="Male"/>
    <s v="India"/>
    <x v="1"/>
    <s v="High School"/>
    <s v="Engineering Student"/>
    <n v="179"/>
    <s v="Unknown"/>
    <x v="1"/>
    <n v="5.4"/>
    <n v="0"/>
    <x v="14"/>
    <n v="4"/>
    <n v="9"/>
    <n v="6.8"/>
    <n v="6.9"/>
    <n v="24"/>
    <s v="India"/>
    <s v="Engineering Student"/>
    <n v="179"/>
    <x v="7"/>
    <n v="6.8"/>
  </r>
  <r>
    <s v="U90664"/>
    <n v="19"/>
    <s v="Male"/>
    <s v="Philippines"/>
    <x v="1"/>
    <s v="Undergraduate"/>
    <s v="English Literature Student"/>
    <n v="181"/>
    <s v="Chat GPT"/>
    <x v="5"/>
    <n v="3.8"/>
    <n v="0"/>
    <x v="15"/>
    <n v="4"/>
    <n v="9"/>
    <n v="7"/>
    <n v="7.6"/>
    <n v="19"/>
    <s v="Philippines"/>
    <s v="English Literature Student"/>
    <n v="181"/>
    <x v="0"/>
    <n v="7"/>
  </r>
  <r>
    <s v="U90092"/>
    <n v="22"/>
    <s v="Male"/>
    <s v="United Kingdom"/>
    <x v="1"/>
    <s v="Master's"/>
    <s v="Artificial Intelligence and Machine Learning Student"/>
    <n v="182"/>
    <s v="Google Gemini"/>
    <x v="0"/>
    <n v="9.1"/>
    <n v="30"/>
    <x v="15"/>
    <n v="3"/>
    <n v="8"/>
    <n v="14.9"/>
    <n v="5.4"/>
    <n v="22"/>
    <s v="United Kingdom"/>
    <s v="Artificial Intelligence and Machine Learning Student"/>
    <n v="182"/>
    <x v="2"/>
    <n v="14.9"/>
  </r>
  <r>
    <s v="U90346"/>
    <n v="22"/>
    <s v="Female"/>
    <s v="India"/>
    <x v="1"/>
    <s v="Undergraduate"/>
    <s v="Biomedical Engineering Student"/>
    <n v="187"/>
    <s v="Grammarly"/>
    <x v="1"/>
    <n v="1.4"/>
    <n v="0"/>
    <x v="10"/>
    <n v="4"/>
    <n v="6"/>
    <n v="3.6"/>
    <n v="6.1"/>
    <n v="22"/>
    <s v="India"/>
    <s v="Biomedical Engineering Student"/>
    <n v="187"/>
    <x v="3"/>
    <n v="3.6"/>
  </r>
  <r>
    <s v="U90303"/>
    <n v="29"/>
    <s v="Female"/>
    <s v="Brazil"/>
    <x v="1"/>
    <s v="High School"/>
    <s v="Software Development Student"/>
    <n v="187"/>
    <s v="claude"/>
    <x v="0"/>
    <n v="1.9"/>
    <n v="0"/>
    <x v="10"/>
    <n v="4"/>
    <n v="7"/>
    <n v="4.8"/>
    <n v="5.0999999999999996"/>
    <n v="29"/>
    <s v="Brazil"/>
    <s v="Software Development Student"/>
    <n v="187"/>
    <x v="5"/>
    <n v="4.8"/>
  </r>
  <r>
    <s v="U90324"/>
    <n v="47"/>
    <s v="Male"/>
    <s v="Pakistan"/>
    <x v="0"/>
    <s v="Bachelor's"/>
    <s v="Digital Marketing Manager"/>
    <n v="189"/>
    <s v="Chat GPT"/>
    <x v="4"/>
    <n v="1.8"/>
    <n v="10"/>
    <x v="27"/>
    <n v="3"/>
    <n v="4"/>
    <n v="5.0999999999999996"/>
    <n v="9.5"/>
    <n v="47"/>
    <s v="Pakistan"/>
    <s v="Digital Marketing Manager"/>
    <n v="189"/>
    <x v="0"/>
    <n v="5.0999999999999996"/>
  </r>
  <r>
    <s v="U0060"/>
    <m/>
    <s v="Female"/>
    <s v="Philippines"/>
    <x v="1"/>
    <s v="Bachelor's"/>
    <s v="UNKNOWN"/>
    <n v="190"/>
    <s v="Chat GPT"/>
    <x v="2"/>
    <n v="7.7"/>
    <n v="0"/>
    <x v="50"/>
    <n v="5"/>
    <n v="10"/>
    <n v="13.6"/>
    <n v="6.8"/>
    <n v="30.023333333333333"/>
    <s v="Philippines"/>
    <s v="UNKNOWN"/>
    <n v="190"/>
    <x v="0"/>
    <n v="13.6"/>
  </r>
  <r>
    <s v="U0221"/>
    <n v="31"/>
    <s v="Female"/>
    <s v="Brazil"/>
    <x v="1"/>
    <s v="High School"/>
    <s v="Software Development Student"/>
    <n v="191"/>
    <s v="claude"/>
    <x v="0"/>
    <n v="1.9"/>
    <n v="0"/>
    <x v="10"/>
    <n v="4"/>
    <n v="7"/>
    <n v="4.8"/>
    <n v="5.0999999999999996"/>
    <n v="31"/>
    <s v="Brazil"/>
    <s v="Software Development Student"/>
    <n v="191"/>
    <x v="5"/>
    <n v="4.8"/>
  </r>
  <r>
    <s v="U0214"/>
    <n v="18"/>
    <s v="Male"/>
    <s v="Philippines"/>
    <x v="1"/>
    <s v="Undergraduate"/>
    <s v="English Literature Student"/>
    <n v="192"/>
    <s v="Chat GPT"/>
    <x v="5"/>
    <n v="3.8"/>
    <n v="0"/>
    <x v="15"/>
    <n v="4"/>
    <n v="9"/>
    <n v="7"/>
    <n v="7.6"/>
    <n v="18"/>
    <s v="Philippines"/>
    <s v="English Literature Student"/>
    <n v="192"/>
    <x v="0"/>
    <n v="7"/>
  </r>
  <r>
    <s v="U90025"/>
    <m/>
    <s v="Female"/>
    <s v="Philippines"/>
    <x v="1"/>
    <s v="Bachelor's"/>
    <s v="UNKNOWN"/>
    <n v="197"/>
    <s v="Chat GPT"/>
    <x v="2"/>
    <n v="7.7"/>
    <n v="0"/>
    <x v="50"/>
    <n v="5"/>
    <n v="10"/>
    <n v="13.6"/>
    <n v="6.8"/>
    <n v="30.023333333333333"/>
    <s v="Philippines"/>
    <s v="UNKNOWN"/>
    <n v="197"/>
    <x v="0"/>
    <n v="13.6"/>
  </r>
  <r>
    <s v="U90116"/>
    <n v="30"/>
    <s v="Male"/>
    <s v="Australia"/>
    <x v="1"/>
    <s v="Undergraduate"/>
    <s v="UNKNOWN"/>
    <n v="197"/>
    <s v="Meta AI"/>
    <x v="5"/>
    <n v="0.6"/>
    <n v="0"/>
    <x v="21"/>
    <n v="2"/>
    <n v="4"/>
    <n v="3.6"/>
    <n v="5.6"/>
    <n v="30"/>
    <s v="Australia"/>
    <s v="UNKNOWN"/>
    <n v="197"/>
    <x v="6"/>
    <n v="3.6"/>
  </r>
  <r>
    <s v="U0057"/>
    <n v="18"/>
    <s v="Male"/>
    <s v="Philippines"/>
    <x v="1"/>
    <s v="High School"/>
    <s v="English Literature Student"/>
    <n v="198"/>
    <s v="Perplexity AI"/>
    <x v="5"/>
    <n v="0"/>
    <n v="0"/>
    <x v="19"/>
    <n v="2"/>
    <n v="6"/>
    <n v="7.2"/>
    <n v="7.2"/>
    <n v="18"/>
    <s v="Philippines"/>
    <s v="English Literature Student"/>
    <n v="198"/>
    <x v="8"/>
    <n v="7.2"/>
  </r>
  <r>
    <s v="U0234"/>
    <m/>
    <s v="Female"/>
    <s v="Nigeria"/>
    <x v="1"/>
    <s v="Bachelor's"/>
    <s v="English Literature Student"/>
    <m/>
    <s v="Chat GPT"/>
    <x v="5"/>
    <n v="2.1"/>
    <n v="0"/>
    <x v="24"/>
    <n v="5"/>
    <n v="8"/>
    <m/>
    <n v="5.9"/>
    <n v="30.023333333333333"/>
    <s v="Nigeria"/>
    <s v="English Literature Student"/>
    <n v="198.28"/>
    <x v="0"/>
    <n v="9.2619469026548717"/>
  </r>
  <r>
    <s v="U0262"/>
    <n v="23"/>
    <s v="Male"/>
    <s v="India"/>
    <x v="1"/>
    <s v="Undergraduate"/>
    <s v="English Literature Student"/>
    <m/>
    <s v="Chat GPT"/>
    <x v="5"/>
    <n v="9.6999999999999993"/>
    <n v="0"/>
    <x v="51"/>
    <n v="4"/>
    <n v="8"/>
    <n v="17.2"/>
    <n v="4.0999999999999996"/>
    <n v="23"/>
    <s v="India"/>
    <s v="English Literature Student"/>
    <n v="198.28"/>
    <x v="0"/>
    <n v="17.2"/>
  </r>
  <r>
    <s v="U90049"/>
    <n v="21"/>
    <s v="Male"/>
    <s v="India"/>
    <x v="1"/>
    <s v="Undergraduate"/>
    <s v="English Literature Student"/>
    <m/>
    <s v="Chat GPT"/>
    <x v="5"/>
    <n v="9.6999999999999993"/>
    <n v="0"/>
    <x v="51"/>
    <n v="4"/>
    <n v="8"/>
    <n v="17.2"/>
    <n v="4.0999999999999996"/>
    <n v="21"/>
    <s v="India"/>
    <s v="English Literature Student"/>
    <n v="198.28"/>
    <x v="0"/>
    <n v="17.2"/>
  </r>
  <r>
    <s v="U90084"/>
    <m/>
    <s v="Female"/>
    <s v="Nigeria"/>
    <x v="1"/>
    <s v="Bachelor's"/>
    <s v="English Literature Student"/>
    <m/>
    <s v="Chat GPT"/>
    <x v="5"/>
    <n v="2.1"/>
    <n v="0"/>
    <x v="24"/>
    <n v="5"/>
    <n v="8"/>
    <m/>
    <n v="5.9"/>
    <n v="30.023333333333333"/>
    <s v="Nigeria"/>
    <s v="English Literature Student"/>
    <n v="198.28"/>
    <x v="0"/>
    <n v="9.2619469026548717"/>
  </r>
  <r>
    <s v="U90239"/>
    <n v="24"/>
    <s v="Male"/>
    <s v="India"/>
    <x v="1"/>
    <s v="Undergraduate"/>
    <s v="English Literature Student"/>
    <m/>
    <s v="Chat GPT"/>
    <x v="5"/>
    <n v="9.6999999999999993"/>
    <n v="0"/>
    <x v="51"/>
    <n v="4"/>
    <n v="8"/>
    <n v="17.2"/>
    <n v="4.0999999999999996"/>
    <n v="24"/>
    <s v="India"/>
    <s v="English Literature Student"/>
    <n v="198.28"/>
    <x v="0"/>
    <n v="17.2"/>
  </r>
  <r>
    <s v="U90293"/>
    <n v="25"/>
    <s v="Male"/>
    <s v="India"/>
    <x v="1"/>
    <s v="Undergraduate"/>
    <s v="English Literature Student"/>
    <m/>
    <s v="Chat GPT"/>
    <x v="5"/>
    <n v="9.6999999999999993"/>
    <n v="0"/>
    <x v="51"/>
    <n v="4"/>
    <n v="8"/>
    <n v="17.2"/>
    <n v="4.0999999999999996"/>
    <n v="25"/>
    <s v="India"/>
    <s v="English Literature Student"/>
    <n v="198.28"/>
    <x v="0"/>
    <n v="17.2"/>
  </r>
  <r>
    <s v="U90308"/>
    <m/>
    <s v="Female"/>
    <s v="Nigeria"/>
    <x v="1"/>
    <s v="Bachelor's"/>
    <s v="English Literature Student"/>
    <m/>
    <s v="Chat GPT"/>
    <x v="5"/>
    <n v="2.1"/>
    <n v="0"/>
    <x v="24"/>
    <n v="5"/>
    <n v="8"/>
    <m/>
    <n v="5.9"/>
    <n v="30.023333333333333"/>
    <s v="Nigeria"/>
    <s v="English Literature Student"/>
    <n v="198.28"/>
    <x v="0"/>
    <n v="9.2619469026548717"/>
  </r>
  <r>
    <s v="U90652"/>
    <m/>
    <s v="Female"/>
    <s v="Nigeria"/>
    <x v="1"/>
    <s v="Bachelor's"/>
    <s v="English Literature Student"/>
    <m/>
    <s v="Chat GPT"/>
    <x v="5"/>
    <n v="2.1"/>
    <n v="0"/>
    <x v="24"/>
    <n v="5"/>
    <n v="8"/>
    <m/>
    <n v="5.9"/>
    <n v="30.023333333333333"/>
    <s v="Nigeria"/>
    <s v="English Literature Student"/>
    <n v="198.28"/>
    <x v="0"/>
    <n v="9.2619469026548717"/>
  </r>
  <r>
    <s v="U90689"/>
    <m/>
    <s v="Female"/>
    <s v="Nigeria"/>
    <x v="1"/>
    <s v="Bachelor's"/>
    <s v="English Literature Student"/>
    <m/>
    <s v="Chat GPT"/>
    <x v="5"/>
    <n v="2.1"/>
    <n v="0"/>
    <x v="24"/>
    <n v="5"/>
    <n v="8"/>
    <m/>
    <n v="5.9"/>
    <n v="30.023333333333333"/>
    <s v="Nigeria"/>
    <s v="English Literature Student"/>
    <n v="198.28"/>
    <x v="0"/>
    <n v="9.2619469026548717"/>
  </r>
  <r>
    <s v="U90341"/>
    <n v="20"/>
    <s v="Male"/>
    <s v="India"/>
    <x v="1"/>
    <s v="High School"/>
    <s v="Computer Science Student"/>
    <n v="199"/>
    <s v=" Google Gemini"/>
    <x v="0"/>
    <n v="2.4"/>
    <n v="20"/>
    <x v="1"/>
    <n v="3"/>
    <n v="5"/>
    <n v="7.3"/>
    <n v="8.6"/>
    <n v="20"/>
    <s v="India"/>
    <s v="Computer Science Student"/>
    <n v="199"/>
    <x v="2"/>
    <n v="7.3"/>
  </r>
  <r>
    <s v="U90134"/>
    <n v="23"/>
    <s v="Female"/>
    <s v="India"/>
    <x v="1"/>
    <s v="Undergraduate"/>
    <s v="Biomedical Engineering Student"/>
    <n v="200"/>
    <s v="Grammarly"/>
    <x v="1"/>
    <n v="1.4"/>
    <n v="0"/>
    <x v="10"/>
    <n v="4"/>
    <n v="6"/>
    <n v="3.6"/>
    <n v="6.1"/>
    <n v="23"/>
    <s v="India"/>
    <s v="Biomedical Engineering Student"/>
    <n v="200"/>
    <x v="3"/>
    <n v="3.6"/>
  </r>
  <r>
    <s v="U90555"/>
    <n v="17"/>
    <s v="Male"/>
    <s v="Philippines"/>
    <x v="1"/>
    <s v="Undergraduate"/>
    <s v="English Literature Student"/>
    <n v="201"/>
    <s v="Chat GPT"/>
    <x v="5"/>
    <n v="3.8"/>
    <n v="0"/>
    <x v="15"/>
    <n v="4"/>
    <n v="9"/>
    <n v="7"/>
    <n v="7.6"/>
    <n v="17"/>
    <s v="Philippines"/>
    <s v="English Literature Student"/>
    <n v="201"/>
    <x v="0"/>
    <n v="7"/>
  </r>
  <r>
    <s v="U0158"/>
    <n v="31"/>
    <s v="Male"/>
    <s v="Australia"/>
    <x v="1"/>
    <s v="Undergraduate"/>
    <s v="UNKNOWN"/>
    <n v="204"/>
    <s v="Meta AI"/>
    <x v="5"/>
    <n v="0.6"/>
    <n v="0"/>
    <x v="21"/>
    <n v="2"/>
    <n v="4"/>
    <n v="3.6"/>
    <n v="5.6"/>
    <n v="31"/>
    <s v="Australia"/>
    <s v="UNKNOWN"/>
    <n v="204"/>
    <x v="6"/>
    <n v="3.6"/>
  </r>
  <r>
    <s v="U90165"/>
    <n v="16"/>
    <s v="Male"/>
    <s v="Philippines"/>
    <x v="1"/>
    <s v="High School"/>
    <s v="English Literature Student"/>
    <n v="205"/>
    <s v="Perplexity AI"/>
    <x v="5"/>
    <n v="0"/>
    <n v="0"/>
    <x v="19"/>
    <n v="2"/>
    <n v="6"/>
    <n v="7.2"/>
    <n v="7.2"/>
    <n v="16"/>
    <s v="Philippines"/>
    <s v="English Literature Student"/>
    <n v="205"/>
    <x v="8"/>
    <n v="7.2"/>
  </r>
  <r>
    <s v="U0219"/>
    <n v="21"/>
    <s v="Male"/>
    <s v="United Kingdom"/>
    <x v="1"/>
    <s v="Master's"/>
    <s v="Artificial Intelligence and Machine Learning Student"/>
    <n v="206"/>
    <s v="Google Gemini"/>
    <x v="0"/>
    <n v="9.1"/>
    <n v="30"/>
    <x v="15"/>
    <n v="3"/>
    <n v="8"/>
    <n v="14.9"/>
    <n v="5.4"/>
    <n v="21"/>
    <s v="United Kingdom"/>
    <s v="Artificial Intelligence and Machine Learning Student"/>
    <n v="206"/>
    <x v="2"/>
    <n v="14.9"/>
  </r>
  <r>
    <s v="U0054"/>
    <n v="20"/>
    <s v="Male"/>
    <s v="India"/>
    <x v="1"/>
    <s v="High School"/>
    <s v="Computer Science Student"/>
    <n v="206"/>
    <s v=" Google Gemini"/>
    <x v="0"/>
    <n v="2.4"/>
    <n v="20"/>
    <x v="1"/>
    <n v="3"/>
    <n v="5"/>
    <n v="7.3"/>
    <n v="8.6"/>
    <n v="20"/>
    <s v="India"/>
    <s v="Computer Science Student"/>
    <n v="206"/>
    <x v="2"/>
    <n v="7.3"/>
  </r>
  <r>
    <s v="U0016"/>
    <n v="23"/>
    <s v="Female"/>
    <s v="Canada"/>
    <x v="1"/>
    <s v="Undergraduate"/>
    <s v="Biology Student"/>
    <m/>
    <s v="Chat GPT"/>
    <x v="1"/>
    <n v="7.4"/>
    <n v="0"/>
    <x v="52"/>
    <n v="3"/>
    <n v="9"/>
    <n v="12.3"/>
    <n v="6.8"/>
    <n v="23"/>
    <s v="Canada"/>
    <s v="Biology Student"/>
    <n v="206.74358974358975"/>
    <x v="0"/>
    <n v="12.3"/>
  </r>
  <r>
    <s v="U90102"/>
    <n v="24"/>
    <s v="Female"/>
    <s v="Canada"/>
    <x v="1"/>
    <s v="Undergraduate"/>
    <s v="Biology Student"/>
    <m/>
    <s v="Chat GPT"/>
    <x v="1"/>
    <n v="7.4"/>
    <n v="0"/>
    <x v="52"/>
    <n v="3"/>
    <n v="9"/>
    <n v="12.3"/>
    <n v="6.8"/>
    <n v="24"/>
    <s v="Canada"/>
    <s v="Biology Student"/>
    <n v="206.74358974358975"/>
    <x v="0"/>
    <n v="12.3"/>
  </r>
  <r>
    <s v="U90559"/>
    <n v="21"/>
    <s v="Female"/>
    <s v="Canada"/>
    <x v="1"/>
    <s v="Undergraduate"/>
    <s v="Biology Student"/>
    <m/>
    <s v="Chat GPT"/>
    <x v="1"/>
    <n v="7.4"/>
    <n v="0"/>
    <x v="52"/>
    <n v="3"/>
    <n v="9"/>
    <n v="12.3"/>
    <n v="6.8"/>
    <n v="21"/>
    <s v="Canada"/>
    <s v="Biology Student"/>
    <n v="206.74358974358975"/>
    <x v="0"/>
    <n v="12.3"/>
  </r>
  <r>
    <s v="U90621"/>
    <n v="24"/>
    <s v="Female"/>
    <s v="Canada"/>
    <x v="1"/>
    <s v="Undergraduate"/>
    <s v="Biology Student"/>
    <m/>
    <s v="Chat GPT"/>
    <x v="1"/>
    <n v="7.4"/>
    <n v="0"/>
    <x v="52"/>
    <n v="3"/>
    <n v="9"/>
    <n v="12.3"/>
    <n v="6.8"/>
    <n v="24"/>
    <s v="Canada"/>
    <s v="Biology Student"/>
    <n v="206.74358974358975"/>
    <x v="0"/>
    <n v="12.3"/>
  </r>
  <r>
    <s v="U90162"/>
    <m/>
    <s v="Male"/>
    <s v="Brazil"/>
    <x v="1"/>
    <s v="Bachelor's"/>
    <s v="Digital Media Production Student"/>
    <n v="209"/>
    <s v="claude"/>
    <x v="4"/>
    <n v="2.8"/>
    <n v="100"/>
    <x v="53"/>
    <n v="3"/>
    <n v="6"/>
    <n v="6.8"/>
    <n v="8.5"/>
    <n v="30.023333333333333"/>
    <s v="Brazil"/>
    <s v="Digital Media Production Student"/>
    <n v="209"/>
    <x v="5"/>
    <n v="6.8"/>
  </r>
  <r>
    <s v="U90405"/>
    <n v="21"/>
    <s v="Female"/>
    <s v="India"/>
    <x v="1"/>
    <s v="Undergraduate"/>
    <s v="Biomedical Engineering Student"/>
    <n v="210"/>
    <s v="Grammarly"/>
    <x v="1"/>
    <n v="1.4"/>
    <n v="0"/>
    <x v="10"/>
    <n v="4"/>
    <n v="6"/>
    <n v="3.6"/>
    <n v="6.1"/>
    <n v="21"/>
    <s v="India"/>
    <s v="Biomedical Engineering Student"/>
    <n v="210"/>
    <x v="3"/>
    <n v="3.6"/>
  </r>
  <r>
    <s v="U90267"/>
    <n v="23"/>
    <s v="Male"/>
    <s v="Brazil"/>
    <x v="1"/>
    <s v="Undergraduate"/>
    <s v="Computer Science Student"/>
    <n v="210"/>
    <s v="Chat GPT"/>
    <x v="0"/>
    <n v="0.6"/>
    <n v="10"/>
    <x v="54"/>
    <n v="4"/>
    <n v="5"/>
    <n v="0"/>
    <n v="6.5"/>
    <n v="23"/>
    <s v="Brazil"/>
    <s v="Computer Science Student"/>
    <n v="210"/>
    <x v="0"/>
    <n v="0"/>
  </r>
  <r>
    <s v="U0124"/>
    <n v="48"/>
    <s v="Male"/>
    <s v="Pakistan"/>
    <x v="0"/>
    <s v="Bachelor's"/>
    <s v="Digital Marketing Manager"/>
    <n v="210"/>
    <s v="Chat GPT"/>
    <x v="4"/>
    <n v="1.8"/>
    <n v="10"/>
    <x v="27"/>
    <n v="3"/>
    <n v="4"/>
    <n v="5.0999999999999996"/>
    <n v="9.5"/>
    <n v="48"/>
    <s v="Pakistan"/>
    <s v="Digital Marketing Manager"/>
    <n v="210"/>
    <x v="0"/>
    <n v="5.0999999999999996"/>
  </r>
  <r>
    <s v="U90666"/>
    <n v="21"/>
    <s v="Male"/>
    <s v="Brazil"/>
    <x v="1"/>
    <s v="PhD"/>
    <s v="Artificial Intelligence &amp; Digital Media Student"/>
    <n v="212"/>
    <s v="claude"/>
    <x v="4"/>
    <n v="1"/>
    <n v="0"/>
    <x v="7"/>
    <n v="0"/>
    <n v="6"/>
    <n v="2.7"/>
    <n v="6.2"/>
    <n v="21"/>
    <s v="Brazil"/>
    <s v="Artificial Intelligence &amp; Digital Media Student"/>
    <n v="212"/>
    <x v="5"/>
    <n v="2.7"/>
  </r>
  <r>
    <s v="U0149"/>
    <n v="23"/>
    <s v="Male"/>
    <s v="Brazil"/>
    <x v="1"/>
    <s v="Undergraduate"/>
    <s v="Computer Science Student"/>
    <n v="215"/>
    <s v="Chat GPT"/>
    <x v="0"/>
    <n v="0.6"/>
    <n v="10"/>
    <x v="54"/>
    <n v="4"/>
    <n v="5"/>
    <n v="0"/>
    <n v="6.5"/>
    <n v="23"/>
    <s v="Brazil"/>
    <s v="Computer Science Student"/>
    <n v="215"/>
    <x v="0"/>
    <n v="0"/>
  </r>
  <r>
    <s v="U9070"/>
    <n v="22"/>
    <s v="Male"/>
    <s v="India"/>
    <x v="1"/>
    <s v="High School"/>
    <s v="Computer Science Student"/>
    <n v="215"/>
    <s v=" Google Gemini"/>
    <x v="0"/>
    <n v="2.4"/>
    <n v="20"/>
    <x v="1"/>
    <n v="3"/>
    <n v="5"/>
    <n v="7.3"/>
    <n v="8.6"/>
    <n v="22"/>
    <s v="India"/>
    <s v="Computer Science Student"/>
    <n v="215"/>
    <x v="2"/>
    <n v="7.3"/>
  </r>
  <r>
    <s v="U90297"/>
    <n v="16"/>
    <s v="Male"/>
    <s v="Philippines"/>
    <x v="1"/>
    <s v="High School"/>
    <s v="English Literature Student"/>
    <n v="215"/>
    <s v="Perplexity AI"/>
    <x v="5"/>
    <n v="0"/>
    <n v="0"/>
    <x v="19"/>
    <n v="2"/>
    <n v="6"/>
    <n v="7.2"/>
    <n v="7.2"/>
    <n v="16"/>
    <s v="Philippines"/>
    <s v="English Literature Student"/>
    <n v="215"/>
    <x v="8"/>
    <n v="7.2"/>
  </r>
  <r>
    <s v="U0117"/>
    <n v="23"/>
    <s v="Female"/>
    <s v="India"/>
    <x v="1"/>
    <s v="Undergraduate"/>
    <s v="Biomedical Engineering Student"/>
    <n v="219"/>
    <s v="Grammarly"/>
    <x v="1"/>
    <n v="1.4"/>
    <n v="0"/>
    <x v="10"/>
    <n v="4"/>
    <n v="6"/>
    <n v="3.6"/>
    <n v="6.1"/>
    <n v="23"/>
    <s v="India"/>
    <s v="Biomedical Engineering Student"/>
    <n v="219"/>
    <x v="3"/>
    <n v="3.6"/>
  </r>
  <r>
    <s v="U90288"/>
    <n v="22"/>
    <s v="Male"/>
    <s v="United States"/>
    <x v="1"/>
    <s v="Bachelor's"/>
    <s v="Digital Marketing Student"/>
    <n v="219"/>
    <s v="Microsoft Copilot"/>
    <x v="4"/>
    <n v="2.2000000000000002"/>
    <n v="0"/>
    <x v="2"/>
    <n v="4"/>
    <n v="5"/>
    <n v="2"/>
    <n v="0"/>
    <n v="22"/>
    <s v="United States"/>
    <s v="Digital Marketing Student"/>
    <n v="219"/>
    <x v="1"/>
    <n v="2"/>
  </r>
  <r>
    <s v="U90327"/>
    <n v="18"/>
    <s v="Male"/>
    <s v="Philippines"/>
    <x v="1"/>
    <s v="Undergraduate"/>
    <s v="English Literature Student"/>
    <n v="220"/>
    <s v="Chat GPT"/>
    <x v="5"/>
    <n v="3.8"/>
    <n v="0"/>
    <x v="15"/>
    <n v="4"/>
    <n v="9"/>
    <n v="7"/>
    <n v="7.6"/>
    <n v="18"/>
    <s v="Philippines"/>
    <s v="English Literature Student"/>
    <n v="220"/>
    <x v="0"/>
    <n v="7"/>
  </r>
  <r>
    <s v="U90205"/>
    <n v="20"/>
    <s v="Male"/>
    <s v="United Kingdom"/>
    <x v="1"/>
    <s v="Master's"/>
    <s v="Artificial Intelligence and Machine Learning Student"/>
    <n v="221"/>
    <s v="Google Gemini"/>
    <x v="0"/>
    <n v="9.1"/>
    <n v="30"/>
    <x v="15"/>
    <n v="3"/>
    <n v="8"/>
    <n v="14.9"/>
    <n v="5.4"/>
    <n v="20"/>
    <s v="United Kingdom"/>
    <s v="Artificial Intelligence and Machine Learning Student"/>
    <n v="221"/>
    <x v="2"/>
    <n v="14.9"/>
  </r>
  <r>
    <s v="U0052"/>
    <n v="21"/>
    <s v="Male"/>
    <s v="France"/>
    <x v="1"/>
    <s v="High School"/>
    <s v="Business Administration Student"/>
    <n v="221"/>
    <s v="Perplexity AI"/>
    <x v="2"/>
    <n v="6.5"/>
    <n v="10"/>
    <x v="12"/>
    <n v="2"/>
    <n v="6"/>
    <n v="14.2"/>
    <n v="4.8"/>
    <n v="21"/>
    <s v="France"/>
    <s v="Business Administration Student"/>
    <n v="221"/>
    <x v="8"/>
    <n v="14.2"/>
  </r>
  <r>
    <s v="U0093"/>
    <n v="23"/>
    <s v="Male"/>
    <s v="United States"/>
    <x v="1"/>
    <s v="Undergraduate"/>
    <s v="Computer Science Student"/>
    <n v="221"/>
    <s v="DeepSeek"/>
    <x v="0"/>
    <n v="1.3"/>
    <n v="25"/>
    <x v="2"/>
    <n v="2"/>
    <n v="4"/>
    <n v="3.8"/>
    <n v="6.3"/>
    <n v="23"/>
    <s v="United States"/>
    <s v="Computer Science Student"/>
    <n v="221"/>
    <x v="4"/>
    <n v="3.8"/>
  </r>
  <r>
    <s v="U90528"/>
    <n v="16"/>
    <s v="Female"/>
    <s v="Brazil"/>
    <x v="1"/>
    <s v="Undergraduate"/>
    <s v="UNKNOWN"/>
    <n v="223"/>
    <s v="Chat GPT"/>
    <x v="1"/>
    <n v="5.0999999999999996"/>
    <n v="0"/>
    <x v="12"/>
    <n v="5"/>
    <n v="9"/>
    <n v="11.4"/>
    <n v="7.2"/>
    <n v="16"/>
    <s v="Brazil"/>
    <s v="UNKNOWN"/>
    <n v="223"/>
    <x v="0"/>
    <n v="11.4"/>
  </r>
  <r>
    <s v="U90358"/>
    <n v="21"/>
    <s v="Male"/>
    <s v="United Kingdom"/>
    <x v="1"/>
    <s v="Master's"/>
    <s v="Artificial Intelligence and Machine Learning Student"/>
    <n v="224"/>
    <s v="Google Gemini"/>
    <x v="0"/>
    <n v="9.1"/>
    <n v="30"/>
    <x v="15"/>
    <n v="3"/>
    <n v="8"/>
    <n v="14.9"/>
    <n v="5.4"/>
    <n v="21"/>
    <s v="United Kingdom"/>
    <s v="Artificial Intelligence and Machine Learning Student"/>
    <n v="224"/>
    <x v="2"/>
    <n v="14.9"/>
  </r>
  <r>
    <s v="U90440"/>
    <n v="50"/>
    <s v="Male"/>
    <s v="Pakistan"/>
    <x v="0"/>
    <s v="Bachelor's"/>
    <s v="Digital Marketing Manager"/>
    <n v="225"/>
    <s v="Chat GPT"/>
    <x v="4"/>
    <n v="1.8"/>
    <n v="10"/>
    <x v="27"/>
    <n v="3"/>
    <n v="4"/>
    <n v="5.0999999999999996"/>
    <n v="9.5"/>
    <n v="50"/>
    <s v="Pakistan"/>
    <s v="Digital Marketing Manager"/>
    <n v="225"/>
    <x v="0"/>
    <n v="5.0999999999999996"/>
  </r>
  <r>
    <s v="U90617"/>
    <n v="33"/>
    <s v="Male"/>
    <s v="Australia"/>
    <x v="1"/>
    <s v="Undergraduate"/>
    <s v="UNKNOWN"/>
    <n v="232"/>
    <s v="Meta AI"/>
    <x v="5"/>
    <n v="0.6"/>
    <n v="0"/>
    <x v="21"/>
    <n v="2"/>
    <n v="4"/>
    <n v="3.6"/>
    <n v="5.6"/>
    <n v="33"/>
    <s v="Australia"/>
    <s v="UNKNOWN"/>
    <n v="232"/>
    <x v="6"/>
    <n v="3.6"/>
  </r>
  <r>
    <s v="U0070"/>
    <n v="17"/>
    <s v="Female"/>
    <s v="Brazil"/>
    <x v="1"/>
    <s v="Undergraduate"/>
    <s v="UNKNOWN"/>
    <n v="234"/>
    <s v="Chat GPT"/>
    <x v="1"/>
    <n v="5.0999999999999996"/>
    <n v="0"/>
    <x v="12"/>
    <n v="5"/>
    <n v="9"/>
    <n v="11.4"/>
    <n v="7.2"/>
    <n v="17"/>
    <s v="Brazil"/>
    <s v="UNKNOWN"/>
    <n v="234"/>
    <x v="0"/>
    <n v="11.4"/>
  </r>
  <r>
    <s v="U0024"/>
    <n v="23"/>
    <s v="Male"/>
    <s v="United States"/>
    <x v="1"/>
    <s v="Bachelor's"/>
    <s v="Digital Marketing Student"/>
    <n v="237"/>
    <s v="Microsoft Copilot"/>
    <x v="4"/>
    <n v="2.2000000000000002"/>
    <n v="0"/>
    <x v="2"/>
    <n v="4"/>
    <n v="5"/>
    <n v="2"/>
    <n v="0"/>
    <n v="23"/>
    <s v="United States"/>
    <s v="Digital Marketing Student"/>
    <n v="237"/>
    <x v="1"/>
    <n v="2"/>
  </r>
  <r>
    <s v="U0156"/>
    <n v="20"/>
    <s v="Male"/>
    <s v="Brazil"/>
    <x v="1"/>
    <s v="PhD"/>
    <s v="Artificial Intelligence &amp; Digital Media Student"/>
    <n v="238"/>
    <s v="claude"/>
    <x v="4"/>
    <n v="1"/>
    <n v="0"/>
    <x v="7"/>
    <n v="0"/>
    <n v="6"/>
    <n v="2.7"/>
    <n v="6.2"/>
    <n v="20"/>
    <s v="Brazil"/>
    <s v="Artificial Intelligence &amp; Digital Media Student"/>
    <n v="238"/>
    <x v="5"/>
    <n v="2.7"/>
  </r>
  <r>
    <s v="U90277"/>
    <n v="18"/>
    <s v="Male"/>
    <s v="Brazil"/>
    <x v="1"/>
    <s v="PhD"/>
    <s v="Artificial Intelligence &amp; Digital Media Student"/>
    <n v="242"/>
    <s v="claude"/>
    <x v="4"/>
    <n v="1"/>
    <n v="0"/>
    <x v="7"/>
    <n v="0"/>
    <n v="6"/>
    <n v="2.7"/>
    <n v="6.2"/>
    <n v="18"/>
    <s v="Brazil"/>
    <s v="Artificial Intelligence &amp; Digital Media Student"/>
    <n v="242"/>
    <x v="5"/>
    <n v="2.7"/>
  </r>
  <r>
    <s v="U0210"/>
    <n v="97"/>
    <s v="Female"/>
    <s v="United States"/>
    <x v="1"/>
    <s v="Undergraduate"/>
    <s v="Biology Student"/>
    <n v="243"/>
    <s v="Microsoft Copilot"/>
    <x v="1"/>
    <n v="0.8"/>
    <n v="0"/>
    <x v="47"/>
    <n v="3"/>
    <n v="5"/>
    <n v="1.3"/>
    <n v="6.8"/>
    <n v="97"/>
    <s v="United States"/>
    <s v="Biology Student"/>
    <n v="243"/>
    <x v="1"/>
    <n v="1.3"/>
  </r>
  <r>
    <s v="U0010"/>
    <n v="49"/>
    <s v="Female"/>
    <s v="Nigeria"/>
    <x v="0"/>
    <s v="Bachelor's"/>
    <s v="Content Writer"/>
    <n v="243"/>
    <s v="Chat GPT"/>
    <x v="5"/>
    <n v="3.2"/>
    <n v="0"/>
    <x v="7"/>
    <n v="3"/>
    <n v="6"/>
    <n v="10"/>
    <n v="7.2"/>
    <n v="49"/>
    <s v="Nigeria"/>
    <s v="Content Writer"/>
    <n v="243"/>
    <x v="0"/>
    <n v="10"/>
  </r>
  <r>
    <s v="U0185"/>
    <m/>
    <s v="Male"/>
    <s v="Brazil"/>
    <x v="1"/>
    <s v="Bachelor's"/>
    <s v="Digital Media Production Student"/>
    <n v="243"/>
    <s v="claude"/>
    <x v="4"/>
    <n v="2.8"/>
    <n v="100"/>
    <x v="53"/>
    <n v="3"/>
    <n v="6"/>
    <n v="6.8"/>
    <n v="8.5"/>
    <n v="30.023333333333333"/>
    <s v="Brazil"/>
    <s v="Digital Media Production Student"/>
    <n v="243"/>
    <x v="5"/>
    <n v="6.8"/>
  </r>
  <r>
    <s v="U90248"/>
    <m/>
    <s v="Male"/>
    <s v="Brazil"/>
    <x v="1"/>
    <s v="Bachelor's"/>
    <s v="Digital Media Production Student"/>
    <n v="247"/>
    <s v="claude"/>
    <x v="4"/>
    <n v="2.8"/>
    <n v="100"/>
    <x v="53"/>
    <n v="3"/>
    <n v="6"/>
    <n v="6.8"/>
    <n v="8.5"/>
    <n v="30.023333333333333"/>
    <s v="Brazil"/>
    <s v="Digital Media Production Student"/>
    <n v="247"/>
    <x v="5"/>
    <n v="6.8"/>
  </r>
  <r>
    <s v="U90675"/>
    <n v="65"/>
    <s v="Female"/>
    <s v="United States"/>
    <x v="1"/>
    <s v="Undergraduate"/>
    <s v="Biology Student"/>
    <n v="248"/>
    <s v="Microsoft Copilot"/>
    <x v="1"/>
    <n v="0.8"/>
    <n v="0"/>
    <x v="47"/>
    <n v="3"/>
    <n v="5"/>
    <n v="1.3"/>
    <n v="6.8"/>
    <n v="65"/>
    <s v="United States"/>
    <s v="Biology Student"/>
    <n v="248"/>
    <x v="1"/>
    <n v="1.3"/>
  </r>
  <r>
    <s v="U90181"/>
    <m/>
    <s v="Male"/>
    <s v="Brazil"/>
    <x v="1"/>
    <s v="Bachelor's"/>
    <s v="Digital Media Production Student"/>
    <n v="253"/>
    <s v="claude"/>
    <x v="4"/>
    <n v="2.8"/>
    <n v="100"/>
    <x v="53"/>
    <n v="3"/>
    <n v="6"/>
    <n v="6.8"/>
    <n v="8.5"/>
    <n v="30.023333333333333"/>
    <s v="Brazil"/>
    <s v="Digital Media Production Student"/>
    <n v="253"/>
    <x v="5"/>
    <n v="6.8"/>
  </r>
  <r>
    <s v="U0162"/>
    <n v="44"/>
    <s v="Female"/>
    <s v="Kenya"/>
    <x v="0"/>
    <s v="Bachelor's"/>
    <s v="Research Analyst"/>
    <n v="258"/>
    <s v="DeepSeek"/>
    <x v="2"/>
    <n v="3.7"/>
    <n v="0"/>
    <x v="55"/>
    <n v="5"/>
    <n v="6"/>
    <n v="5.7"/>
    <n v="6.9"/>
    <n v="44"/>
    <s v="Kenya"/>
    <s v="Research Analyst"/>
    <n v="258"/>
    <x v="4"/>
    <n v="5.7"/>
  </r>
  <r>
    <s v="U90249"/>
    <n v="65"/>
    <s v="Female"/>
    <s v="United States"/>
    <x v="1"/>
    <s v="Undergraduate"/>
    <s v="Biology Student"/>
    <n v="262"/>
    <s v="Microsoft Copilot"/>
    <x v="1"/>
    <n v="0.8"/>
    <n v="0"/>
    <x v="47"/>
    <n v="3"/>
    <n v="5"/>
    <n v="1.3"/>
    <n v="6.8"/>
    <n v="65"/>
    <s v="United States"/>
    <s v="Biology Student"/>
    <n v="262"/>
    <x v="1"/>
    <n v="1.3"/>
  </r>
  <r>
    <s v="U90545"/>
    <n v="24"/>
    <s v="Male"/>
    <s v="United States"/>
    <x v="1"/>
    <s v="Bachelor's"/>
    <s v="Digital Marketing Student"/>
    <n v="263"/>
    <s v="Microsoft Copilot"/>
    <x v="4"/>
    <n v="2.2000000000000002"/>
    <n v="0"/>
    <x v="2"/>
    <n v="4"/>
    <n v="5"/>
    <n v="2"/>
    <n v="0"/>
    <n v="24"/>
    <s v="United States"/>
    <s v="Digital Marketing Student"/>
    <n v="263"/>
    <x v="1"/>
    <n v="2"/>
  </r>
  <r>
    <s v="U90139"/>
    <n v="19"/>
    <s v="Female"/>
    <s v="Brazil"/>
    <x v="1"/>
    <s v="Undergraduate"/>
    <s v="UNKNOWN"/>
    <n v="265"/>
    <s v="Chat GPT"/>
    <x v="1"/>
    <n v="5.0999999999999996"/>
    <n v="0"/>
    <x v="12"/>
    <n v="5"/>
    <n v="9"/>
    <n v="11.4"/>
    <n v="7.2"/>
    <n v="19"/>
    <s v="Brazil"/>
    <s v="UNKNOWN"/>
    <n v="265"/>
    <x v="0"/>
    <n v="11.4"/>
  </r>
  <r>
    <s v="U90599"/>
    <m/>
    <s v="Male"/>
    <s v="Brazil"/>
    <x v="1"/>
    <s v="Bachelor's"/>
    <s v="Digital Media Production Student"/>
    <n v="272"/>
    <s v="claude"/>
    <x v="4"/>
    <n v="2.8"/>
    <n v="100"/>
    <x v="53"/>
    <n v="3"/>
    <n v="6"/>
    <n v="6.8"/>
    <n v="8.5"/>
    <n v="30.023333333333333"/>
    <s v="Brazil"/>
    <s v="Digital Media Production Student"/>
    <n v="272"/>
    <x v="5"/>
    <n v="6.8"/>
  </r>
  <r>
    <s v="U90314"/>
    <n v="16"/>
    <s v="Female"/>
    <s v="Canada"/>
    <x v="1"/>
    <s v="Master's"/>
    <s v="UNKNOWN"/>
    <n v="277"/>
    <s v="Microsoft Copilot"/>
    <x v="0"/>
    <n v="7.1"/>
    <n v="20"/>
    <x v="7"/>
    <n v="2"/>
    <n v="5"/>
    <n v="11.6"/>
    <n v="3"/>
    <n v="16"/>
    <s v="Canada"/>
    <s v="UNKNOWN"/>
    <n v="277"/>
    <x v="1"/>
    <n v="11.6"/>
  </r>
  <r>
    <s v="U90387"/>
    <n v="23"/>
    <s v="Female"/>
    <s v="United Kingdom"/>
    <x v="1"/>
    <s v="Bachelor's"/>
    <s v="Computer Science Student"/>
    <n v="279"/>
    <s v="Microsoft Copilot"/>
    <x v="0"/>
    <n v="0.7"/>
    <n v="0"/>
    <x v="56"/>
    <n v="4"/>
    <n v="6"/>
    <n v="4.8"/>
    <n v="4.0999999999999996"/>
    <n v="23"/>
    <s v="United Kingdom"/>
    <s v="Computer Science Student"/>
    <n v="279"/>
    <x v="1"/>
    <n v="4.8"/>
  </r>
  <r>
    <s v="U90331"/>
    <n v="42"/>
    <s v="Female"/>
    <s v="Kenya"/>
    <x v="0"/>
    <s v="Bachelor's"/>
    <s v="Research Analyst"/>
    <n v="280"/>
    <s v="DeepSeek"/>
    <x v="2"/>
    <n v="3.7"/>
    <n v="0"/>
    <x v="55"/>
    <n v="5"/>
    <n v="6"/>
    <n v="5.7"/>
    <n v="6.9"/>
    <n v="42"/>
    <s v="Kenya"/>
    <s v="Research Analyst"/>
    <n v="280"/>
    <x v="4"/>
    <n v="5.7"/>
  </r>
  <r>
    <s v="U90066"/>
    <n v="16"/>
    <s v="Female"/>
    <s v="Canada"/>
    <x v="1"/>
    <s v="Master's"/>
    <s v="UNKNOWN"/>
    <n v="284"/>
    <s v="Microsoft Copilot"/>
    <x v="0"/>
    <n v="7.1"/>
    <n v="20"/>
    <x v="7"/>
    <n v="2"/>
    <n v="5"/>
    <n v="11.6"/>
    <n v="3"/>
    <n v="16"/>
    <s v="Canada"/>
    <s v="UNKNOWN"/>
    <n v="284"/>
    <x v="1"/>
    <n v="11.6"/>
  </r>
  <r>
    <s v="U90624"/>
    <n v="17"/>
    <s v="Female"/>
    <s v="Canada"/>
    <x v="1"/>
    <s v="Master's"/>
    <s v="UNKNOWN"/>
    <n v="286"/>
    <s v="Microsoft Copilot"/>
    <x v="0"/>
    <n v="7.1"/>
    <n v="20"/>
    <x v="7"/>
    <n v="2"/>
    <n v="5"/>
    <n v="11.6"/>
    <n v="3"/>
    <n v="17"/>
    <s v="Canada"/>
    <s v="UNKNOWN"/>
    <n v="286"/>
    <x v="1"/>
    <n v="11.6"/>
  </r>
  <r>
    <s v="U90166"/>
    <n v="17"/>
    <s v="Female"/>
    <s v="Canada"/>
    <x v="1"/>
    <s v="Master's"/>
    <s v="UNKNOWN"/>
    <n v="290"/>
    <s v="Microsoft Copilot"/>
    <x v="0"/>
    <n v="7.1"/>
    <n v="20"/>
    <x v="7"/>
    <n v="2"/>
    <n v="5"/>
    <n v="11.6"/>
    <n v="3"/>
    <n v="17"/>
    <s v="Canada"/>
    <s v="UNKNOWN"/>
    <n v="290"/>
    <x v="1"/>
    <n v="11.6"/>
  </r>
  <r>
    <s v="U90334"/>
    <n v="21"/>
    <s v="Female"/>
    <s v="United Kingdom"/>
    <x v="1"/>
    <s v="Bachelor's"/>
    <s v="Computer Science Student"/>
    <n v="297"/>
    <s v="Microsoft Copilot"/>
    <x v="0"/>
    <n v="0.7"/>
    <n v="0"/>
    <x v="56"/>
    <n v="4"/>
    <n v="6"/>
    <n v="4.8"/>
    <n v="4.0999999999999996"/>
    <n v="21"/>
    <s v="United Kingdom"/>
    <s v="Computer Science Student"/>
    <n v="297"/>
    <x v="1"/>
    <n v="4.8"/>
  </r>
  <r>
    <s v="U90150"/>
    <n v="31"/>
    <s v="Female"/>
    <s v="France"/>
    <x v="1"/>
    <s v="Undergraduate"/>
    <s v="Biology Student"/>
    <n v="298"/>
    <s v=" Google Gemini"/>
    <x v="1"/>
    <n v="0.7"/>
    <n v="0"/>
    <x v="16"/>
    <n v="3"/>
    <n v="5"/>
    <n v="0.8"/>
    <n v="4.5"/>
    <n v="31"/>
    <s v="France"/>
    <s v="Biology Student"/>
    <n v="298"/>
    <x v="2"/>
    <n v="0.8"/>
  </r>
  <r>
    <s v="U90216"/>
    <n v="27"/>
    <s v="Female"/>
    <s v="United States"/>
    <x v="1"/>
    <s v="Master's"/>
    <s v="Machine Learning Student"/>
    <n v="300"/>
    <s v="Perplexity AI"/>
    <x v="0"/>
    <n v="1.5"/>
    <n v="20"/>
    <x v="0"/>
    <n v="3"/>
    <n v="6"/>
    <n v="4.2"/>
    <n v="4.9000000000000004"/>
    <n v="27"/>
    <s v="United States"/>
    <s v="Machine Learning Student"/>
    <n v="300"/>
    <x v="8"/>
    <n v="4.2"/>
  </r>
  <r>
    <s v="U0268"/>
    <n v="31"/>
    <s v="Female"/>
    <s v="France"/>
    <x v="1"/>
    <s v="Undergraduate"/>
    <s v="Biology Student"/>
    <n v="302"/>
    <s v=" Google Gemini"/>
    <x v="1"/>
    <n v="0.7"/>
    <n v="0"/>
    <x v="16"/>
    <n v="3"/>
    <n v="5"/>
    <n v="0.8"/>
    <n v="4.5"/>
    <n v="31"/>
    <s v="France"/>
    <s v="Biology Student"/>
    <n v="302"/>
    <x v="2"/>
    <n v="0.8"/>
  </r>
  <r>
    <s v="U90651"/>
    <n v="30"/>
    <s v="Female"/>
    <s v="France"/>
    <x v="1"/>
    <s v="Undergraduate"/>
    <s v="Biology Student"/>
    <n v="304"/>
    <s v=" Google Gemini"/>
    <x v="1"/>
    <n v="0.7"/>
    <n v="0"/>
    <x v="16"/>
    <n v="3"/>
    <n v="5"/>
    <n v="0.8"/>
    <n v="4.5"/>
    <n v="30"/>
    <s v="France"/>
    <s v="Biology Student"/>
    <n v="304"/>
    <x v="2"/>
    <n v="0.8"/>
  </r>
  <r>
    <s v="U90245"/>
    <n v="24"/>
    <s v="Female"/>
    <s v="United Kingdom"/>
    <x v="1"/>
    <s v="Bachelor's"/>
    <s v="Computer Science Student"/>
    <n v="306"/>
    <s v="Microsoft Copilot"/>
    <x v="0"/>
    <n v="0.7"/>
    <n v="0"/>
    <x v="56"/>
    <n v="4"/>
    <n v="6"/>
    <n v="4.8"/>
    <n v="4.0999999999999996"/>
    <n v="24"/>
    <s v="United Kingdom"/>
    <s v="Computer Science Student"/>
    <n v="306"/>
    <x v="1"/>
    <n v="4.8"/>
  </r>
  <r>
    <s v="U90122"/>
    <n v="18"/>
    <s v="Female"/>
    <s v="Canada"/>
    <x v="1"/>
    <s v="Master's"/>
    <s v="UNKNOWN"/>
    <n v="309"/>
    <s v="Microsoft Copilot"/>
    <x v="0"/>
    <n v="7.1"/>
    <n v="20"/>
    <x v="7"/>
    <n v="2"/>
    <n v="5"/>
    <n v="11.6"/>
    <n v="3"/>
    <n v="18"/>
    <s v="Canada"/>
    <s v="UNKNOWN"/>
    <n v="309"/>
    <x v="1"/>
    <n v="11.6"/>
  </r>
  <r>
    <s v="U90306"/>
    <n v="25"/>
    <s v="Male"/>
    <s v="Nigeria"/>
    <x v="0"/>
    <s v="Diploma"/>
    <s v="Research Assistant"/>
    <n v="310"/>
    <s v="Chat GPT"/>
    <x v="2"/>
    <n v="2.2999999999999998"/>
    <n v="20"/>
    <x v="43"/>
    <n v="2"/>
    <n v="5"/>
    <n v="2.5"/>
    <n v="7.7"/>
    <n v="25"/>
    <s v="Nigeria"/>
    <s v="Research Assistant"/>
    <n v="310"/>
    <x v="0"/>
    <n v="2.5"/>
  </r>
  <r>
    <s v="U0098"/>
    <n v="23"/>
    <s v="Female"/>
    <s v="United Kingdom"/>
    <x v="1"/>
    <s v="Bachelor's"/>
    <s v="Computer Science Student"/>
    <n v="312"/>
    <s v="Microsoft Copilot"/>
    <x v="0"/>
    <n v="0.7"/>
    <n v="0"/>
    <x v="56"/>
    <n v="4"/>
    <n v="6"/>
    <n v="4.8"/>
    <n v="4.0999999999999996"/>
    <n v="23"/>
    <s v="United Kingdom"/>
    <s v="Computer Science Student"/>
    <n v="312"/>
    <x v="1"/>
    <n v="4.8"/>
  </r>
  <r>
    <s v="U90015"/>
    <n v="29"/>
    <s v="Female"/>
    <s v="United States"/>
    <x v="1"/>
    <s v="Master's"/>
    <s v="Machine Learning Student"/>
    <n v="318"/>
    <s v="Perplexity AI"/>
    <x v="0"/>
    <n v="1.5"/>
    <n v="20"/>
    <x v="0"/>
    <n v="3"/>
    <n v="6"/>
    <n v="4.2"/>
    <n v="4.9000000000000004"/>
    <n v="29"/>
    <s v="United States"/>
    <s v="Machine Learning Student"/>
    <n v="318"/>
    <x v="8"/>
    <n v="4.2"/>
  </r>
  <r>
    <s v="U90407"/>
    <m/>
    <s v="Male"/>
    <s v="United Kingdom"/>
    <x v="1"/>
    <s v="Bachelor's"/>
    <s v="Mechanical Engineering Student"/>
    <n v="323"/>
    <s v="Chat GPT"/>
    <x v="1"/>
    <n v="4.0999999999999996"/>
    <n v="20"/>
    <x v="20"/>
    <n v="3"/>
    <n v="7"/>
    <n v="8.4"/>
    <n v="5.9"/>
    <n v="30.023333333333333"/>
    <s v="United Kingdom"/>
    <s v="Mechanical Engineering Student"/>
    <n v="323"/>
    <x v="0"/>
    <n v="8.4"/>
  </r>
  <r>
    <s v="U0138"/>
    <n v="16"/>
    <s v="Female"/>
    <s v="Canada"/>
    <x v="1"/>
    <s v="Master's"/>
    <s v="UNKNOWN"/>
    <n v="324"/>
    <s v="Microsoft Copilot"/>
    <x v="0"/>
    <n v="7.1"/>
    <n v="20"/>
    <x v="7"/>
    <n v="2"/>
    <n v="5"/>
    <n v="11.6"/>
    <n v="3"/>
    <n v="16"/>
    <s v="Canada"/>
    <s v="UNKNOWN"/>
    <n v="324"/>
    <x v="1"/>
    <n v="11.6"/>
  </r>
  <r>
    <s v="U90348"/>
    <n v="28"/>
    <s v="Female"/>
    <s v="United States"/>
    <x v="1"/>
    <s v="Master's"/>
    <s v="Machine Learning Student"/>
    <n v="325"/>
    <s v="Perplexity AI"/>
    <x v="0"/>
    <n v="1.5"/>
    <n v="20"/>
    <x v="0"/>
    <n v="3"/>
    <n v="6"/>
    <n v="4.2"/>
    <n v="4.9000000000000004"/>
    <n v="28"/>
    <s v="United States"/>
    <s v="Machine Learning Student"/>
    <n v="325"/>
    <x v="8"/>
    <n v="4.2"/>
  </r>
  <r>
    <s v="U0065"/>
    <m/>
    <s v="Male"/>
    <s v="United Kingdom"/>
    <x v="1"/>
    <s v="Bachelor's"/>
    <s v="Mechanical Engineering Student"/>
    <n v="334"/>
    <s v="Chat GPT"/>
    <x v="1"/>
    <n v="4.0999999999999996"/>
    <n v="20"/>
    <x v="20"/>
    <n v="3"/>
    <n v="7"/>
    <n v="8.4"/>
    <n v="5.9"/>
    <n v="30.023333333333333"/>
    <s v="United Kingdom"/>
    <s v="Mechanical Engineering Student"/>
    <n v="334"/>
    <x v="0"/>
    <n v="8.4"/>
  </r>
  <r>
    <s v="U0081"/>
    <n v="23"/>
    <s v="Male"/>
    <s v="Nigeria"/>
    <x v="0"/>
    <s v="Diploma"/>
    <s v="Research Assistant"/>
    <n v="334"/>
    <s v="Chat GPT"/>
    <x v="2"/>
    <n v="2.2999999999999998"/>
    <n v="20"/>
    <x v="43"/>
    <n v="2"/>
    <n v="5"/>
    <n v="2.5"/>
    <n v="7.7"/>
    <n v="23"/>
    <s v="Nigeria"/>
    <s v="Research Assistant"/>
    <n v="334"/>
    <x v="0"/>
    <n v="2.5"/>
  </r>
  <r>
    <s v="U0240"/>
    <n v="27"/>
    <s v="Female"/>
    <s v="United States"/>
    <x v="1"/>
    <s v="Master's"/>
    <s v="Machine Learning Student"/>
    <n v="335"/>
    <s v="Perplexity AI"/>
    <x v="0"/>
    <n v="1.5"/>
    <n v="20"/>
    <x v="0"/>
    <n v="3"/>
    <n v="6"/>
    <n v="4.2"/>
    <n v="4.9000000000000004"/>
    <n v="27"/>
    <s v="United States"/>
    <s v="Machine Learning Student"/>
    <n v="335"/>
    <x v="8"/>
    <n v="4.2"/>
  </r>
  <r>
    <s v="U90321"/>
    <m/>
    <s v="Male"/>
    <s v="United States"/>
    <x v="1"/>
    <s v="Bachelor's"/>
    <s v="English Literature Student"/>
    <n v="341"/>
    <s v="DeepSeek"/>
    <x v="5"/>
    <n v="7.9"/>
    <n v="0"/>
    <x v="57"/>
    <n v="4"/>
    <n v="9"/>
    <n v="14.2"/>
    <n v="6"/>
    <n v="30.023333333333333"/>
    <s v="United States"/>
    <s v="English Literature Student"/>
    <n v="341"/>
    <x v="4"/>
    <n v="14.2"/>
  </r>
  <r>
    <s v="U90561"/>
    <n v="24"/>
    <s v="Male"/>
    <s v="Nigeria"/>
    <x v="0"/>
    <s v="Diploma"/>
    <s v="Research Assistant"/>
    <n v="344"/>
    <s v="Chat GPT"/>
    <x v="2"/>
    <n v="2.2999999999999998"/>
    <n v="20"/>
    <x v="43"/>
    <n v="2"/>
    <n v="5"/>
    <n v="2.5"/>
    <n v="7.7"/>
    <n v="24"/>
    <s v="Nigeria"/>
    <s v="Research Assistant"/>
    <n v="344"/>
    <x v="0"/>
    <n v="2.5"/>
  </r>
  <r>
    <s v="U90145"/>
    <n v="24"/>
    <s v="Male"/>
    <s v="Nigeria"/>
    <x v="0"/>
    <s v="Diploma"/>
    <s v="Research Assistant"/>
    <n v="345"/>
    <s v="Chat GPT"/>
    <x v="2"/>
    <n v="2.2999999999999998"/>
    <n v="20"/>
    <x v="43"/>
    <n v="2"/>
    <n v="5"/>
    <n v="2.5"/>
    <n v="7.7"/>
    <n v="24"/>
    <s v="Nigeria"/>
    <s v="Research Assistant"/>
    <n v="345"/>
    <x v="0"/>
    <n v="2.5"/>
  </r>
  <r>
    <s v="U0025"/>
    <n v="17"/>
    <s v="Female"/>
    <s v="UNKNOWN"/>
    <x v="1"/>
    <s v="Undergraduate"/>
    <s v="Environmental Science Student"/>
    <m/>
    <s v="Chat GPT"/>
    <x v="2"/>
    <n v="6.1"/>
    <n v="30"/>
    <x v="32"/>
    <n v="4"/>
    <n v="8"/>
    <n v="8.9"/>
    <n v="7.8"/>
    <n v="17"/>
    <s v="Unknown"/>
    <s v="Environmental Science Student"/>
    <n v="349.33333333333331"/>
    <x v="0"/>
    <n v="8.9"/>
  </r>
  <r>
    <s v="U90055"/>
    <n v="17"/>
    <s v="Female"/>
    <s v="UNKNOWN"/>
    <x v="1"/>
    <s v="Undergraduate"/>
    <s v="Environmental Science Student"/>
    <m/>
    <s v="Chat GPT"/>
    <x v="2"/>
    <n v="6.1"/>
    <n v="30"/>
    <x v="32"/>
    <n v="4"/>
    <n v="8"/>
    <n v="8.9"/>
    <n v="7.8"/>
    <n v="17"/>
    <s v="Unknown"/>
    <s v="Environmental Science Student"/>
    <n v="349.33333333333331"/>
    <x v="0"/>
    <n v="8.9"/>
  </r>
  <r>
    <s v="U90461"/>
    <n v="16"/>
    <s v="Female"/>
    <s v="UNKNOWN"/>
    <x v="1"/>
    <s v="Undergraduate"/>
    <s v="Environmental Science Student"/>
    <m/>
    <s v="Chat GPT"/>
    <x v="2"/>
    <n v="6.1"/>
    <n v="30"/>
    <x v="32"/>
    <n v="4"/>
    <n v="8"/>
    <n v="8.9"/>
    <n v="7.8"/>
    <n v="16"/>
    <s v="Unknown"/>
    <s v="Environmental Science Student"/>
    <n v="349.33333333333331"/>
    <x v="0"/>
    <n v="8.9"/>
  </r>
  <r>
    <s v="U90588"/>
    <n v="16"/>
    <s v="Female"/>
    <s v="Canada"/>
    <x v="1"/>
    <s v="Master's"/>
    <s v="UNKNOWN"/>
    <n v="350"/>
    <s v="Microsoft Copilot"/>
    <x v="0"/>
    <n v="7.1"/>
    <n v="20"/>
    <x v="7"/>
    <n v="2"/>
    <n v="5"/>
    <n v="11.6"/>
    <n v="3"/>
    <n v="16"/>
    <s v="Canada"/>
    <s v="UNKNOWN"/>
    <n v="350"/>
    <x v="1"/>
    <n v="11.6"/>
  </r>
  <r>
    <s v="U90091"/>
    <m/>
    <s v="Male"/>
    <s v="Canada"/>
    <x v="1"/>
    <s v="Undergraduate"/>
    <s v="Environmental Science Student"/>
    <n v="354"/>
    <s v=" Google Gemini"/>
    <x v="2"/>
    <n v="5.4"/>
    <n v="0"/>
    <x v="58"/>
    <n v="3"/>
    <n v="8"/>
    <n v="13.1"/>
    <n v="6.5"/>
    <n v="30.023333333333333"/>
    <s v="Canada"/>
    <s v="Environmental Science Student"/>
    <n v="354"/>
    <x v="2"/>
    <n v="13.1"/>
  </r>
  <r>
    <s v="U90264"/>
    <n v="19"/>
    <s v="Male"/>
    <s v="Canada"/>
    <x v="1"/>
    <s v="Graduate"/>
    <s v="Computer Science Student"/>
    <n v="355"/>
    <s v="Chat GPT"/>
    <x v="0"/>
    <n v="1"/>
    <n v="20"/>
    <x v="9"/>
    <n v="2"/>
    <n v="4"/>
    <n v="5.2"/>
    <n v="6.7"/>
    <n v="19"/>
    <s v="Canada"/>
    <s v="Computer Science Student"/>
    <n v="355"/>
    <x v="0"/>
    <n v="5.2"/>
  </r>
  <r>
    <s v="U90286"/>
    <m/>
    <s v="Male"/>
    <s v="Canada"/>
    <x v="1"/>
    <s v="Undergraduate"/>
    <s v="Environmental Science Student"/>
    <n v="356"/>
    <s v=" Google Gemini"/>
    <x v="2"/>
    <n v="5.4"/>
    <n v="0"/>
    <x v="58"/>
    <n v="3"/>
    <n v="8"/>
    <n v="13.1"/>
    <n v="6.5"/>
    <n v="30.023333333333333"/>
    <s v="Canada"/>
    <s v="Environmental Science Student"/>
    <n v="356"/>
    <x v="2"/>
    <n v="13.1"/>
  </r>
  <r>
    <s v="U90255"/>
    <n v="25"/>
    <s v="Female"/>
    <s v="United Kingdom"/>
    <x v="1"/>
    <s v="Bachelor's"/>
    <s v="Computer Science Student"/>
    <n v="357"/>
    <s v="Microsoft Copilot"/>
    <x v="0"/>
    <n v="0.7"/>
    <n v="0"/>
    <x v="56"/>
    <n v="4"/>
    <n v="6"/>
    <n v="4.8"/>
    <n v="4.0999999999999996"/>
    <n v="25"/>
    <s v="United Kingdom"/>
    <s v="Computer Science Student"/>
    <n v="357"/>
    <x v="1"/>
    <n v="4.8"/>
  </r>
  <r>
    <s v="U0032"/>
    <m/>
    <s v="Male"/>
    <s v="Germany"/>
    <x v="1"/>
    <s v="High School"/>
    <s v="German Literature Student"/>
    <n v="366"/>
    <s v="Chat GPT"/>
    <x v="5"/>
    <n v="0.6"/>
    <n v="25"/>
    <x v="34"/>
    <n v="4"/>
    <n v="6"/>
    <n v="3"/>
    <n v="7.6"/>
    <n v="30.023333333333333"/>
    <s v="Germany"/>
    <s v="German Literature Student"/>
    <n v="366"/>
    <x v="0"/>
    <n v="3"/>
  </r>
  <r>
    <s v="U90318"/>
    <n v="27"/>
    <s v="Female"/>
    <s v="United States"/>
    <x v="1"/>
    <s v="Master's"/>
    <s v="Machine Learning Student"/>
    <n v="367"/>
    <s v="Perplexity AI"/>
    <x v="0"/>
    <n v="1.5"/>
    <n v="20"/>
    <x v="0"/>
    <n v="3"/>
    <n v="6"/>
    <n v="4.2"/>
    <n v="4.9000000000000004"/>
    <n v="27"/>
    <s v="United States"/>
    <s v="Machine Learning Student"/>
    <n v="367"/>
    <x v="8"/>
    <n v="4.2"/>
  </r>
  <r>
    <s v="U90224"/>
    <m/>
    <s v="Male"/>
    <s v="United States"/>
    <x v="1"/>
    <s v="Bachelor's"/>
    <s v="English Literature Student"/>
    <n v="369"/>
    <s v="DeepSeek"/>
    <x v="5"/>
    <n v="7.9"/>
    <n v="0"/>
    <x v="57"/>
    <n v="4"/>
    <n v="9"/>
    <n v="14.2"/>
    <n v="6"/>
    <n v="30.023333333333333"/>
    <s v="United States"/>
    <s v="English Literature Student"/>
    <n v="369"/>
    <x v="4"/>
    <n v="14.2"/>
  </r>
  <r>
    <s v="U90484"/>
    <n v="29"/>
    <s v="Female"/>
    <s v="Philippines"/>
    <x v="0"/>
    <s v="Bachelor's"/>
    <s v="Digital Content Creator"/>
    <n v="372"/>
    <s v="Chat GPT"/>
    <x v="4"/>
    <n v="1.6"/>
    <n v="10"/>
    <x v="0"/>
    <n v="2"/>
    <n v="3"/>
    <n v="4.5"/>
    <n v="7.8"/>
    <n v="29"/>
    <s v="Philippines"/>
    <s v="Digital Content Creator"/>
    <n v="372"/>
    <x v="0"/>
    <n v="4.5"/>
  </r>
  <r>
    <s v="U90368"/>
    <n v="22"/>
    <s v="Male"/>
    <s v="Nigeria"/>
    <x v="0"/>
    <s v="Diploma"/>
    <s v="Research Assistant"/>
    <n v="376"/>
    <s v="Chat GPT"/>
    <x v="2"/>
    <n v="2.2999999999999998"/>
    <n v="20"/>
    <x v="43"/>
    <n v="2"/>
    <n v="5"/>
    <n v="2.5"/>
    <n v="7.7"/>
    <n v="22"/>
    <s v="Nigeria"/>
    <s v="Research Assistant"/>
    <n v="376"/>
    <x v="0"/>
    <n v="2.5"/>
  </r>
  <r>
    <s v="U0226"/>
    <n v="32"/>
    <s v="Male"/>
    <s v="Nigeria"/>
    <x v="0"/>
    <s v="High School"/>
    <s v="Social Media Content Creator / Digital Marketer"/>
    <n v="376"/>
    <s v="claude"/>
    <x v="4"/>
    <n v="1.3"/>
    <n v="20"/>
    <x v="21"/>
    <n v="4"/>
    <n v="5"/>
    <n v="3.2"/>
    <n v="11.6"/>
    <n v="32"/>
    <s v="Nigeria"/>
    <s v="Social Media Content Creator / Digital Marketer"/>
    <n v="376"/>
    <x v="5"/>
    <n v="3.2"/>
  </r>
  <r>
    <s v="U90235"/>
    <n v="21"/>
    <s v="Female"/>
    <s v="Canada"/>
    <x v="1"/>
    <s v="Undergraduate"/>
    <s v="Software Engineering Student"/>
    <n v="377"/>
    <s v="Chat GPT"/>
    <x v="0"/>
    <n v="5.8"/>
    <n v="30"/>
    <x v="19"/>
    <n v="4"/>
    <n v="8"/>
    <n v="10.199999999999999"/>
    <n v="4.8"/>
    <n v="21"/>
    <s v="Canada"/>
    <s v="Software Engineering Student"/>
    <n v="377"/>
    <x v="0"/>
    <n v="10.199999999999999"/>
  </r>
  <r>
    <s v="U90445"/>
    <n v="17"/>
    <s v="Female"/>
    <s v="Australia"/>
    <x v="1"/>
    <s v="Master's"/>
    <s v="Data Science Student"/>
    <n v="379"/>
    <s v="Chat GPT"/>
    <x v="6"/>
    <n v="0.5"/>
    <n v="10"/>
    <x v="3"/>
    <n v="4"/>
    <n v="6"/>
    <n v="0.5"/>
    <n v="7.5"/>
    <n v="17"/>
    <s v="Australia"/>
    <s v="Data Science Student"/>
    <n v="379"/>
    <x v="0"/>
    <n v="0.5"/>
  </r>
  <r>
    <s v="U90542"/>
    <m/>
    <s v="Male"/>
    <s v="Canada"/>
    <x v="1"/>
    <s v="Undergraduate"/>
    <s v="Environmental Science Student"/>
    <n v="382"/>
    <s v=" Google Gemini"/>
    <x v="2"/>
    <n v="5.4"/>
    <n v="0"/>
    <x v="58"/>
    <n v="3"/>
    <n v="8"/>
    <n v="13.1"/>
    <n v="6.5"/>
    <n v="30.023333333333333"/>
    <s v="Canada"/>
    <s v="Environmental Science Student"/>
    <n v="382"/>
    <x v="2"/>
    <n v="13.1"/>
  </r>
  <r>
    <s v="U0164"/>
    <n v="44"/>
    <s v="Female"/>
    <s v="Nigeria"/>
    <x v="0"/>
    <s v="Master's"/>
    <s v="Research Scientist/Senior Research Officer"/>
    <n v="384"/>
    <s v="Microsoft Copilot"/>
    <x v="2"/>
    <n v="0.9"/>
    <n v="10"/>
    <x v="49"/>
    <n v="3"/>
    <n v="4"/>
    <n v="1.2"/>
    <n v="7.9"/>
    <n v="44"/>
    <s v="Nigeria"/>
    <s v="Research Scientist/Senior Research Officer"/>
    <n v="384"/>
    <x v="1"/>
    <n v="1.2"/>
  </r>
  <r>
    <s v="U90304"/>
    <n v="28"/>
    <s v="Female"/>
    <s v="Philippines"/>
    <x v="0"/>
    <s v="Bachelor's"/>
    <s v="Digital Content Creator"/>
    <n v="385"/>
    <s v="Chat GPT"/>
    <x v="4"/>
    <n v="1.6"/>
    <n v="10"/>
    <x v="0"/>
    <n v="2"/>
    <n v="3"/>
    <n v="4.5"/>
    <n v="7.8"/>
    <n v="28"/>
    <s v="Philippines"/>
    <s v="Digital Content Creator"/>
    <n v="385"/>
    <x v="0"/>
    <n v="4.5"/>
  </r>
  <r>
    <s v="U0087"/>
    <n v="17"/>
    <s v="Male"/>
    <s v="UNKNOWN"/>
    <x v="1"/>
    <s v="Undergraduate"/>
    <s v="Digital Media &amp; Film Production Student"/>
    <n v="387"/>
    <s v="Microsoft Copilot"/>
    <x v="4"/>
    <n v="1.5"/>
    <n v="10"/>
    <x v="41"/>
    <n v="3"/>
    <n v="6"/>
    <n v="7.5"/>
    <n v="0"/>
    <n v="17"/>
    <s v="Unknown"/>
    <s v="Digital Media &amp; Film Production Student"/>
    <n v="387"/>
    <x v="1"/>
    <n v="7.5"/>
  </r>
  <r>
    <s v="U0191"/>
    <n v="21"/>
    <s v="Female"/>
    <s v="Canada"/>
    <x v="1"/>
    <s v="Undergraduate"/>
    <s v="Software Engineering Student"/>
    <n v="387"/>
    <s v="Chat GPT"/>
    <x v="0"/>
    <n v="5.8"/>
    <n v="30"/>
    <x v="19"/>
    <n v="4"/>
    <n v="8"/>
    <n v="10.199999999999999"/>
    <n v="4.8"/>
    <n v="21"/>
    <s v="Canada"/>
    <s v="Software Engineering Student"/>
    <n v="387"/>
    <x v="0"/>
    <n v="10.199999999999999"/>
  </r>
  <r>
    <s v="U0183"/>
    <m/>
    <s v="Male"/>
    <s v="United States"/>
    <x v="1"/>
    <s v="Bachelor's"/>
    <s v="English Literature Student"/>
    <n v="390"/>
    <s v="DeepSeek"/>
    <x v="5"/>
    <n v="7.9"/>
    <n v="0"/>
    <x v="57"/>
    <n v="4"/>
    <n v="9"/>
    <n v="14.2"/>
    <n v="6"/>
    <n v="30.023333333333333"/>
    <s v="United States"/>
    <s v="English Literature Student"/>
    <n v="390"/>
    <x v="4"/>
    <n v="14.2"/>
  </r>
  <r>
    <s v="U90171"/>
    <n v="22"/>
    <s v="Male"/>
    <s v="United Kingdom"/>
    <x v="1"/>
    <s v="Graduate"/>
    <s v="Mechanical Engineering Student"/>
    <n v="391"/>
    <s v=" Google Gemini"/>
    <x v="1"/>
    <n v="1.2"/>
    <n v="0"/>
    <x v="4"/>
    <n v="3"/>
    <n v="5"/>
    <n v="3"/>
    <n v="7.2"/>
    <n v="22"/>
    <s v="United Kingdom"/>
    <s v="Mechanical Engineering Student"/>
    <n v="391"/>
    <x v="2"/>
    <n v="3"/>
  </r>
  <r>
    <s v="U0209"/>
    <n v="28"/>
    <s v="Female"/>
    <s v="Philippines"/>
    <x v="0"/>
    <s v="Bachelor's"/>
    <s v="Digital Content Creator"/>
    <n v="392"/>
    <s v="Chat GPT"/>
    <x v="4"/>
    <n v="1.6"/>
    <n v="10"/>
    <x v="0"/>
    <n v="2"/>
    <n v="3"/>
    <n v="4.5"/>
    <n v="7.8"/>
    <n v="28"/>
    <s v="Philippines"/>
    <s v="Digital Content Creator"/>
    <n v="392"/>
    <x v="0"/>
    <n v="4.5"/>
  </r>
  <r>
    <s v="U90242"/>
    <n v="18"/>
    <s v="Male"/>
    <s v="Canada"/>
    <x v="1"/>
    <s v="Graduate"/>
    <s v="Computer Science Student"/>
    <n v="393"/>
    <s v="Chat GPT"/>
    <x v="0"/>
    <n v="1"/>
    <n v="20"/>
    <x v="9"/>
    <n v="2"/>
    <n v="4"/>
    <n v="5.2"/>
    <n v="6.7"/>
    <n v="18"/>
    <s v="Canada"/>
    <s v="Computer Science Student"/>
    <n v="393"/>
    <x v="0"/>
    <n v="5.2"/>
  </r>
  <r>
    <s v="U90428"/>
    <n v="18"/>
    <s v="Female"/>
    <s v="Canada"/>
    <x v="1"/>
    <s v="Undergraduate"/>
    <s v="Biology Student"/>
    <n v="394"/>
    <s v="Perplexity AI"/>
    <x v="1"/>
    <n v="4.0999999999999996"/>
    <n v="0"/>
    <x v="24"/>
    <n v="4"/>
    <n v="7"/>
    <n v="9.1999999999999993"/>
    <n v="6.2"/>
    <n v="18"/>
    <s v="Canada"/>
    <s v="Biology Student"/>
    <n v="394"/>
    <x v="8"/>
    <n v="9.1999999999999993"/>
  </r>
  <r>
    <s v="U0073"/>
    <m/>
    <s v="Male"/>
    <s v="Canada"/>
    <x v="1"/>
    <s v="Undergraduate"/>
    <s v="Environmental Science Student"/>
    <n v="397"/>
    <s v=" Google Gemini"/>
    <x v="2"/>
    <n v="5.4"/>
    <n v="0"/>
    <x v="58"/>
    <n v="3"/>
    <n v="8"/>
    <n v="13.1"/>
    <n v="6.5"/>
    <n v="30.023333333333333"/>
    <s v="Canada"/>
    <s v="Environmental Science Student"/>
    <n v="397"/>
    <x v="2"/>
    <n v="13.1"/>
  </r>
  <r>
    <s v="U0152"/>
    <n v="17"/>
    <s v="Male"/>
    <s v="Canada"/>
    <x v="1"/>
    <s v="Undergraduate"/>
    <s v="Computer Science Student"/>
    <n v="402"/>
    <s v="Chat GPT"/>
    <x v="0"/>
    <n v="1"/>
    <n v="20"/>
    <x v="9"/>
    <n v="2"/>
    <n v="4"/>
    <n v="5.2"/>
    <n v="6.7"/>
    <n v="17"/>
    <s v="Canada"/>
    <s v="Computer Science Student"/>
    <n v="402"/>
    <x v="0"/>
    <n v="5.2"/>
  </r>
  <r>
    <s v="U90112"/>
    <n v="24"/>
    <s v="Female"/>
    <s v="Australia"/>
    <x v="1"/>
    <s v="Undergraduate"/>
    <s v="Business Analytics Student"/>
    <n v="403"/>
    <s v="claude"/>
    <x v="1"/>
    <n v="3.4"/>
    <n v="10"/>
    <x v="1"/>
    <n v="4"/>
    <n v="6"/>
    <n v="7.7"/>
    <n v="4.5999999999999996"/>
    <n v="24"/>
    <s v="Australia"/>
    <s v="Business Analytics Student"/>
    <n v="403"/>
    <x v="5"/>
    <n v="7.7"/>
  </r>
  <r>
    <s v="U90141"/>
    <n v="61"/>
    <s v="Male"/>
    <s v="Brazil"/>
    <x v="0"/>
    <s v="Diploma"/>
    <s v="UNKNOWN"/>
    <n v="403"/>
    <s v="Chat GPT"/>
    <x v="5"/>
    <n v="1.6"/>
    <n v="0"/>
    <x v="6"/>
    <n v="4"/>
    <n v="5"/>
    <n v="4.9000000000000004"/>
    <n v="8.5"/>
    <n v="61"/>
    <s v="Brazil"/>
    <s v="UNKNOWN"/>
    <n v="403"/>
    <x v="0"/>
    <n v="4.9000000000000004"/>
  </r>
  <r>
    <s v="U90065"/>
    <n v="18"/>
    <s v="Female"/>
    <s v="Australia"/>
    <x v="1"/>
    <s v="Master's"/>
    <s v="Data Science Student"/>
    <n v="413"/>
    <s v="Chat GPT"/>
    <x v="6"/>
    <n v="0.5"/>
    <n v="10"/>
    <x v="3"/>
    <n v="4"/>
    <n v="6"/>
    <n v="0.5"/>
    <n v="7.5"/>
    <n v="18"/>
    <s v="Australia"/>
    <s v="Data Science Student"/>
    <n v="413"/>
    <x v="0"/>
    <n v="0.5"/>
  </r>
  <r>
    <s v="U90603"/>
    <n v="42"/>
    <s v="Female"/>
    <s v="Nigeria"/>
    <x v="0"/>
    <s v="Master's"/>
    <s v="Research Scientist/Senior Research Officer"/>
    <n v="414"/>
    <s v="Microsoft Copilot"/>
    <x v="2"/>
    <n v="0.9"/>
    <n v="10"/>
    <x v="49"/>
    <n v="3"/>
    <n v="4"/>
    <n v="1.2"/>
    <n v="7.9"/>
    <n v="42"/>
    <s v="Nigeria"/>
    <s v="Research Scientist/Senior Research Officer"/>
    <n v="414"/>
    <x v="1"/>
    <n v="1.2"/>
  </r>
  <r>
    <s v="U0031"/>
    <n v="20"/>
    <s v="Male"/>
    <s v="Canada"/>
    <x v="1"/>
    <s v="Undergraduate"/>
    <s v="UNKNOWN"/>
    <n v="415"/>
    <s v="Microsoft Copilot"/>
    <x v="2"/>
    <n v="3"/>
    <n v="0"/>
    <x v="59"/>
    <n v="3"/>
    <n v="5"/>
    <n v="3.1"/>
    <n v="5.5"/>
    <n v="20"/>
    <s v="Canada"/>
    <s v="UNKNOWN"/>
    <n v="415"/>
    <x v="1"/>
    <n v="3.1"/>
  </r>
  <r>
    <s v="U0037"/>
    <n v="63"/>
    <s v="Male"/>
    <s v="Brazil"/>
    <x v="0"/>
    <s v="Diploma"/>
    <s v="UNKNOWN"/>
    <n v="418"/>
    <s v="Chat GPT"/>
    <x v="5"/>
    <n v="1.6"/>
    <n v="0"/>
    <x v="6"/>
    <n v="4"/>
    <n v="5"/>
    <n v="4.9000000000000004"/>
    <n v="8.5"/>
    <n v="63"/>
    <s v="Brazil"/>
    <s v="UNKNOWN"/>
    <n v="418"/>
    <x v="0"/>
    <n v="4.9000000000000004"/>
  </r>
  <r>
    <s v="U90529"/>
    <n v="21"/>
    <s v="Female"/>
    <s v="Canada"/>
    <x v="1"/>
    <s v="Undergraduate"/>
    <s v="Biology Student"/>
    <n v="419"/>
    <s v="Perplexity AI"/>
    <x v="1"/>
    <n v="4.0999999999999996"/>
    <n v="0"/>
    <x v="24"/>
    <n v="4"/>
    <n v="7"/>
    <n v="9.1999999999999993"/>
    <n v="6.2"/>
    <n v="21"/>
    <s v="Canada"/>
    <s v="Biology Student"/>
    <n v="419"/>
    <x v="8"/>
    <n v="9.1999999999999993"/>
  </r>
  <r>
    <s v="U90596"/>
    <m/>
    <s v="Male"/>
    <s v="United States"/>
    <x v="1"/>
    <s v="Bachelor's"/>
    <s v="English Literature Student"/>
    <n v="422"/>
    <s v="DeepSeek"/>
    <x v="5"/>
    <n v="7.9"/>
    <n v="0"/>
    <x v="57"/>
    <n v="4"/>
    <n v="9"/>
    <n v="14.2"/>
    <n v="6"/>
    <n v="30.023333333333333"/>
    <s v="United States"/>
    <s v="English Literature Student"/>
    <n v="422"/>
    <x v="4"/>
    <n v="14.2"/>
  </r>
  <r>
    <s v="U90627"/>
    <n v="40"/>
    <s v="Male"/>
    <s v="India"/>
    <x v="0"/>
    <s v="Diploma"/>
    <s v="Customer Support Executive"/>
    <n v="423"/>
    <s v="DeepSeek"/>
    <x v="3"/>
    <n v="0.6"/>
    <n v="25"/>
    <x v="6"/>
    <n v="4"/>
    <n v="6"/>
    <n v="4"/>
    <n v="7.1"/>
    <n v="40"/>
    <s v="India"/>
    <s v="Customer Support Executive"/>
    <n v="423"/>
    <x v="4"/>
    <n v="4"/>
  </r>
  <r>
    <s v="U90244"/>
    <n v="24"/>
    <s v="Male"/>
    <s v="United Kingdom"/>
    <x v="1"/>
    <s v="Graduate"/>
    <s v="Mechanical Engineering Student"/>
    <n v="424"/>
    <s v=" Google Gemini"/>
    <x v="1"/>
    <n v="1.2"/>
    <n v="0"/>
    <x v="4"/>
    <n v="3"/>
    <n v="5"/>
    <n v="3"/>
    <n v="7.2"/>
    <n v="24"/>
    <s v="United Kingdom"/>
    <s v="Mechanical Engineering Student"/>
    <n v="424"/>
    <x v="2"/>
    <n v="3"/>
  </r>
  <r>
    <s v="U90217"/>
    <n v="26"/>
    <s v="Male"/>
    <s v="France"/>
    <x v="1"/>
    <s v="High School"/>
    <s v="History Student"/>
    <n v="426"/>
    <s v="DeepSeek"/>
    <x v="2"/>
    <n v="6"/>
    <n v="0"/>
    <x v="46"/>
    <n v="5"/>
    <n v="8"/>
    <n v="13.1"/>
    <n v="6.8"/>
    <n v="26"/>
    <s v="France"/>
    <s v="History Student"/>
    <n v="426"/>
    <x v="4"/>
    <n v="13.1"/>
  </r>
  <r>
    <s v="U90069"/>
    <n v="21"/>
    <s v="Female"/>
    <s v="Canada"/>
    <x v="1"/>
    <s v="Undergraduate"/>
    <s v="Software Engineering Student"/>
    <n v="426"/>
    <s v="Chat GPT"/>
    <x v="0"/>
    <n v="5.8"/>
    <n v="30"/>
    <x v="19"/>
    <n v="4"/>
    <n v="8"/>
    <n v="10.199999999999999"/>
    <n v="4.8"/>
    <n v="21"/>
    <s v="Canada"/>
    <s v="Software Engineering Student"/>
    <n v="426"/>
    <x v="0"/>
    <n v="10.199999999999999"/>
  </r>
  <r>
    <s v="U90602"/>
    <m/>
    <s v="Male"/>
    <s v="Canada"/>
    <x v="1"/>
    <s v="Undergraduate"/>
    <s v="Environmental Science Student"/>
    <n v="428"/>
    <s v=" Google Gemini"/>
    <x v="2"/>
    <n v="5.4"/>
    <n v="0"/>
    <x v="58"/>
    <n v="3"/>
    <n v="8"/>
    <n v="13.1"/>
    <n v="6.5"/>
    <n v="30.023333333333333"/>
    <s v="Canada"/>
    <s v="Environmental Science Student"/>
    <n v="428"/>
    <x v="2"/>
    <n v="13.1"/>
  </r>
  <r>
    <s v="U90100"/>
    <n v="16"/>
    <s v="Male"/>
    <s v="Canada"/>
    <x v="1"/>
    <s v="Graduate"/>
    <s v="Computer Science Student"/>
    <n v="434"/>
    <s v="Chat GPT"/>
    <x v="0"/>
    <n v="1"/>
    <n v="20"/>
    <x v="9"/>
    <n v="2"/>
    <n v="4"/>
    <n v="5.2"/>
    <n v="6.7"/>
    <n v="16"/>
    <s v="Canada"/>
    <s v="Computer Science Student"/>
    <n v="434"/>
    <x v="0"/>
    <n v="5.2"/>
  </r>
  <r>
    <s v="U90155"/>
    <n v="32"/>
    <s v="Female"/>
    <s v="Pakistan"/>
    <x v="0"/>
    <s v="Diploma"/>
    <s v="Junior Software Developer"/>
    <n v="434"/>
    <s v="Chat GPT"/>
    <x v="0"/>
    <n v="0.7"/>
    <n v="0"/>
    <x v="3"/>
    <n v="3"/>
    <n v="4"/>
    <n v="1.7"/>
    <n v="9.5"/>
    <n v="32"/>
    <s v="Pakistan"/>
    <s v="Junior Software Developer"/>
    <n v="434"/>
    <x v="0"/>
    <n v="1.7"/>
  </r>
  <r>
    <s v="U0121"/>
    <n v="24"/>
    <s v="Female"/>
    <s v="Australia"/>
    <x v="1"/>
    <s v="Undergraduate"/>
    <s v="Business Analytics Student"/>
    <n v="435"/>
    <s v="claude"/>
    <x v="1"/>
    <n v="3.4"/>
    <n v="10"/>
    <x v="1"/>
    <n v="4"/>
    <n v="6"/>
    <n v="7.7"/>
    <n v="4.5999999999999996"/>
    <n v="24"/>
    <s v="Australia"/>
    <s v="Business Analytics Student"/>
    <n v="435"/>
    <x v="5"/>
    <n v="7.7"/>
  </r>
  <r>
    <s v="U90108"/>
    <m/>
    <s v="Male"/>
    <s v="United States"/>
    <x v="1"/>
    <s v="Bachelor's"/>
    <s v="English Literature Student"/>
    <n v="435"/>
    <s v="DeepSeek"/>
    <x v="5"/>
    <n v="7.9"/>
    <n v="0"/>
    <x v="57"/>
    <n v="4"/>
    <n v="9"/>
    <n v="14.2"/>
    <n v="6"/>
    <n v="30.023333333333333"/>
    <s v="United States"/>
    <s v="English Literature Student"/>
    <n v="435"/>
    <x v="4"/>
    <n v="14.2"/>
  </r>
  <r>
    <s v="U90504"/>
    <n v="25"/>
    <s v="Male"/>
    <s v="United Kingdom"/>
    <x v="1"/>
    <s v="Graduate"/>
    <s v="Mechanical Engineering Student"/>
    <n v="436"/>
    <s v=" Google Gemini"/>
    <x v="1"/>
    <n v="1.2"/>
    <n v="0"/>
    <x v="4"/>
    <n v="3"/>
    <n v="5"/>
    <n v="3"/>
    <n v="7.2"/>
    <n v="25"/>
    <s v="United Kingdom"/>
    <s v="Mechanical Engineering Student"/>
    <n v="436"/>
    <x v="2"/>
    <n v="3"/>
  </r>
  <r>
    <s v="U90182"/>
    <n v="26"/>
    <s v="Male"/>
    <s v="France"/>
    <x v="1"/>
    <s v="High School"/>
    <s v="History Student"/>
    <n v="437"/>
    <s v="DeepSeek"/>
    <x v="2"/>
    <n v="6"/>
    <n v="0"/>
    <x v="46"/>
    <n v="5"/>
    <n v="8"/>
    <n v="13.1"/>
    <n v="6.8"/>
    <n v="26"/>
    <s v="France"/>
    <s v="History Student"/>
    <n v="437"/>
    <x v="4"/>
    <n v="13.1"/>
  </r>
  <r>
    <s v="U0263"/>
    <n v="19"/>
    <s v="Female"/>
    <s v="Canada"/>
    <x v="1"/>
    <s v="Undergraduate"/>
    <s v="Biology Student"/>
    <n v="438"/>
    <s v="Perplexity AI"/>
    <x v="7"/>
    <n v="4.0999999999999996"/>
    <n v="0"/>
    <x v="24"/>
    <n v="4"/>
    <n v="7"/>
    <n v="9.1999999999999993"/>
    <n v="6.2"/>
    <n v="19"/>
    <s v="Canada"/>
    <s v="Biology Student"/>
    <n v="438"/>
    <x v="8"/>
    <n v="9.1999999999999993"/>
  </r>
  <r>
    <s v="U90350"/>
    <n v="16"/>
    <s v="Male"/>
    <s v="Canada"/>
    <x v="1"/>
    <s v="Graduate"/>
    <s v="Computer Science Student"/>
    <n v="440"/>
    <s v="Chat GPT"/>
    <x v="0"/>
    <n v="1"/>
    <n v="20"/>
    <x v="9"/>
    <n v="2"/>
    <n v="4"/>
    <n v="5.2"/>
    <n v="6.7"/>
    <n v="16"/>
    <s v="Canada"/>
    <s v="Computer Science Student"/>
    <n v="440"/>
    <x v="0"/>
    <n v="5.2"/>
  </r>
  <r>
    <s v="U0003"/>
    <n v="17"/>
    <s v="Female"/>
    <s v="Australia"/>
    <x v="1"/>
    <s v="Master's"/>
    <s v="Data Science Student"/>
    <n v="440"/>
    <s v="Chat GPT"/>
    <x v="6"/>
    <n v="0.5"/>
    <n v="10"/>
    <x v="3"/>
    <n v="4"/>
    <n v="6"/>
    <n v="0.5"/>
    <n v="7.5"/>
    <n v="17"/>
    <s v="Australia"/>
    <s v="Data Science Student"/>
    <n v="440"/>
    <x v="0"/>
    <n v="0.5"/>
  </r>
  <r>
    <s v="U90398"/>
    <n v="28"/>
    <s v="Female"/>
    <s v="Philippines"/>
    <x v="0"/>
    <s v="Bachelor's"/>
    <s v="Digital Content Creator"/>
    <n v="441"/>
    <s v="Chat GPT"/>
    <x v="4"/>
    <n v="1.6"/>
    <n v="10"/>
    <x v="0"/>
    <n v="2"/>
    <n v="3"/>
    <n v="4.5"/>
    <n v="7.8"/>
    <n v="28"/>
    <s v="Philippines"/>
    <s v="Digital Content Creator"/>
    <n v="441"/>
    <x v="0"/>
    <n v="4.5"/>
  </r>
  <r>
    <s v="U90148"/>
    <n v="34"/>
    <s v="Male"/>
    <s v="Philippines"/>
    <x v="0"/>
    <s v="High School"/>
    <s v="Social Media Content Creator"/>
    <n v="441"/>
    <s v="Chat GPT"/>
    <x v="4"/>
    <n v="2"/>
    <n v="0"/>
    <x v="15"/>
    <n v="2"/>
    <n v="5"/>
    <n v="3.2"/>
    <n v="6.4"/>
    <n v="34"/>
    <s v="Philippines"/>
    <s v="Social Media Content Creator"/>
    <n v="441"/>
    <x v="0"/>
    <n v="3.2"/>
  </r>
  <r>
    <s v="U0178"/>
    <n v="22"/>
    <s v="Female"/>
    <s v="Germany"/>
    <x v="1"/>
    <s v="Bachelor's"/>
    <s v="Computer Science Student"/>
    <n v="442"/>
    <s v="Chat GPT"/>
    <x v="0"/>
    <n v="1"/>
    <n v="0"/>
    <x v="27"/>
    <n v="2"/>
    <n v="5"/>
    <n v="0"/>
    <n v="5.6"/>
    <n v="22"/>
    <s v="Germany"/>
    <s v="Computer Science Student"/>
    <n v="442"/>
    <x v="0"/>
    <n v="0"/>
  </r>
  <r>
    <s v="U90691"/>
    <n v="29"/>
    <s v="Female"/>
    <s v="Philippines"/>
    <x v="0"/>
    <s v="Bachelor's"/>
    <s v="Digital Content Creator"/>
    <n v="444"/>
    <s v="Chat GPT"/>
    <x v="4"/>
    <n v="1.6"/>
    <n v="10"/>
    <x v="0"/>
    <n v="2"/>
    <n v="3"/>
    <n v="4.5"/>
    <n v="7.8"/>
    <n v="29"/>
    <s v="Philippines"/>
    <s v="Digital Content Creator"/>
    <n v="444"/>
    <x v="0"/>
    <n v="4.5"/>
  </r>
  <r>
    <s v="U0205"/>
    <n v="24"/>
    <s v="Male"/>
    <s v="United Kingdom"/>
    <x v="1"/>
    <s v="Undergraduate"/>
    <s v="Mechanical Engineering Student"/>
    <n v="444"/>
    <s v=" Google Gemini"/>
    <x v="1"/>
    <n v="1.2"/>
    <n v="0"/>
    <x v="4"/>
    <n v="3"/>
    <n v="5"/>
    <n v="3"/>
    <n v="7.2"/>
    <n v="24"/>
    <s v="United Kingdom"/>
    <s v="Mechanical Engineering Student"/>
    <n v="444"/>
    <x v="2"/>
    <n v="3"/>
  </r>
  <r>
    <s v="U90151"/>
    <n v="19"/>
    <s v="Female"/>
    <s v="Australia"/>
    <x v="1"/>
    <s v="Master's"/>
    <s v="Data Science Student"/>
    <n v="448"/>
    <s v="Chat GPT"/>
    <x v="6"/>
    <n v="0.5"/>
    <n v="10"/>
    <x v="3"/>
    <n v="4"/>
    <n v="6"/>
    <n v="0.5"/>
    <n v="7.5"/>
    <n v="19"/>
    <s v="Australia"/>
    <s v="Data Science Student"/>
    <n v="448"/>
    <x v="0"/>
    <n v="0.5"/>
  </r>
  <r>
    <s v="U90326"/>
    <n v="25"/>
    <s v="Male"/>
    <s v="France"/>
    <x v="1"/>
    <s v="High School"/>
    <s v="History Student"/>
    <n v="448"/>
    <s v="DeepSeek"/>
    <x v="2"/>
    <n v="6"/>
    <n v="0"/>
    <x v="46"/>
    <n v="5"/>
    <n v="8"/>
    <n v="13.1"/>
    <n v="6.8"/>
    <n v="25"/>
    <s v="France"/>
    <s v="History Student"/>
    <n v="448"/>
    <x v="4"/>
    <n v="13.1"/>
  </r>
  <r>
    <s v="U0002"/>
    <n v="31"/>
    <s v="Female"/>
    <s v="Pakistan"/>
    <x v="0"/>
    <s v="Diploma"/>
    <s v="Junior Software Developer"/>
    <n v="448"/>
    <s v="Chat GPT"/>
    <x v="0"/>
    <n v="0.7"/>
    <n v="0"/>
    <x v="3"/>
    <n v="3"/>
    <n v="4"/>
    <n v="1.7"/>
    <n v="9.5"/>
    <n v="31"/>
    <s v="Pakistan"/>
    <s v="Junior Software Developer"/>
    <n v="448"/>
    <x v="0"/>
    <n v="1.7"/>
  </r>
  <r>
    <s v="U90364"/>
    <n v="29"/>
    <s v="Male"/>
    <s v="Germany"/>
    <x v="1"/>
    <s v="Bachelor's"/>
    <s v="Data Science Student"/>
    <n v="453"/>
    <s v="Unknown"/>
    <x v="2"/>
    <n v="2"/>
    <n v="0"/>
    <x v="28"/>
    <n v="4"/>
    <n v="6"/>
    <n v="3.8"/>
    <n v="2.8"/>
    <n v="29"/>
    <s v="Germany"/>
    <s v="Data Science Student"/>
    <n v="453"/>
    <x v="7"/>
    <n v="3.8"/>
  </r>
  <r>
    <s v="U90281"/>
    <n v="62"/>
    <s v="Male"/>
    <s v="Brazil"/>
    <x v="0"/>
    <s v="Diploma"/>
    <s v="UNKNOWN"/>
    <n v="460"/>
    <s v="Chat GPT"/>
    <x v="5"/>
    <n v="1.6"/>
    <n v="0"/>
    <x v="6"/>
    <n v="4"/>
    <n v="5"/>
    <n v="4.9000000000000004"/>
    <n v="8.5"/>
    <n v="62"/>
    <s v="Brazil"/>
    <s v="UNKNOWN"/>
    <n v="460"/>
    <x v="0"/>
    <n v="4.9000000000000004"/>
  </r>
  <r>
    <s v="U90402"/>
    <n v="19"/>
    <s v="Female"/>
    <s v="Canada"/>
    <x v="1"/>
    <s v="Undergraduate"/>
    <s v="Biology Student"/>
    <n v="464"/>
    <s v="Perplexity AI"/>
    <x v="1"/>
    <n v="4.0999999999999996"/>
    <n v="0"/>
    <x v="24"/>
    <n v="4"/>
    <n v="7"/>
    <n v="9.1999999999999993"/>
    <n v="6.2"/>
    <n v="19"/>
    <s v="Canada"/>
    <s v="Biology Student"/>
    <n v="464"/>
    <x v="8"/>
    <n v="9.1999999999999993"/>
  </r>
  <r>
    <s v="U90158"/>
    <n v="30"/>
    <s v="Female"/>
    <s v="Germany"/>
    <x v="0"/>
    <s v="Bachelor's"/>
    <s v=" Customer Service Specialist"/>
    <m/>
    <s v="Chat GPT"/>
    <x v="3"/>
    <n v="1"/>
    <n v="0"/>
    <x v="0"/>
    <n v="3"/>
    <n v="6"/>
    <n v="2.7"/>
    <n v="8"/>
    <n v="30"/>
    <s v="Germany"/>
    <s v="Customer Service Specialist"/>
    <n v="465.66666666666669"/>
    <x v="0"/>
    <n v="2.7"/>
  </r>
  <r>
    <s v="U90035"/>
    <n v="31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31"/>
    <s v="Germany"/>
    <s v="Customer Service Specialist"/>
    <n v="465.66666666666669"/>
    <x v="0"/>
    <n v="2.7"/>
  </r>
  <r>
    <s v="U90054"/>
    <n v="27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27"/>
    <s v="Germany"/>
    <s v="Customer Service Specialist"/>
    <n v="465.66666666666669"/>
    <x v="0"/>
    <n v="2.7"/>
  </r>
  <r>
    <s v="U90085"/>
    <n v="31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31"/>
    <s v="Germany"/>
    <s v="Customer Service Specialist"/>
    <n v="465.66666666666669"/>
    <x v="0"/>
    <n v="2.7"/>
  </r>
  <r>
    <s v="U90096"/>
    <n v="27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27"/>
    <s v="Germany"/>
    <s v="Customer Service Specialist"/>
    <n v="465.66666666666669"/>
    <x v="0"/>
    <n v="2.7"/>
  </r>
  <r>
    <s v="U90215"/>
    <n v="29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29"/>
    <s v="Germany"/>
    <s v="Customer Service Specialist"/>
    <n v="465.66666666666669"/>
    <x v="0"/>
    <n v="2.7"/>
  </r>
  <r>
    <s v="U90229"/>
    <n v="29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29"/>
    <s v="Germany"/>
    <s v="Customer Service Specialist"/>
    <n v="465.66666666666669"/>
    <x v="0"/>
    <n v="2.7"/>
  </r>
  <r>
    <s v="U90390"/>
    <n v="31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31"/>
    <s v="Germany"/>
    <s v="Customer Service Specialist"/>
    <n v="465.66666666666669"/>
    <x v="0"/>
    <n v="2.7"/>
  </r>
  <r>
    <s v="U90643"/>
    <n v="28"/>
    <s v="Female"/>
    <s v="Germany"/>
    <x v="0"/>
    <s v="Bachelor's"/>
    <s v="Customer Service Specialist"/>
    <m/>
    <s v="Chat GPT"/>
    <x v="3"/>
    <n v="1"/>
    <n v="0"/>
    <x v="0"/>
    <n v="3"/>
    <n v="6"/>
    <n v="2.7"/>
    <n v="8"/>
    <n v="28"/>
    <s v="Germany"/>
    <s v="Customer Service Specialist"/>
    <n v="465.66666666666669"/>
    <x v="0"/>
    <n v="2.7"/>
  </r>
  <r>
    <s v="U90003"/>
    <n v="49"/>
    <s v="Male"/>
    <s v="Brazil"/>
    <x v="0"/>
    <s v="Diploma"/>
    <s v="Systems Developer"/>
    <n v="466"/>
    <s v=" Google Gemini"/>
    <x v="0"/>
    <n v="5.5"/>
    <n v="0"/>
    <x v="60"/>
    <n v="4"/>
    <n v="7"/>
    <n v="11.5"/>
    <n v="8.4"/>
    <n v="49"/>
    <s v="Brazil"/>
    <s v="Systems Developer"/>
    <n v="466"/>
    <x v="2"/>
    <n v="11.5"/>
  </r>
  <r>
    <s v="U90227"/>
    <n v="18"/>
    <s v="Female"/>
    <s v="United States"/>
    <x v="1"/>
    <s v="Bachelor's"/>
    <s v="Biology Student"/>
    <n v="468"/>
    <s v="Chat GPT"/>
    <x v="1"/>
    <n v="4.3"/>
    <n v="20"/>
    <x v="25"/>
    <n v="2"/>
    <n v="6"/>
    <n v="8.1"/>
    <n v="5.2"/>
    <n v="18"/>
    <s v="United States"/>
    <s v="Biology Student"/>
    <n v="468"/>
    <x v="0"/>
    <n v="8.1"/>
  </r>
  <r>
    <s v="U90086"/>
    <n v="26"/>
    <s v="Male"/>
    <s v="United Kingdom"/>
    <x v="1"/>
    <s v="Graduate"/>
    <s v="Mechanical Engineering Student"/>
    <n v="468"/>
    <s v=" Google Gemini"/>
    <x v="1"/>
    <n v="1.2"/>
    <n v="0"/>
    <x v="4"/>
    <n v="3"/>
    <n v="5"/>
    <n v="3"/>
    <n v="7.2"/>
    <n v="26"/>
    <s v="United Kingdom"/>
    <s v="Mechanical Engineering Student"/>
    <n v="468"/>
    <x v="2"/>
    <n v="3"/>
  </r>
  <r>
    <s v="U90104"/>
    <n v="24"/>
    <s v="Male"/>
    <s v="United Kingdom"/>
    <x v="1"/>
    <s v="Bachelor's "/>
    <s v="English Literature Student"/>
    <n v="469"/>
    <s v="Chat GPT"/>
    <x v="1"/>
    <n v="0.6"/>
    <n v="20"/>
    <x v="40"/>
    <n v="3"/>
    <n v="4"/>
    <n v="0"/>
    <n v="4.5"/>
    <n v="24"/>
    <s v="United Kingdom"/>
    <s v="English Literature Student"/>
    <n v="469"/>
    <x v="0"/>
    <n v="0"/>
  </r>
  <r>
    <s v="U90061"/>
    <n v="21"/>
    <s v="Male"/>
    <s v="Australia"/>
    <x v="1"/>
    <s v="Undergraduate"/>
    <s v="English Literature Student"/>
    <n v="472"/>
    <s v="Chat GPT"/>
    <x v="5"/>
    <n v="5.2"/>
    <n v="0"/>
    <x v="61"/>
    <n v="4"/>
    <n v="7"/>
    <n v="12.1"/>
    <n v="7"/>
    <n v="21"/>
    <s v="Australia"/>
    <s v="English Literature Student"/>
    <n v="472"/>
    <x v="0"/>
    <n v="12.1"/>
  </r>
  <r>
    <s v="U90433"/>
    <m/>
    <s v="Male"/>
    <s v="Kenya"/>
    <x v="0"/>
    <s v="High School"/>
    <s v="Administrative Assistant"/>
    <n v="474"/>
    <s v="Chat GPT"/>
    <x v="8"/>
    <n v="9.9"/>
    <n v="0"/>
    <x v="30"/>
    <n v="5"/>
    <n v="9"/>
    <n v="16.2"/>
    <n v="8.5"/>
    <n v="30.023333333333333"/>
    <s v="Kenya"/>
    <s v="Administrative Assistant"/>
    <n v="474"/>
    <x v="0"/>
    <n v="16.2"/>
  </r>
  <r>
    <s v="U90625"/>
    <n v="25"/>
    <s v="Female"/>
    <s v="United States"/>
    <x v="1"/>
    <s v="Master's"/>
    <s v="Data Science Student"/>
    <n v="475"/>
    <s v="Chat GPT"/>
    <x v="1"/>
    <n v="2.7"/>
    <n v="0"/>
    <x v="13"/>
    <n v="4"/>
    <n v="7"/>
    <n v="8.4"/>
    <n v="5.4"/>
    <n v="25"/>
    <s v="United States"/>
    <s v="Data Science Student"/>
    <n v="475"/>
    <x v="0"/>
    <n v="8.4"/>
  </r>
  <r>
    <s v="U90032"/>
    <n v="34"/>
    <s v="Male"/>
    <s v="Brazil"/>
    <x v="0"/>
    <s v="Bachelor's"/>
    <s v="Software Developer SÃªnior"/>
    <n v="475"/>
    <s v=" Google Gemini"/>
    <x v="0"/>
    <n v="0.5"/>
    <n v="20"/>
    <x v="35"/>
    <n v="3"/>
    <n v="5"/>
    <n v="0.1"/>
    <n v="10.199999999999999"/>
    <n v="34"/>
    <s v="Brazil"/>
    <s v="Software Developer SÃªnior"/>
    <n v="475"/>
    <x v="2"/>
    <n v="0.1"/>
  </r>
  <r>
    <s v="U90298"/>
    <n v="29"/>
    <s v="Male"/>
    <s v="United Kingdom"/>
    <x v="1"/>
    <s v="Undergraduate"/>
    <s v="Data Science Student"/>
    <n v="476"/>
    <s v="Perplexity AI"/>
    <x v="1"/>
    <n v="1.5"/>
    <n v="10"/>
    <x v="7"/>
    <n v="3"/>
    <n v="5"/>
    <n v="5.5"/>
    <n v="5.7"/>
    <n v="29"/>
    <s v="United Kingdom"/>
    <s v="Data Science Student"/>
    <n v="476"/>
    <x v="8"/>
    <n v="5.5"/>
  </r>
  <r>
    <s v="U90457"/>
    <n v="20"/>
    <s v="Female"/>
    <s v="Germany"/>
    <x v="1"/>
    <s v="Bachelor's"/>
    <s v="Computer Science Student"/>
    <n v="477"/>
    <s v="Chat GPT"/>
    <x v="0"/>
    <n v="1"/>
    <n v="0"/>
    <x v="27"/>
    <n v="2"/>
    <n v="5"/>
    <n v="0"/>
    <n v="5.6"/>
    <n v="20"/>
    <s v="Germany"/>
    <s v="Computer Science Student"/>
    <n v="477"/>
    <x v="0"/>
    <n v="0"/>
  </r>
  <r>
    <s v="U90219"/>
    <n v="17"/>
    <s v="Female"/>
    <s v="Australia"/>
    <x v="1"/>
    <s v="Master's"/>
    <s v="Data Science Student"/>
    <n v="480"/>
    <s v="Chat GPT"/>
    <x v="6"/>
    <n v="0.5"/>
    <n v="10"/>
    <x v="3"/>
    <n v="4"/>
    <n v="6"/>
    <n v="0.5"/>
    <n v="7.5"/>
    <n v="17"/>
    <s v="Australia"/>
    <s v="Data Science Student"/>
    <n v="480"/>
    <x v="0"/>
    <n v="0.5"/>
  </r>
  <r>
    <s v="U0188"/>
    <n v="27"/>
    <s v="Male"/>
    <s v="France"/>
    <x v="1"/>
    <s v="High School"/>
    <s v="History Student"/>
    <n v="482"/>
    <s v="DeepSeek"/>
    <x v="2"/>
    <n v="6"/>
    <n v="0"/>
    <x v="46"/>
    <n v="5"/>
    <n v="8"/>
    <n v="13.1"/>
    <n v="6.8"/>
    <n v="27"/>
    <s v="France"/>
    <s v="History Student"/>
    <n v="482"/>
    <x v="4"/>
    <n v="13.1"/>
  </r>
  <r>
    <s v="U90460"/>
    <n v="32"/>
    <s v="Female"/>
    <s v="Pakistan"/>
    <x v="0"/>
    <s v="Diploma"/>
    <s v="Junior Software Developer"/>
    <n v="482"/>
    <s v="Chat GPT"/>
    <x v="0"/>
    <n v="0.7"/>
    <n v="0"/>
    <x v="3"/>
    <n v="3"/>
    <n v="4"/>
    <n v="1.7"/>
    <n v="9.5"/>
    <n v="32"/>
    <s v="Pakistan"/>
    <s v="Junior Software Developer"/>
    <n v="482"/>
    <x v="0"/>
    <n v="1.7"/>
  </r>
  <r>
    <s v="U90052"/>
    <n v="48"/>
    <s v="Male"/>
    <s v="Brazil"/>
    <x v="0"/>
    <s v="Diploma"/>
    <s v="Systems Developer"/>
    <n v="482"/>
    <s v=" Google Gemini"/>
    <x v="0"/>
    <n v="5.5"/>
    <n v="0"/>
    <x v="60"/>
    <n v="4"/>
    <n v="7"/>
    <n v="11.5"/>
    <n v="8.4"/>
    <n v="48"/>
    <s v="Brazil"/>
    <s v="Systems Developer"/>
    <n v="482"/>
    <x v="2"/>
    <n v="11.5"/>
  </r>
  <r>
    <s v="U0110"/>
    <n v="39"/>
    <s v="Male"/>
    <s v="India"/>
    <x v="0"/>
    <s v="Diploma"/>
    <s v="Customer Support Executive"/>
    <n v="483"/>
    <s v="DeepSeek"/>
    <x v="3"/>
    <n v="0.6"/>
    <n v="25"/>
    <x v="6"/>
    <n v="4"/>
    <n v="6"/>
    <n v="4"/>
    <n v="7.1"/>
    <n v="39"/>
    <s v="India"/>
    <s v="Customer Support Executive"/>
    <n v="483"/>
    <x v="4"/>
    <n v="4"/>
  </r>
  <r>
    <s v="U90309"/>
    <n v="31"/>
    <s v="Male"/>
    <s v="Germany"/>
    <x v="1"/>
    <s v="Bachelor's"/>
    <s v="Data Science Student"/>
    <n v="484"/>
    <s v="Unknown"/>
    <x v="2"/>
    <n v="2"/>
    <n v="0"/>
    <x v="28"/>
    <n v="4"/>
    <n v="6"/>
    <n v="3.8"/>
    <n v="2.8"/>
    <n v="31"/>
    <s v="Germany"/>
    <s v="Data Science Student"/>
    <n v="484"/>
    <x v="7"/>
    <n v="3.8"/>
  </r>
  <r>
    <s v="U90517"/>
    <n v="25"/>
    <s v="Male"/>
    <s v="France"/>
    <x v="1"/>
    <s v="High School"/>
    <s v="History Student"/>
    <n v="485"/>
    <s v="DeepSeek"/>
    <x v="2"/>
    <n v="6"/>
    <n v="0"/>
    <x v="46"/>
    <n v="5"/>
    <n v="8"/>
    <n v="13.1"/>
    <n v="6.8"/>
    <n v="25"/>
    <s v="France"/>
    <s v="History Student"/>
    <n v="485"/>
    <x v="4"/>
    <n v="13.1"/>
  </r>
  <r>
    <s v="U0177"/>
    <n v="32"/>
    <s v="Male"/>
    <s v="Philippines"/>
    <x v="0"/>
    <s v="High School"/>
    <s v="Social Media Content Creator"/>
    <n v="486"/>
    <s v="Chat GPT"/>
    <x v="4"/>
    <n v="2"/>
    <n v="0"/>
    <x v="15"/>
    <n v="2"/>
    <n v="5"/>
    <n v="3.2"/>
    <n v="6.4"/>
    <n v="32"/>
    <s v="Philippines"/>
    <s v="Social Media Content Creator"/>
    <n v="486"/>
    <x v="0"/>
    <n v="3.2"/>
  </r>
  <r>
    <s v="U90296"/>
    <n v="17"/>
    <s v="Female"/>
    <s v="Canada"/>
    <x v="1"/>
    <s v="PhD"/>
    <s v="Theoretical Physics Student"/>
    <n v="486"/>
    <s v="Unknown"/>
    <x v="1"/>
    <n v="3.2"/>
    <n v="20"/>
    <x v="20"/>
    <n v="4"/>
    <n v="8"/>
    <n v="4.8"/>
    <n v="20"/>
    <n v="17"/>
    <s v="Canada"/>
    <s v="Theoretical Physics Student"/>
    <n v="486"/>
    <x v="7"/>
    <n v="4.8"/>
  </r>
  <r>
    <s v="U90577"/>
    <n v="25"/>
    <s v="Male"/>
    <s v="France"/>
    <x v="1"/>
    <s v="High School"/>
    <s v="History Student"/>
    <n v="487"/>
    <s v="DeepSeek"/>
    <x v="2"/>
    <n v="6"/>
    <n v="0"/>
    <x v="46"/>
    <n v="5"/>
    <n v="8"/>
    <n v="13.1"/>
    <n v="6.8"/>
    <n v="25"/>
    <s v="France"/>
    <s v="History Student"/>
    <n v="487"/>
    <x v="4"/>
    <n v="13.1"/>
  </r>
  <r>
    <s v="U0074"/>
    <n v="39"/>
    <s v="Male"/>
    <s v="Nigeria"/>
    <x v="0"/>
    <s v="High School"/>
    <s v="Research Assistant"/>
    <n v="488"/>
    <s v="DeepSeek"/>
    <x v="2"/>
    <n v="1.2"/>
    <n v="20"/>
    <x v="16"/>
    <n v="3"/>
    <n v="7"/>
    <n v="2.9"/>
    <n v="6.8"/>
    <n v="39"/>
    <s v="Nigeria"/>
    <s v="Research Assistant"/>
    <n v="488"/>
    <x v="4"/>
    <n v="2.9"/>
  </r>
  <r>
    <s v="U90045"/>
    <n v="29"/>
    <s v="Male"/>
    <s v="France"/>
    <x v="1"/>
    <s v="High School"/>
    <s v="History Student"/>
    <n v="494"/>
    <s v="DeepSeek"/>
    <x v="2"/>
    <n v="6"/>
    <n v="0"/>
    <x v="46"/>
    <n v="5"/>
    <n v="8"/>
    <n v="13.1"/>
    <n v="6.8"/>
    <n v="29"/>
    <s v="France"/>
    <s v="History Student"/>
    <n v="494"/>
    <x v="4"/>
    <n v="13.1"/>
  </r>
  <r>
    <s v="U90194"/>
    <n v="25"/>
    <s v="Male"/>
    <s v="France"/>
    <x v="1"/>
    <s v="High School"/>
    <s v="History Student"/>
    <n v="496"/>
    <s v="DeepSeek"/>
    <x v="2"/>
    <n v="6"/>
    <n v="0"/>
    <x v="46"/>
    <n v="5"/>
    <n v="8"/>
    <n v="13.1"/>
    <n v="6.8"/>
    <n v="25"/>
    <s v="France"/>
    <s v="History Student"/>
    <n v="496"/>
    <x v="4"/>
    <n v="13.1"/>
  </r>
  <r>
    <s v="U90698"/>
    <n v="41"/>
    <s v="Male"/>
    <s v="Nigeria"/>
    <x v="0"/>
    <s v="High School"/>
    <s v="Research Assistant"/>
    <n v="497"/>
    <s v="DeepSeek"/>
    <x v="2"/>
    <n v="1.2"/>
    <n v="20"/>
    <x v="16"/>
    <n v="3"/>
    <n v="7"/>
    <n v="2.9"/>
    <n v="6.8"/>
    <n v="41"/>
    <s v="Nigeria"/>
    <s v="Research Assistant"/>
    <n v="497"/>
    <x v="4"/>
    <n v="2.9"/>
  </r>
  <r>
    <s v="U90196"/>
    <n v="37"/>
    <s v="Male"/>
    <s v="India"/>
    <x v="0"/>
    <s v="Diploma"/>
    <s v="Customer Support Executive"/>
    <n v="502"/>
    <s v="DeepSeek"/>
    <x v="3"/>
    <n v="0.6"/>
    <n v="25"/>
    <x v="6"/>
    <n v="4"/>
    <n v="6"/>
    <n v="4"/>
    <n v="7.1"/>
    <n v="37"/>
    <s v="India"/>
    <s v="Customer Support Executive"/>
    <n v="502"/>
    <x v="4"/>
    <n v="4"/>
  </r>
  <r>
    <s v="U90462"/>
    <n v="21"/>
    <s v="Female"/>
    <s v="Germany"/>
    <x v="1"/>
    <s v="Bachelor's"/>
    <s v="Computer Science Student"/>
    <n v="503"/>
    <s v="Chat GPT"/>
    <x v="0"/>
    <n v="1"/>
    <n v="0"/>
    <x v="27"/>
    <n v="2"/>
    <n v="5"/>
    <n v="0"/>
    <n v="5.6"/>
    <n v="21"/>
    <s v="Germany"/>
    <s v="Computer Science Student"/>
    <n v="503"/>
    <x v="0"/>
    <n v="0"/>
  </r>
  <r>
    <s v="U90485"/>
    <n v="28"/>
    <s v="Female"/>
    <s v="United States"/>
    <x v="1"/>
    <s v="Master's"/>
    <s v="Data Science Student"/>
    <n v="504"/>
    <s v="Chat GPT"/>
    <x v="1"/>
    <n v="2.7"/>
    <n v="0"/>
    <x v="13"/>
    <n v="4"/>
    <n v="7"/>
    <n v="8.4"/>
    <n v="5.4"/>
    <n v="28"/>
    <s v="United States"/>
    <s v="Data Science Student"/>
    <n v="504"/>
    <x v="0"/>
    <n v="8.4"/>
  </r>
  <r>
    <s v="U0277"/>
    <n v="23"/>
    <s v="Male"/>
    <s v="United Kingdom"/>
    <x v="1"/>
    <s v="Bachelor's "/>
    <s v="English Literature Student"/>
    <n v="504"/>
    <s v="Chat GPT"/>
    <x v="5"/>
    <n v="0.6"/>
    <n v="20"/>
    <x v="40"/>
    <n v="3"/>
    <n v="4"/>
    <n v="0"/>
    <n v="4.5"/>
    <n v="23"/>
    <s v="United Kingdom"/>
    <s v="English Literature Student"/>
    <n v="504"/>
    <x v="0"/>
    <n v="0"/>
  </r>
  <r>
    <s v="U90646"/>
    <n v="26"/>
    <s v="Male"/>
    <s v="France"/>
    <x v="1"/>
    <s v="High School"/>
    <s v="History Student"/>
    <n v="505"/>
    <s v="DeepSeek"/>
    <x v="2"/>
    <n v="6"/>
    <n v="0"/>
    <x v="46"/>
    <n v="5"/>
    <n v="8"/>
    <n v="13.1"/>
    <n v="6.8"/>
    <n v="26"/>
    <s v="France"/>
    <s v="History Student"/>
    <n v="505"/>
    <x v="4"/>
    <n v="13.1"/>
  </r>
  <r>
    <s v="U0278"/>
    <n v="22"/>
    <s v="Male"/>
    <s v="Canada"/>
    <x v="1"/>
    <s v="Undergraduate"/>
    <s v="Mechanical Engineering Student"/>
    <n v="507"/>
    <s v="Perplexity AI"/>
    <x v="1"/>
    <n v="1.9"/>
    <n v="0"/>
    <x v="55"/>
    <n v="3"/>
    <n v="4"/>
    <n v="2"/>
    <n v="4.0999999999999996"/>
    <n v="22"/>
    <s v="Canada"/>
    <s v="Mechanical Engineering Student"/>
    <n v="507"/>
    <x v="8"/>
    <n v="2"/>
  </r>
  <r>
    <s v="U90057"/>
    <n v="23"/>
    <s v="Male"/>
    <s v="United Kingdom"/>
    <x v="1"/>
    <s v="Graduate"/>
    <s v="Mechanical Engineering Student"/>
    <n v="507"/>
    <s v=" Google Gemini"/>
    <x v="1"/>
    <n v="1.2"/>
    <n v="0"/>
    <x v="4"/>
    <n v="3"/>
    <n v="5"/>
    <n v="3"/>
    <n v="7.2"/>
    <n v="23"/>
    <s v="United Kingdom"/>
    <s v="Mechanical Engineering Student"/>
    <n v="507"/>
    <x v="2"/>
    <n v="3"/>
  </r>
  <r>
    <s v="U90005"/>
    <n v="35"/>
    <s v="Male"/>
    <s v="Pakistan"/>
    <x v="0"/>
    <s v="Master's"/>
    <s v="Senior Software Engineer / Technical Lead"/>
    <n v="507"/>
    <s v="Chat GPT"/>
    <x v="0"/>
    <n v="3.7"/>
    <n v="0"/>
    <x v="13"/>
    <n v="2"/>
    <n v="5"/>
    <n v="5.8"/>
    <n v="10.1"/>
    <n v="35"/>
    <s v="Pakistan"/>
    <s v="Senior Software Engineer / Technical Lead"/>
    <n v="507"/>
    <x v="0"/>
    <n v="5.8"/>
  </r>
  <r>
    <s v="U90389"/>
    <n v="33"/>
    <s v="Female"/>
    <s v="Canada"/>
    <x v="1"/>
    <s v="Undergraduate"/>
    <s v="English Literature Student"/>
    <n v="508"/>
    <s v="Perplexity AI"/>
    <x v="5"/>
    <n v="1.5"/>
    <n v="25"/>
    <x v="27"/>
    <n v="4"/>
    <n v="6"/>
    <n v="5.5"/>
    <n v="5.9"/>
    <n v="33"/>
    <s v="Canada"/>
    <s v="English Literature Student"/>
    <n v="508"/>
    <x v="8"/>
    <n v="5.5"/>
  </r>
  <r>
    <s v="U90362"/>
    <n v="28"/>
    <s v="Female"/>
    <s v="United States"/>
    <x v="1"/>
    <s v="Master's"/>
    <s v="Data Science Student"/>
    <n v="512"/>
    <s v="Chat GPT"/>
    <x v="1"/>
    <n v="2.7"/>
    <n v="0"/>
    <x v="13"/>
    <n v="4"/>
    <n v="7"/>
    <n v="8.4"/>
    <n v="5.4"/>
    <n v="28"/>
    <s v="United States"/>
    <s v="Data Science Student"/>
    <n v="512"/>
    <x v="0"/>
    <n v="8.4"/>
  </r>
  <r>
    <s v="U0288"/>
    <n v="36"/>
    <s v="Male"/>
    <s v="Pakistan"/>
    <x v="0"/>
    <s v="Master's"/>
    <s v="Senior Software Engineer / Technical Lead"/>
    <n v="513"/>
    <s v="Chat GPT"/>
    <x v="0"/>
    <n v="3.7"/>
    <n v="0"/>
    <x v="13"/>
    <n v="2"/>
    <n v="5"/>
    <n v="5.8"/>
    <n v="10.1"/>
    <n v="36"/>
    <s v="Pakistan"/>
    <s v="Senior Software Engineer / Technical Lead"/>
    <n v="513"/>
    <x v="0"/>
    <n v="5.8"/>
  </r>
  <r>
    <s v="U90038"/>
    <n v="16"/>
    <s v="Female"/>
    <s v="Canada"/>
    <x v="1"/>
    <s v="PhD"/>
    <s v="Theoretical Physics Student"/>
    <n v="516"/>
    <s v="Unknown"/>
    <x v="1"/>
    <n v="3.2"/>
    <n v="20"/>
    <x v="20"/>
    <n v="4"/>
    <n v="8"/>
    <n v="4.8"/>
    <n v="20"/>
    <n v="16"/>
    <s v="Canada"/>
    <s v="Theoretical Physics Student"/>
    <n v="516"/>
    <x v="7"/>
    <n v="4.8"/>
  </r>
  <r>
    <s v="U0085"/>
    <n v="17"/>
    <s v="Female"/>
    <s v="Canada"/>
    <x v="1"/>
    <s v="PhD"/>
    <s v="Theoretical Physics Student"/>
    <n v="518"/>
    <s v="Unknown"/>
    <x v="1"/>
    <n v="3.2"/>
    <n v="20"/>
    <x v="20"/>
    <n v="4"/>
    <n v="8"/>
    <n v="4.8"/>
    <n v="20"/>
    <n v="17"/>
    <s v="Canada"/>
    <s v="Theoretical Physics Student"/>
    <n v="518"/>
    <x v="7"/>
    <n v="4.8"/>
  </r>
  <r>
    <s v="U90218"/>
    <n v="38"/>
    <s v="Male"/>
    <s v="India"/>
    <x v="0"/>
    <s v="Diploma"/>
    <s v="Customer Support Executive"/>
    <n v="520"/>
    <s v="DeepSeek"/>
    <x v="3"/>
    <n v="0.6"/>
    <n v="25"/>
    <x v="6"/>
    <n v="4"/>
    <n v="6"/>
    <n v="4"/>
    <n v="7.1"/>
    <n v="38"/>
    <s v="India"/>
    <s v="Customer Support Executive"/>
    <n v="520"/>
    <x v="4"/>
    <n v="4"/>
  </r>
  <r>
    <s v="U0244"/>
    <n v="26"/>
    <s v="Female"/>
    <s v="United States"/>
    <x v="1"/>
    <s v="Master's"/>
    <s v="Data Science Student"/>
    <n v="520"/>
    <s v="Chat GPT"/>
    <x v="1"/>
    <n v="2.7"/>
    <n v="0"/>
    <x v="13"/>
    <n v="4"/>
    <n v="7"/>
    <n v="8.4"/>
    <n v="5.4"/>
    <n v="26"/>
    <s v="United States"/>
    <s v="Data Science Student"/>
    <n v="520"/>
    <x v="0"/>
    <n v="8.4"/>
  </r>
  <r>
    <s v="U90430"/>
    <n v="25"/>
    <s v="Male"/>
    <s v="France"/>
    <x v="1"/>
    <s v="High School"/>
    <s v="History Student"/>
    <n v="522"/>
    <s v="DeepSeek"/>
    <x v="2"/>
    <n v="6"/>
    <n v="0"/>
    <x v="46"/>
    <n v="5"/>
    <n v="8"/>
    <n v="13.1"/>
    <n v="6.8"/>
    <n v="25"/>
    <s v="France"/>
    <s v="History Student"/>
    <n v="522"/>
    <x v="4"/>
    <n v="13.1"/>
  </r>
  <r>
    <s v="U0044"/>
    <n v="31"/>
    <s v="Male"/>
    <s v="Germany"/>
    <x v="1"/>
    <s v="Bachelor's"/>
    <s v="Data Science Student"/>
    <n v="523"/>
    <s v="Unknown"/>
    <x v="2"/>
    <n v="2"/>
    <n v="0"/>
    <x v="28"/>
    <n v="4"/>
    <n v="6"/>
    <n v="3.8"/>
    <n v="2.8"/>
    <n v="31"/>
    <s v="Germany"/>
    <s v="Data Science Student"/>
    <n v="523"/>
    <x v="7"/>
    <n v="3.8"/>
  </r>
  <r>
    <s v="U90301"/>
    <n v="21"/>
    <s v="Male"/>
    <s v="Australia"/>
    <x v="1"/>
    <s v="Undergraduate"/>
    <s v="English Literature Student"/>
    <n v="523"/>
    <s v="Chat GPT"/>
    <x v="5"/>
    <n v="5.2"/>
    <n v="0"/>
    <x v="61"/>
    <n v="4"/>
    <n v="7"/>
    <n v="12.1"/>
    <n v="7"/>
    <n v="21"/>
    <s v="Australia"/>
    <s v="English Literature Student"/>
    <n v="523"/>
    <x v="0"/>
    <n v="12.1"/>
  </r>
  <r>
    <s v="U0097"/>
    <n v="32"/>
    <s v="Female"/>
    <s v="Australia"/>
    <x v="1"/>
    <s v="Master's"/>
    <s v="Creative Writing Student"/>
    <n v="524"/>
    <s v="Chat GPT"/>
    <x v="5"/>
    <n v="7.2"/>
    <n v="100"/>
    <x v="62"/>
    <n v="3"/>
    <n v="8"/>
    <n v="11.7"/>
    <n v="6.5"/>
    <n v="32"/>
    <s v="Australia"/>
    <s v="Creative Writing Student"/>
    <n v="524"/>
    <x v="0"/>
    <n v="11.7"/>
  </r>
  <r>
    <s v="U0142"/>
    <n v="28"/>
    <s v="Male"/>
    <s v="United Kingdom"/>
    <x v="1"/>
    <s v="Undergraduate"/>
    <s v="Data Science Student"/>
    <n v="528"/>
    <s v="Perplexity AI"/>
    <x v="1"/>
    <n v="1.5"/>
    <n v="10"/>
    <x v="7"/>
    <n v="3"/>
    <n v="5"/>
    <n v="5.5"/>
    <n v="5.7"/>
    <n v="28"/>
    <s v="United Kingdom"/>
    <s v="Data Science Student"/>
    <n v="528"/>
    <x v="8"/>
    <n v="5.5"/>
  </r>
  <r>
    <s v="U0008"/>
    <n v="23"/>
    <s v="Male"/>
    <s v="Australia"/>
    <x v="1"/>
    <s v="Undergraduate"/>
    <s v="English Literature Student"/>
    <n v="531"/>
    <s v="Chat GPT"/>
    <x v="5"/>
    <n v="5.2"/>
    <n v="0"/>
    <x v="61"/>
    <n v="4"/>
    <n v="7"/>
    <n v="12.1"/>
    <n v="7"/>
    <n v="23"/>
    <s v="Australia"/>
    <s v="English Literature Student"/>
    <n v="531"/>
    <x v="0"/>
    <n v="12.1"/>
  </r>
  <r>
    <s v="U90125"/>
    <n v="50"/>
    <s v="Male"/>
    <s v="Brazil"/>
    <x v="0"/>
    <s v="Diploma"/>
    <s v="Systems Developer"/>
    <n v="531"/>
    <s v=" Google Gemini"/>
    <x v="0"/>
    <n v="5.5"/>
    <n v="0"/>
    <x v="60"/>
    <n v="4"/>
    <n v="7"/>
    <n v="11.5"/>
    <n v="8.4"/>
    <n v="50"/>
    <s v="Brazil"/>
    <s v="Systems Developer"/>
    <n v="531"/>
    <x v="2"/>
    <n v="11.5"/>
  </r>
  <r>
    <s v="U90661"/>
    <n v="17"/>
    <s v="Female"/>
    <s v="United States"/>
    <x v="1"/>
    <s v="Bachelor's"/>
    <s v="Biology Student"/>
    <n v="532"/>
    <s v="Chat GPT"/>
    <x v="1"/>
    <n v="4.3"/>
    <n v="20"/>
    <x v="25"/>
    <n v="2"/>
    <n v="6"/>
    <n v="8.1"/>
    <n v="5.2"/>
    <n v="17"/>
    <s v="United States"/>
    <s v="Biology Student"/>
    <n v="532"/>
    <x v="0"/>
    <n v="8.1"/>
  </r>
  <r>
    <s v="U90447"/>
    <n v="24"/>
    <s v="Male"/>
    <s v="United Kingdom"/>
    <x v="1"/>
    <s v="Bachelor's "/>
    <s v="English Literature Student"/>
    <n v="532"/>
    <s v="Chat GPT"/>
    <x v="1"/>
    <n v="0.6"/>
    <n v="20"/>
    <x v="40"/>
    <n v="3"/>
    <n v="4"/>
    <n v="0"/>
    <n v="4.5"/>
    <n v="24"/>
    <s v="United Kingdom"/>
    <s v="English Literature Student"/>
    <n v="532"/>
    <x v="0"/>
    <n v="0"/>
  </r>
  <r>
    <s v="U90356"/>
    <n v="18"/>
    <s v="Female"/>
    <s v="Canada"/>
    <x v="1"/>
    <s v="PhD"/>
    <s v="Theoretical Physics Student"/>
    <n v="533"/>
    <s v="Unknown"/>
    <x v="1"/>
    <n v="3.2"/>
    <n v="20"/>
    <x v="20"/>
    <n v="4"/>
    <n v="8"/>
    <n v="4.8"/>
    <n v="20"/>
    <n v="18"/>
    <s v="Canada"/>
    <s v="Theoretical Physics Student"/>
    <n v="533"/>
    <x v="7"/>
    <n v="4.8"/>
  </r>
  <r>
    <s v="U90201"/>
    <n v="28"/>
    <s v="Male"/>
    <s v="Australia"/>
    <x v="1"/>
    <s v="Undergraduate"/>
    <s v="Mechanical Engineering Student"/>
    <n v="537"/>
    <s v="Chat GPT"/>
    <x v="1"/>
    <n v="4"/>
    <n v="0"/>
    <x v="51"/>
    <n v="3"/>
    <n v="8"/>
    <n v="7.9"/>
    <n v="5.3"/>
    <n v="28"/>
    <s v="Australia"/>
    <s v="Mechanical Engineering Student"/>
    <n v="537"/>
    <x v="0"/>
    <n v="7.9"/>
  </r>
  <r>
    <s v="U0146"/>
    <n v="18"/>
    <s v="Female"/>
    <s v="United States"/>
    <x v="1"/>
    <s v="Bachelor's"/>
    <s v="Biology Student"/>
    <n v="540"/>
    <s v="Chat GPT"/>
    <x v="1"/>
    <n v="4.3"/>
    <n v="20"/>
    <x v="25"/>
    <n v="2"/>
    <n v="6"/>
    <n v="8.1"/>
    <n v="5.2"/>
    <n v="18"/>
    <s v="United States"/>
    <s v="Biology Student"/>
    <n v="540"/>
    <x v="0"/>
    <n v="8.1"/>
  </r>
  <r>
    <s v="U90378"/>
    <n v="28"/>
    <s v="Male"/>
    <s v="Australia"/>
    <x v="1"/>
    <s v="Undergraduate"/>
    <s v="Mechanical Engineering Student"/>
    <n v="542"/>
    <s v="Chat GPT"/>
    <x v="1"/>
    <n v="4"/>
    <n v="0"/>
    <x v="51"/>
    <n v="3"/>
    <n v="8"/>
    <n v="7.9"/>
    <n v="5.3"/>
    <n v="28"/>
    <s v="Australia"/>
    <s v="Mechanical Engineering Student"/>
    <n v="542"/>
    <x v="0"/>
    <n v="7.9"/>
  </r>
  <r>
    <s v="U90481"/>
    <n v="33"/>
    <s v="Male"/>
    <s v="Germany"/>
    <x v="1"/>
    <s v="Bachelor's"/>
    <s v="Data Science Student"/>
    <n v="544"/>
    <s v="Unknown"/>
    <x v="2"/>
    <n v="2"/>
    <n v="0"/>
    <x v="28"/>
    <n v="4"/>
    <n v="6"/>
    <n v="3.8"/>
    <n v="2.8"/>
    <n v="33"/>
    <s v="Germany"/>
    <s v="Data Science Student"/>
    <n v="544"/>
    <x v="7"/>
    <n v="3.8"/>
  </r>
  <r>
    <s v="U0136"/>
    <n v="48"/>
    <s v="Male"/>
    <s v="Brazil"/>
    <x v="0"/>
    <s v="Diploma"/>
    <s v="Systems Developer"/>
    <n v="544"/>
    <s v=" Google Gemini"/>
    <x v="0"/>
    <n v="5.5"/>
    <n v="0"/>
    <x v="60"/>
    <n v="4"/>
    <n v="7"/>
    <n v="11.5"/>
    <n v="8.4"/>
    <n v="48"/>
    <s v="Brazil"/>
    <s v="Systems Developer"/>
    <n v="544"/>
    <x v="2"/>
    <n v="11.5"/>
  </r>
  <r>
    <s v="U0211"/>
    <n v="22"/>
    <s v="Male"/>
    <s v="Canada"/>
    <x v="1"/>
    <s v="Undergraduate"/>
    <s v="Mechanical Engineering Student"/>
    <n v="547"/>
    <s v="claude"/>
    <x v="2"/>
    <n v="5"/>
    <n v="0"/>
    <x v="11"/>
    <n v="3"/>
    <n v="6"/>
    <n v="9.8000000000000007"/>
    <n v="5.6"/>
    <n v="22"/>
    <s v="Canada"/>
    <s v="Mechanical Engineering Student"/>
    <n v="547"/>
    <x v="5"/>
    <n v="9.8000000000000007"/>
  </r>
  <r>
    <s v="U90366"/>
    <n v="19"/>
    <s v="Female"/>
    <s v="Canada"/>
    <x v="1"/>
    <s v="PhD"/>
    <s v="Theoretical Physics Student"/>
    <n v="547"/>
    <s v="Unknown"/>
    <x v="1"/>
    <n v="3.2"/>
    <n v="20"/>
    <x v="20"/>
    <n v="4"/>
    <n v="8"/>
    <n v="4.8"/>
    <n v="20"/>
    <n v="19"/>
    <s v="Canada"/>
    <s v="Theoretical Physics Student"/>
    <n v="547"/>
    <x v="7"/>
    <n v="4.8"/>
  </r>
  <r>
    <s v="U90278"/>
    <n v="24"/>
    <s v="Male"/>
    <s v="United States"/>
    <x v="1"/>
    <s v="Undergraduate"/>
    <s v="Data Science Student"/>
    <n v="549"/>
    <s v="Chat GPT"/>
    <x v="1"/>
    <n v="1.4"/>
    <n v="25"/>
    <x v="35"/>
    <n v="4"/>
    <n v="4"/>
    <n v="4.5999999999999996"/>
    <n v="4.9000000000000004"/>
    <n v="24"/>
    <s v="United States"/>
    <s v="Data Science Student"/>
    <n v="549"/>
    <x v="0"/>
    <n v="4.5999999999999996"/>
  </r>
  <r>
    <s v="U90345"/>
    <n v="31"/>
    <s v="Male"/>
    <s v="Philippines"/>
    <x v="0"/>
    <s v="Master's"/>
    <s v="Senior Software Engineer"/>
    <n v="549"/>
    <s v="Microsoft Copilot"/>
    <x v="0"/>
    <n v="3.8"/>
    <n v="0"/>
    <x v="37"/>
    <n v="4"/>
    <n v="6"/>
    <n v="9.4"/>
    <n v="7.4"/>
    <n v="31"/>
    <s v="Philippines"/>
    <s v="Senior Software Engineer"/>
    <n v="549"/>
    <x v="1"/>
    <n v="9.4"/>
  </r>
  <r>
    <s v="U90491"/>
    <n v="23"/>
    <s v="Male"/>
    <s v="Canada"/>
    <x v="1"/>
    <s v="Undergraduate"/>
    <s v="Mechanical Engineering Student"/>
    <n v="550"/>
    <s v="claude"/>
    <x v="2"/>
    <n v="5"/>
    <n v="0"/>
    <x v="11"/>
    <n v="3"/>
    <n v="6"/>
    <n v="9.8000000000000007"/>
    <n v="5.6"/>
    <n v="23"/>
    <s v="Canada"/>
    <s v="Mechanical Engineering Student"/>
    <n v="550"/>
    <x v="5"/>
    <n v="9.8000000000000007"/>
  </r>
  <r>
    <s v="U0061"/>
    <n v="33"/>
    <s v="Male"/>
    <s v="Brazil"/>
    <x v="0"/>
    <s v="Bachelor's"/>
    <s v="Software Developer SÃªnior"/>
    <n v="552"/>
    <s v=" Google Gemini"/>
    <x v="0"/>
    <n v="0.5"/>
    <n v="20"/>
    <x v="35"/>
    <n v="3"/>
    <n v="5"/>
    <n v="0.1"/>
    <n v="10.199999999999999"/>
    <n v="33"/>
    <s v="Brazil"/>
    <s v="Software Developer SÃªnior"/>
    <n v="552"/>
    <x v="2"/>
    <n v="0.1"/>
  </r>
  <r>
    <s v="U0112"/>
    <n v="32"/>
    <s v="Female"/>
    <s v="Canada"/>
    <x v="1"/>
    <s v="Undergraduate"/>
    <s v="English Literature Student"/>
    <n v="553"/>
    <s v="Perplexity AI"/>
    <x v="5"/>
    <n v="1.5"/>
    <n v="25"/>
    <x v="27"/>
    <n v="4"/>
    <n v="6"/>
    <n v="5.5"/>
    <n v="5.9"/>
    <n v="32"/>
    <s v="Canada"/>
    <s v="English Literature Student"/>
    <n v="553"/>
    <x v="8"/>
    <n v="5.5"/>
  </r>
  <r>
    <s v="U90404"/>
    <n v="22"/>
    <s v="Male"/>
    <s v="Australia"/>
    <x v="1"/>
    <s v="Undergraduate"/>
    <s v="English Literature Student"/>
    <n v="553"/>
    <s v="Chat GPT"/>
    <x v="5"/>
    <n v="5.2"/>
    <n v="0"/>
    <x v="61"/>
    <n v="4"/>
    <n v="7"/>
    <n v="12.1"/>
    <n v="7"/>
    <n v="22"/>
    <s v="Australia"/>
    <s v="English Literature Student"/>
    <n v="553"/>
    <x v="0"/>
    <n v="12.1"/>
  </r>
  <r>
    <s v="U0192"/>
    <m/>
    <s v="Male"/>
    <s v="Kenya"/>
    <x v="0"/>
    <s v="High School"/>
    <s v="Administrative Assistant"/>
    <n v="557"/>
    <s v="Chat GPT"/>
    <x v="8"/>
    <n v="9.9"/>
    <n v="0"/>
    <x v="30"/>
    <n v="5"/>
    <n v="9"/>
    <n v="16.2"/>
    <n v="8.5"/>
    <n v="30.023333333333333"/>
    <s v="Kenya"/>
    <s v="Administrative Assistant"/>
    <n v="557"/>
    <x v="0"/>
    <n v="16.2"/>
  </r>
  <r>
    <s v="U90683"/>
    <n v="26"/>
    <s v="Male"/>
    <s v="United Kingdom"/>
    <x v="1"/>
    <s v="Undergraduate"/>
    <s v="Data Science Student"/>
    <n v="560"/>
    <s v="Perplexity AI"/>
    <x v="1"/>
    <n v="1.5"/>
    <n v="10"/>
    <x v="7"/>
    <n v="3"/>
    <n v="5"/>
    <n v="5.5"/>
    <n v="5.7"/>
    <n v="26"/>
    <s v="United Kingdom"/>
    <s v="Data Science Student"/>
    <n v="560"/>
    <x v="8"/>
    <n v="5.5"/>
  </r>
  <r>
    <s v="U90473"/>
    <n v="26"/>
    <s v="Male"/>
    <s v="United Kingdom"/>
    <x v="1"/>
    <s v="Undergraduate"/>
    <s v="Data Science Student"/>
    <n v="563"/>
    <s v="Perplexity AI"/>
    <x v="1"/>
    <n v="1.5"/>
    <n v="10"/>
    <x v="7"/>
    <n v="3"/>
    <n v="5"/>
    <n v="5.5"/>
    <n v="5.7"/>
    <n v="26"/>
    <s v="United Kingdom"/>
    <s v="Data Science Student"/>
    <n v="563"/>
    <x v="8"/>
    <n v="5.5"/>
  </r>
  <r>
    <s v="U90312"/>
    <n v="17"/>
    <s v="Female"/>
    <s v="United States"/>
    <x v="1"/>
    <s v="Bachelor's"/>
    <s v="Biology Student"/>
    <n v="565"/>
    <s v="Chat GPT"/>
    <x v="1"/>
    <n v="4.3"/>
    <n v="20"/>
    <x v="25"/>
    <n v="2"/>
    <n v="6"/>
    <n v="8.1"/>
    <n v="5.2"/>
    <n v="17"/>
    <s v="United States"/>
    <s v="Biology Student"/>
    <n v="565"/>
    <x v="0"/>
    <n v="8.1"/>
  </r>
  <r>
    <s v="U90353"/>
    <n v="46"/>
    <s v="Male"/>
    <s v="Brazil"/>
    <x v="0"/>
    <s v="Diploma"/>
    <s v="Systems Developer"/>
    <n v="568"/>
    <s v=" Google Gemini"/>
    <x v="0"/>
    <n v="5.5"/>
    <n v="0"/>
    <x v="60"/>
    <n v="4"/>
    <n v="7"/>
    <n v="11.5"/>
    <n v="8.4"/>
    <n v="46"/>
    <s v="Brazil"/>
    <s v="Systems Developer"/>
    <n v="568"/>
    <x v="2"/>
    <n v="11.5"/>
  </r>
  <r>
    <s v="U90333"/>
    <n v="27"/>
    <s v="Female"/>
    <s v="United States"/>
    <x v="1"/>
    <s v="Master's"/>
    <s v="Data Science Student"/>
    <n v="572"/>
    <s v="Chat GPT"/>
    <x v="1"/>
    <n v="2.7"/>
    <n v="0"/>
    <x v="13"/>
    <n v="4"/>
    <n v="7"/>
    <n v="8.4"/>
    <n v="5.4"/>
    <n v="27"/>
    <s v="United States"/>
    <s v="Data Science Student"/>
    <n v="572"/>
    <x v="0"/>
    <n v="8.4"/>
  </r>
  <r>
    <s v="U90634"/>
    <n v="30"/>
    <s v="Female"/>
    <s v="Australia"/>
    <x v="1"/>
    <s v="Master's"/>
    <s v="Creative Writing Student"/>
    <n v="574"/>
    <s v="Chat GPT"/>
    <x v="5"/>
    <n v="7.2"/>
    <n v="100"/>
    <x v="62"/>
    <n v="3"/>
    <n v="8"/>
    <n v="11.7"/>
    <n v="6.5"/>
    <n v="30"/>
    <s v="Australia"/>
    <s v="Creative Writing Student"/>
    <n v="574"/>
    <x v="0"/>
    <n v="11.7"/>
  </r>
  <r>
    <s v="U90439"/>
    <n v="31"/>
    <s v="Male"/>
    <s v="Brazil"/>
    <x v="0"/>
    <s v="Bachelor's"/>
    <s v="Software Developer SÃªnior"/>
    <n v="574"/>
    <s v=" Google Gemini"/>
    <x v="0"/>
    <n v="0.5"/>
    <n v="20"/>
    <x v="35"/>
    <n v="3"/>
    <n v="5"/>
    <n v="0.1"/>
    <n v="10.199999999999999"/>
    <n v="31"/>
    <s v="Brazil"/>
    <s v="Software Developer SÃªnior"/>
    <n v="574"/>
    <x v="2"/>
    <n v="0.1"/>
  </r>
  <r>
    <s v="U90560"/>
    <n v="41"/>
    <s v="Male"/>
    <s v="Pakistan"/>
    <x v="0"/>
    <s v="High School"/>
    <s v="Digital Content Writer"/>
    <n v="576"/>
    <s v="claude"/>
    <x v="4"/>
    <n v="8.1"/>
    <n v="0"/>
    <x v="28"/>
    <n v="5"/>
    <n v="8"/>
    <n v="16.5"/>
    <n v="7.4"/>
    <n v="41"/>
    <s v="Pakistan"/>
    <s v="Digital Content Writer"/>
    <n v="576"/>
    <x v="5"/>
    <n v="16.5"/>
  </r>
  <r>
    <s v="U90687"/>
    <n v="32"/>
    <s v="Female"/>
    <s v="Australia"/>
    <x v="1"/>
    <s v="Master's"/>
    <s v="Creative Writing Student"/>
    <n v="578"/>
    <s v="Chat GPT"/>
    <x v="5"/>
    <n v="7.2"/>
    <n v="100"/>
    <x v="62"/>
    <n v="3"/>
    <n v="8"/>
    <n v="11.7"/>
    <n v="6.5"/>
    <n v="32"/>
    <s v="Australia"/>
    <s v="Creative Writing Student"/>
    <n v="578"/>
    <x v="0"/>
    <n v="11.7"/>
  </r>
  <r>
    <s v="U0099"/>
    <n v="27"/>
    <s v="Male"/>
    <s v="Australia"/>
    <x v="1"/>
    <s v="Undergraduate"/>
    <s v="Mechanical Engineering Student"/>
    <n v="578"/>
    <s v="Chat GPT"/>
    <x v="1"/>
    <n v="4"/>
    <n v="0"/>
    <x v="51"/>
    <n v="3"/>
    <n v="8"/>
    <n v="7.9"/>
    <n v="5.3"/>
    <n v="27"/>
    <s v="Australia"/>
    <s v="Mechanical Engineering Student"/>
    <n v="578"/>
    <x v="0"/>
    <n v="7.9"/>
  </r>
  <r>
    <s v="U90082"/>
    <n v="28"/>
    <s v="Male"/>
    <s v="United Kingdom"/>
    <x v="1"/>
    <s v="Undergraduate"/>
    <s v="Data Science Student"/>
    <n v="579"/>
    <s v="Perplexity AI"/>
    <x v="1"/>
    <n v="1.5"/>
    <n v="10"/>
    <x v="7"/>
    <n v="3"/>
    <n v="5"/>
    <n v="5.5"/>
    <n v="5.7"/>
    <n v="28"/>
    <s v="United Kingdom"/>
    <s v="Data Science Student"/>
    <n v="579"/>
    <x v="8"/>
    <n v="5.5"/>
  </r>
  <r>
    <s v="U0055"/>
    <n v="30"/>
    <s v="Male"/>
    <s v="Philippines"/>
    <x v="0"/>
    <s v="Master's"/>
    <s v="Senior Software Engineer"/>
    <n v="579"/>
    <s v="Microsoft Copilot"/>
    <x v="0"/>
    <n v="3.8"/>
    <n v="0"/>
    <x v="37"/>
    <n v="4"/>
    <n v="6"/>
    <n v="9.4"/>
    <n v="7.4"/>
    <n v="30"/>
    <s v="Philippines"/>
    <s v="Senior Software Engineer"/>
    <n v="579"/>
    <x v="1"/>
    <n v="9.4"/>
  </r>
  <r>
    <s v="U90204"/>
    <n v="24"/>
    <s v="Female"/>
    <s v="Australia"/>
    <x v="1"/>
    <s v="Master's"/>
    <s v="Creative Writing Student"/>
    <n v="583"/>
    <s v="Chat GPT"/>
    <x v="5"/>
    <n v="3.5"/>
    <n v="0"/>
    <x v="6"/>
    <n v="3"/>
    <n v="4"/>
    <n v="7"/>
    <n v="6"/>
    <n v="24"/>
    <s v="Australia"/>
    <s v="Creative Writing Student"/>
    <n v="583"/>
    <x v="0"/>
    <n v="7"/>
  </r>
  <r>
    <s v="U90581"/>
    <n v="16"/>
    <s v="Female"/>
    <s v="United States"/>
    <x v="1"/>
    <s v="Bachelor's"/>
    <s v="Biology Student"/>
    <n v="585"/>
    <s v="Chat GPT"/>
    <x v="1"/>
    <n v="4.3"/>
    <n v="20"/>
    <x v="25"/>
    <n v="2"/>
    <n v="6"/>
    <n v="8.1"/>
    <n v="5.2"/>
    <n v="16"/>
    <s v="United States"/>
    <s v="Biology Student"/>
    <n v="585"/>
    <x v="0"/>
    <n v="8.1"/>
  </r>
  <r>
    <s v="U0046"/>
    <n v="61"/>
    <s v="Female"/>
    <s v="Nigeria"/>
    <x v="0"/>
    <s v="Diploma"/>
    <s v="Research Technician"/>
    <n v="585"/>
    <s v=" Google Gemini"/>
    <x v="2"/>
    <n v="23"/>
    <n v="10"/>
    <x v="34"/>
    <n v="3"/>
    <n v="4"/>
    <n v="5.4"/>
    <n v="9.5"/>
    <n v="61"/>
    <s v="Nigeria"/>
    <s v="Research Technician"/>
    <n v="585"/>
    <x v="2"/>
    <n v="5.4"/>
  </r>
  <r>
    <s v="U90022"/>
    <n v="18"/>
    <s v="Female"/>
    <s v="Canada"/>
    <x v="1"/>
    <s v="PhD"/>
    <s v="Theoretical Physics Student"/>
    <n v="589"/>
    <s v="Unknown"/>
    <x v="1"/>
    <n v="3.2"/>
    <n v="20"/>
    <x v="20"/>
    <n v="4"/>
    <n v="8"/>
    <n v="4.8"/>
    <n v="20"/>
    <n v="18"/>
    <s v="Canada"/>
    <s v="Theoretical Physics Student"/>
    <n v="589"/>
    <x v="7"/>
    <n v="4.8"/>
  </r>
  <r>
    <s v="U90681"/>
    <n v="30"/>
    <s v="Female"/>
    <s v="Canada"/>
    <x v="1"/>
    <s v="Undergraduate"/>
    <s v="English Literature Student"/>
    <n v="590"/>
    <s v="Perplexity AI"/>
    <x v="5"/>
    <n v="1.5"/>
    <n v="25"/>
    <x v="27"/>
    <n v="4"/>
    <n v="6"/>
    <n v="5.5"/>
    <n v="5.9"/>
    <n v="30"/>
    <s v="Canada"/>
    <s v="English Literature Student"/>
    <n v="590"/>
    <x v="8"/>
    <n v="5.5"/>
  </r>
  <r>
    <s v="U90586"/>
    <n v="23"/>
    <s v="Male"/>
    <s v="Canada"/>
    <x v="1"/>
    <s v="Undergraduate"/>
    <s v="Mechanical Engineering Student"/>
    <n v="593"/>
    <s v="claude"/>
    <x v="2"/>
    <n v="5"/>
    <n v="0"/>
    <x v="11"/>
    <n v="3"/>
    <n v="6"/>
    <n v="9.8000000000000007"/>
    <n v="5.6"/>
    <n v="23"/>
    <s v="Canada"/>
    <s v="Mechanical Engineering Student"/>
    <n v="593"/>
    <x v="5"/>
    <n v="9.8000000000000007"/>
  </r>
  <r>
    <s v="U0109"/>
    <n v="17"/>
    <s v="Female"/>
    <s v="Canada"/>
    <x v="1"/>
    <s v="High School"/>
    <s v="Computer Science Student"/>
    <n v="595"/>
    <s v="Chat GPT"/>
    <x v="0"/>
    <n v="8"/>
    <n v="0"/>
    <x v="63"/>
    <n v="3"/>
    <n v="7"/>
    <n v="15.8"/>
    <n v="6.1"/>
    <n v="17"/>
    <s v="Canada"/>
    <s v="Computer Science Student"/>
    <n v="595"/>
    <x v="0"/>
    <n v="15.8"/>
  </r>
  <r>
    <s v="U90647"/>
    <n v="21"/>
    <s v="Male"/>
    <s v="United States"/>
    <x v="1"/>
    <s v="Undergraduate"/>
    <s v="Data Science Student"/>
    <n v="595"/>
    <s v="Chat GPT"/>
    <x v="1"/>
    <n v="1.4"/>
    <n v="25"/>
    <x v="35"/>
    <n v="4"/>
    <n v="4"/>
    <n v="4.5999999999999996"/>
    <n v="4.9000000000000004"/>
    <n v="21"/>
    <s v="United States"/>
    <s v="Data Science Student"/>
    <n v="595"/>
    <x v="0"/>
    <n v="4.5999999999999996"/>
  </r>
  <r>
    <s v="U90432"/>
    <n v="31"/>
    <s v="Male"/>
    <s v="Brazil"/>
    <x v="0"/>
    <s v="Bachelor's"/>
    <s v="Software Developer SÃªnior"/>
    <n v="596"/>
    <s v=" Google Gemini"/>
    <x v="0"/>
    <n v="0.5"/>
    <n v="20"/>
    <x v="35"/>
    <n v="3"/>
    <n v="5"/>
    <n v="0.1"/>
    <n v="10.199999999999999"/>
    <n v="31"/>
    <s v="Brazil"/>
    <s v="Software Developer SÃªnior"/>
    <n v="596"/>
    <x v="2"/>
    <n v="0.1"/>
  </r>
  <r>
    <s v="U90021"/>
    <n v="21"/>
    <s v="Male"/>
    <s v="United States"/>
    <x v="1"/>
    <s v="Undergraduate"/>
    <s v="Data Science Student"/>
    <n v="598"/>
    <s v="Chat GPT"/>
    <x v="1"/>
    <n v="1.4"/>
    <n v="25"/>
    <x v="35"/>
    <n v="4"/>
    <n v="4"/>
    <n v="4.5999999999999996"/>
    <n v="4.9000000000000004"/>
    <n v="21"/>
    <s v="United States"/>
    <s v="Data Science Student"/>
    <n v="598"/>
    <x v="0"/>
    <n v="4.5999999999999996"/>
  </r>
  <r>
    <s v="U0189"/>
    <n v="22"/>
    <s v="Male"/>
    <s v="United States"/>
    <x v="1"/>
    <s v="Undergraduate"/>
    <s v="Data Science Student"/>
    <n v="600"/>
    <s v="Chat GPT"/>
    <x v="1"/>
    <n v="1.4"/>
    <n v="25"/>
    <x v="35"/>
    <n v="4"/>
    <n v="4"/>
    <n v="4.5999999999999996"/>
    <n v="4.9000000000000004"/>
    <n v="22"/>
    <s v="United States"/>
    <s v="Data Science Student"/>
    <n v="600"/>
    <x v="0"/>
    <n v="4.5999999999999996"/>
  </r>
  <r>
    <s v="U90004"/>
    <n v="31"/>
    <s v="Female"/>
    <s v="Canada"/>
    <x v="1"/>
    <s v="Undergraduate"/>
    <s v="English Literature Student"/>
    <n v="602"/>
    <s v="Perplexity AI"/>
    <x v="5"/>
    <n v="1.5"/>
    <n v="25"/>
    <x v="27"/>
    <n v="4"/>
    <n v="6"/>
    <n v="5.5"/>
    <n v="5.9"/>
    <n v="31"/>
    <s v="Canada"/>
    <s v="English Literature Student"/>
    <n v="602"/>
    <x v="8"/>
    <n v="5.5"/>
  </r>
  <r>
    <s v="U90415"/>
    <n v="19"/>
    <s v="Male"/>
    <s v="Canada"/>
    <x v="1"/>
    <s v="Undergraduate"/>
    <s v="English Literature Student"/>
    <n v="604"/>
    <s v="Chat GPT"/>
    <x v="5"/>
    <n v="3"/>
    <n v="0"/>
    <x v="0"/>
    <n v="4"/>
    <n v="6"/>
    <n v="7.1"/>
    <n v="6.7"/>
    <n v="19"/>
    <s v="Canada"/>
    <s v="English Literature Student"/>
    <n v="604"/>
    <x v="0"/>
    <n v="7.1"/>
  </r>
  <r>
    <s v="U90129"/>
    <n v="16"/>
    <s v="Female"/>
    <s v="United States"/>
    <x v="1"/>
    <s v="Bachelor's"/>
    <s v="Biology Student"/>
    <n v="609"/>
    <s v="Chat GPT"/>
    <x v="1"/>
    <n v="4.3"/>
    <n v="20"/>
    <x v="25"/>
    <n v="2"/>
    <n v="6"/>
    <n v="8.1"/>
    <n v="5.2"/>
    <n v="16"/>
    <s v="United States"/>
    <s v="Biology Student"/>
    <n v="609"/>
    <x v="0"/>
    <n v="8.1"/>
  </r>
  <r>
    <s v="U90665"/>
    <n v="21"/>
    <s v="Male"/>
    <s v="United States"/>
    <x v="1"/>
    <s v="Undergraduate"/>
    <s v="Data Science Student"/>
    <n v="609"/>
    <s v="Chat GPT"/>
    <x v="1"/>
    <n v="1.4"/>
    <n v="25"/>
    <x v="35"/>
    <n v="4"/>
    <n v="4"/>
    <n v="4.5999999999999996"/>
    <n v="4.9000000000000004"/>
    <n v="21"/>
    <s v="United States"/>
    <s v="Data Science Student"/>
    <n v="609"/>
    <x v="0"/>
    <n v="4.5999999999999996"/>
  </r>
  <r>
    <s v="U0079"/>
    <n v="22"/>
    <s v="Male"/>
    <s v="Australia"/>
    <x v="1"/>
    <s v="Undergradate"/>
    <s v="Mechanical Engineering Student"/>
    <n v="613"/>
    <s v=" Google Gemini"/>
    <x v="1"/>
    <n v="1.9"/>
    <n v="20"/>
    <x v="28"/>
    <n v="2"/>
    <n v="4"/>
    <n v="8"/>
    <n v="7.4"/>
    <n v="22"/>
    <s v="Australia"/>
    <s v="Mechanical Engineering Student"/>
    <n v="613"/>
    <x v="2"/>
    <n v="8"/>
  </r>
  <r>
    <s v="U0039"/>
    <n v="23"/>
    <s v="Male"/>
    <s v="United Kingdom"/>
    <x v="1"/>
    <s v="Master's"/>
    <s v="Bioinformatics Student"/>
    <n v="614"/>
    <s v="claude"/>
    <x v="2"/>
    <n v="1"/>
    <n v="20"/>
    <x v="47"/>
    <n v="4"/>
    <n v="6"/>
    <n v="0.7"/>
    <n v="6.6"/>
    <n v="23"/>
    <s v="United Kingdom"/>
    <s v="Bioinformatics Student"/>
    <n v="614"/>
    <x v="5"/>
    <n v="0.7"/>
  </r>
  <r>
    <s v="U90121"/>
    <n v="20"/>
    <s v="Male"/>
    <s v="Canada"/>
    <x v="1"/>
    <s v="Undergraduate"/>
    <s v="English Literature Student"/>
    <n v="616"/>
    <s v="Chat GPT"/>
    <x v="5"/>
    <n v="3"/>
    <n v="0"/>
    <x v="0"/>
    <n v="4"/>
    <n v="6"/>
    <n v="7.1"/>
    <n v="6.7"/>
    <n v="20"/>
    <s v="Canada"/>
    <s v="English Literature Student"/>
    <n v="616"/>
    <x v="0"/>
    <n v="7.1"/>
  </r>
  <r>
    <s v="U0122"/>
    <m/>
    <s v="Female"/>
    <s v="Canada"/>
    <x v="1"/>
    <s v="Undergraduate"/>
    <s v="Psychology Student"/>
    <n v="624"/>
    <s v=" Google Gemini"/>
    <x v="2"/>
    <n v="0.9"/>
    <n v="0"/>
    <x v="59"/>
    <n v="3"/>
    <n v="5"/>
    <n v="0.1"/>
    <n v="7.4"/>
    <n v="30.023333333333333"/>
    <s v="Canada"/>
    <s v="Psychology Student"/>
    <n v="624"/>
    <x v="2"/>
    <n v="0.1"/>
  </r>
  <r>
    <s v="U90501"/>
    <n v="26"/>
    <s v="Female"/>
    <s v="Australia"/>
    <x v="1"/>
    <s v="Master's"/>
    <s v="Creative Writing Student"/>
    <n v="627"/>
    <s v="Chat GPT"/>
    <x v="5"/>
    <n v="3.5"/>
    <n v="0"/>
    <x v="6"/>
    <n v="3"/>
    <n v="4"/>
    <n v="7"/>
    <n v="6"/>
    <n v="26"/>
    <s v="Australia"/>
    <s v="Creative Writing Student"/>
    <n v="627"/>
    <x v="0"/>
    <n v="7"/>
  </r>
  <r>
    <s v="U0103"/>
    <n v="41"/>
    <s v="Male"/>
    <s v="India"/>
    <x v="0"/>
    <s v="Diploma"/>
    <s v="UNKNOWN"/>
    <n v="627"/>
    <s v="Grammarly"/>
    <x v="3"/>
    <n v="0.7"/>
    <n v="0"/>
    <x v="48"/>
    <n v="4"/>
    <n v="5"/>
    <n v="3"/>
    <n v="6.9"/>
    <n v="41"/>
    <s v="India"/>
    <s v="UNKNOWN"/>
    <n v="627"/>
    <x v="3"/>
    <n v="3"/>
  </r>
  <r>
    <s v="U90694"/>
    <n v="24"/>
    <s v="Female"/>
    <s v="Australia"/>
    <x v="1"/>
    <s v="Master's"/>
    <s v="Creative Writing Student"/>
    <n v="628"/>
    <s v="Chat GPT"/>
    <x v="5"/>
    <n v="3.5"/>
    <n v="0"/>
    <x v="6"/>
    <n v="3"/>
    <n v="4"/>
    <n v="7"/>
    <n v="6"/>
    <n v="24"/>
    <s v="Australia"/>
    <s v="Creative Writing Student"/>
    <n v="628"/>
    <x v="0"/>
    <n v="7"/>
  </r>
  <r>
    <s v="U90037"/>
    <n v="43"/>
    <s v="Male"/>
    <s v="Pakistan"/>
    <x v="0"/>
    <s v="High School"/>
    <s v="Digital Content Writer"/>
    <n v="637"/>
    <s v="claude"/>
    <x v="4"/>
    <n v="8.1"/>
    <n v="0"/>
    <x v="28"/>
    <n v="5"/>
    <n v="8"/>
    <n v="16.5"/>
    <n v="7.4"/>
    <n v="43"/>
    <s v="Pakistan"/>
    <s v="Digital Content Writer"/>
    <n v="637"/>
    <x v="5"/>
    <n v="16.5"/>
  </r>
  <r>
    <s v="U90027"/>
    <m/>
    <s v="Female"/>
    <s v="Canada"/>
    <x v="1"/>
    <s v="Undergraduate"/>
    <s v="Psychology Student"/>
    <n v="638"/>
    <s v=" Google Gemini"/>
    <x v="2"/>
    <n v="0.9"/>
    <n v="0"/>
    <x v="59"/>
    <n v="3"/>
    <n v="5"/>
    <n v="0.1"/>
    <n v="7.4"/>
    <n v="30.023333333333333"/>
    <s v="Canada"/>
    <s v="Psychology Student"/>
    <n v="638"/>
    <x v="2"/>
    <n v="0.1"/>
  </r>
  <r>
    <s v="U90434"/>
    <n v="28"/>
    <s v="Male"/>
    <s v="Australia"/>
    <x v="1"/>
    <s v="Undergraduate"/>
    <s v="Mechanical Engineering Student"/>
    <n v="644"/>
    <s v="Chat GPT"/>
    <x v="1"/>
    <n v="4"/>
    <n v="0"/>
    <x v="51"/>
    <n v="3"/>
    <n v="8"/>
    <n v="7.9"/>
    <n v="5.3"/>
    <n v="28"/>
    <s v="Australia"/>
    <s v="Mechanical Engineering Student"/>
    <n v="644"/>
    <x v="0"/>
    <n v="7.9"/>
  </r>
  <r>
    <s v="U90520"/>
    <m/>
    <s v="Female"/>
    <s v="Canada"/>
    <x v="1"/>
    <s v="Undergraduate"/>
    <s v="Psychology Student"/>
    <n v="647"/>
    <s v=" Google Gemini"/>
    <x v="2"/>
    <n v="0.9"/>
    <n v="0"/>
    <x v="59"/>
    <n v="3"/>
    <n v="5"/>
    <n v="0.1"/>
    <n v="7.4"/>
    <n v="30.023333333333333"/>
    <s v="Canada"/>
    <s v="Psychology Student"/>
    <n v="647"/>
    <x v="2"/>
    <n v="0.1"/>
  </r>
  <r>
    <s v="U90167"/>
    <n v="26"/>
    <s v="Female"/>
    <s v="Australia"/>
    <x v="1"/>
    <s v="Master's"/>
    <s v="Creative Writing Student"/>
    <n v="653"/>
    <s v="Chat GPT"/>
    <x v="5"/>
    <n v="3.5"/>
    <n v="0"/>
    <x v="6"/>
    <n v="3"/>
    <n v="4"/>
    <n v="7"/>
    <n v="6"/>
    <n v="26"/>
    <s v="Australia"/>
    <s v="Creative Writing Student"/>
    <n v="653"/>
    <x v="0"/>
    <n v="7"/>
  </r>
  <r>
    <s v="U0020"/>
    <n v="26"/>
    <s v="Female"/>
    <s v="Australia"/>
    <x v="1"/>
    <s v="Master's"/>
    <s v="Creative Writing Student"/>
    <n v="661"/>
    <s v="Chat GPT"/>
    <x v="5"/>
    <n v="3.5"/>
    <n v="0"/>
    <x v="6"/>
    <n v="3"/>
    <n v="4"/>
    <n v="7"/>
    <n v="6"/>
    <n v="26"/>
    <s v="Australia"/>
    <s v="Creative Writing Student"/>
    <n v="661"/>
    <x v="0"/>
    <n v="7"/>
  </r>
  <r>
    <s v="U0286"/>
    <n v="28"/>
    <s v="Female"/>
    <s v="Brazil"/>
    <x v="0"/>
    <s v="Master's"/>
    <s v="Administrative Assistant"/>
    <n v="666"/>
    <s v="Chat GPT"/>
    <x v="3"/>
    <n v="2.2000000000000002"/>
    <n v="0"/>
    <x v="64"/>
    <n v="4"/>
    <n v="7"/>
    <n v="5.2"/>
    <n v="8.6"/>
    <n v="28"/>
    <s v="Brazil"/>
    <s v="Administrative Assistant"/>
    <n v="666"/>
    <x v="0"/>
    <n v="5.2"/>
  </r>
  <r>
    <s v="U0241"/>
    <n v="20"/>
    <s v="Male"/>
    <s v="Canada"/>
    <x v="1"/>
    <s v="High School"/>
    <s v="Biology Student"/>
    <n v="670"/>
    <s v="Chat GPT"/>
    <x v="1"/>
    <n v="3.7"/>
    <n v="30"/>
    <x v="65"/>
    <n v="3"/>
    <n v="9"/>
    <n v="7.5"/>
    <n v="9.4"/>
    <n v="20"/>
    <s v="Canada"/>
    <s v="Biology Student"/>
    <n v="670"/>
    <x v="0"/>
    <n v="7.5"/>
  </r>
  <r>
    <s v="U0139"/>
    <n v="41"/>
    <s v="Male"/>
    <s v="Pakistan"/>
    <x v="0"/>
    <s v="High School"/>
    <s v="Digital Content Writer"/>
    <n v="672"/>
    <s v="claude"/>
    <x v="4"/>
    <n v="8.1"/>
    <n v="0"/>
    <x v="28"/>
    <n v="5"/>
    <n v="8"/>
    <n v="16.5"/>
    <n v="7.4"/>
    <n v="41"/>
    <s v="Pakistan"/>
    <s v="Digital Content Writer"/>
    <n v="672"/>
    <x v="5"/>
    <n v="16.5"/>
  </r>
  <r>
    <s v="U90590"/>
    <m/>
    <s v="Female"/>
    <s v="Canada"/>
    <x v="1"/>
    <s v="Undergraduate"/>
    <s v="Psychology Student"/>
    <n v="674"/>
    <s v=" Google Gemini"/>
    <x v="2"/>
    <n v="0.9"/>
    <n v="0"/>
    <x v="59"/>
    <n v="3"/>
    <n v="5"/>
    <n v="0.1"/>
    <n v="7.4"/>
    <n v="30.023333333333333"/>
    <s v="Canada"/>
    <s v="Psychology Student"/>
    <n v="674"/>
    <x v="2"/>
    <n v="0.1"/>
  </r>
  <r>
    <s v="U0134"/>
    <n v="27"/>
    <s v="Male"/>
    <s v="Canada"/>
    <x v="1"/>
    <s v="Undergraduate"/>
    <s v="Digital Media Production Student"/>
    <n v="675"/>
    <s v="claude"/>
    <x v="4"/>
    <n v="1.2"/>
    <n v="20"/>
    <x v="34"/>
    <n v="3"/>
    <n v="6"/>
    <n v="1.1000000000000001"/>
    <n v="7.6"/>
    <n v="27"/>
    <s v="Canada"/>
    <s v="Digital Media Production Student"/>
    <n v="675"/>
    <x v="5"/>
    <n v="1.1000000000000001"/>
  </r>
  <r>
    <s v="U0201"/>
    <n v="21"/>
    <s v="Male"/>
    <s v="Canada"/>
    <x v="1"/>
    <s v="Undergraduate"/>
    <s v="English Literature Student"/>
    <n v="678"/>
    <s v="Chat GPT"/>
    <x v="5"/>
    <n v="3"/>
    <n v="0"/>
    <x v="0"/>
    <n v="4"/>
    <n v="6"/>
    <n v="7.1"/>
    <n v="6.7"/>
    <n v="21"/>
    <s v="Canada"/>
    <s v="English Literature Student"/>
    <n v="678"/>
    <x v="0"/>
    <n v="7.1"/>
  </r>
  <r>
    <s v="U90495"/>
    <n v="25"/>
    <s v="Male"/>
    <s v="Canada"/>
    <x v="1"/>
    <s v="Undergraduate"/>
    <s v="Digital Media Production Student"/>
    <n v="680"/>
    <s v="claude"/>
    <x v="4"/>
    <n v="1.2"/>
    <n v="20"/>
    <x v="34"/>
    <n v="3"/>
    <n v="6"/>
    <n v="1.1000000000000001"/>
    <n v="7.6"/>
    <n v="25"/>
    <s v="Canada"/>
    <s v="Digital Media Production Student"/>
    <n v="680"/>
    <x v="5"/>
    <n v="1.1000000000000001"/>
  </r>
  <r>
    <s v="U90567"/>
    <n v="27"/>
    <s v="Female"/>
    <s v="Brazil"/>
    <x v="0"/>
    <s v="Master's"/>
    <s v="Customer Service Specialist"/>
    <n v="686"/>
    <s v="Chat GPT"/>
    <x v="3"/>
    <n v="2.2000000000000002"/>
    <n v="0"/>
    <x v="64"/>
    <n v="4"/>
    <n v="7"/>
    <n v="5.2"/>
    <n v="8.6"/>
    <n v="27"/>
    <s v="Brazil"/>
    <s v="Customer Service Specialist"/>
    <n v="686"/>
    <x v="0"/>
    <n v="5.2"/>
  </r>
  <r>
    <s v="U0100"/>
    <n v="20"/>
    <s v="Male"/>
    <s v="United States"/>
    <x v="1"/>
    <s v="Undergraduate"/>
    <s v="Data Science Student"/>
    <n v="698"/>
    <s v=" Google Gemini"/>
    <x v="2"/>
    <n v="1.2"/>
    <n v="0"/>
    <x v="8"/>
    <n v="3"/>
    <n v="4"/>
    <n v="1.7"/>
    <n v="4.7"/>
    <n v="20"/>
    <s v="United States"/>
    <s v="Data Science Student"/>
    <n v="698"/>
    <x v="2"/>
    <n v="1.7"/>
  </r>
  <r>
    <s v="U0267"/>
    <n v="16"/>
    <s v="Female"/>
    <s v="United States"/>
    <x v="1"/>
    <s v="PhD"/>
    <s v="UNKNOWN"/>
    <n v="707"/>
    <s v="Chat GPT"/>
    <x v="6"/>
    <n v="1.1000000000000001"/>
    <n v="0"/>
    <x v="56"/>
    <n v="3"/>
    <n v="7"/>
    <n v="5.0999999999999996"/>
    <n v="4.9000000000000004"/>
    <n v="16"/>
    <s v="United States"/>
    <s v="UNKNOWN"/>
    <n v="707"/>
    <x v="0"/>
    <n v="5.0999999999999996"/>
  </r>
  <r>
    <s v="U90238"/>
    <n v="28"/>
    <s v="Female"/>
    <s v="Brazil"/>
    <x v="0"/>
    <s v="Master's"/>
    <s v="Customer Service Specialist"/>
    <n v="711"/>
    <s v="Chat GPT"/>
    <x v="3"/>
    <n v="2.2000000000000002"/>
    <n v="0"/>
    <x v="64"/>
    <n v="4"/>
    <n v="7"/>
    <n v="5.2"/>
    <n v="8.6"/>
    <n v="28"/>
    <s v="Brazil"/>
    <s v="Customer Service Specialist"/>
    <n v="711"/>
    <x v="0"/>
    <n v="5.2"/>
  </r>
  <r>
    <s v="U90418"/>
    <n v="40"/>
    <s v="Male"/>
    <s v="India"/>
    <x v="0"/>
    <s v="Diploma"/>
    <s v="UNKNOWN"/>
    <n v="711"/>
    <s v="Grammarly"/>
    <x v="3"/>
    <n v="0.7"/>
    <n v="0"/>
    <x v="48"/>
    <n v="4"/>
    <n v="5"/>
    <n v="3"/>
    <n v="6.9"/>
    <n v="40"/>
    <s v="India"/>
    <s v="UNKNOWN"/>
    <n v="711"/>
    <x v="3"/>
    <n v="3"/>
  </r>
  <r>
    <s v="U90325"/>
    <n v="28"/>
    <s v="Female"/>
    <s v="Australia"/>
    <x v="1"/>
    <s v="Master's"/>
    <s v="Creative Writing Student"/>
    <n v="728"/>
    <s v="Chat GPT"/>
    <x v="5"/>
    <n v="3.5"/>
    <n v="0"/>
    <x v="6"/>
    <n v="3"/>
    <n v="4"/>
    <n v="7"/>
    <n v="6"/>
    <n v="28"/>
    <s v="Australia"/>
    <s v="Creative Writing Student"/>
    <n v="728"/>
    <x v="0"/>
    <n v="7"/>
  </r>
  <r>
    <s v="U90391"/>
    <n v="37"/>
    <s v="Female"/>
    <s v="Pakistan"/>
    <x v="0"/>
    <s v="Master's"/>
    <s v="Research Analyst"/>
    <n v="729"/>
    <s v="Chat GPT"/>
    <x v="2"/>
    <n v="2.7"/>
    <n v="0"/>
    <x v="7"/>
    <n v="4"/>
    <n v="6"/>
    <n v="5.7"/>
    <n v="8.6999999999999993"/>
    <n v="37"/>
    <s v="Pakistan"/>
    <s v="Research Analyst"/>
    <n v="729"/>
    <x v="0"/>
    <n v="5.7"/>
  </r>
  <r>
    <s v="U0095"/>
    <n v="43"/>
    <s v="Female"/>
    <s v="Pakistan"/>
    <x v="0"/>
    <s v="Master's"/>
    <s v="Content Strategist &amp; Technical Writer"/>
    <n v="730"/>
    <s v="Chat GPT"/>
    <x v="5"/>
    <n v="1.6"/>
    <n v="20"/>
    <x v="56"/>
    <n v="4"/>
    <n v="5"/>
    <n v="4.7"/>
    <n v="9.6999999999999993"/>
    <n v="43"/>
    <s v="Pakistan"/>
    <s v="Content Strategist &amp; Technical Writer"/>
    <n v="730"/>
    <x v="0"/>
    <n v="4.7"/>
  </r>
  <r>
    <s v="U90635"/>
    <n v="20"/>
    <s v="Male"/>
    <s v="United States"/>
    <x v="1"/>
    <s v="Graduate"/>
    <s v="Data Science Student"/>
    <n v="737"/>
    <s v=" Google Gemini"/>
    <x v="2"/>
    <n v="1.2"/>
    <n v="0"/>
    <x v="8"/>
    <n v="3"/>
    <n v="4"/>
    <n v="1.7"/>
    <n v="4.7"/>
    <n v="20"/>
    <s v="United States"/>
    <s v="Data Science Student"/>
    <n v="737"/>
    <x v="2"/>
    <n v="1.7"/>
  </r>
  <r>
    <s v="U90119"/>
    <n v="21"/>
    <s v="Male"/>
    <s v="Canada"/>
    <x v="1"/>
    <s v="Undergraduate"/>
    <s v="English Literature Student"/>
    <n v="748"/>
    <s v="Chat GPT"/>
    <x v="5"/>
    <n v="3"/>
    <n v="0"/>
    <x v="0"/>
    <n v="4"/>
    <n v="6"/>
    <n v="7.1"/>
    <n v="6.7"/>
    <n v="21"/>
    <s v="Canada"/>
    <s v="English Literature Student"/>
    <n v="748"/>
    <x v="0"/>
    <n v="7.1"/>
  </r>
  <r>
    <s v="U90572"/>
    <n v="43"/>
    <s v="Female"/>
    <s v="Pakistan"/>
    <x v="0"/>
    <s v="Master's"/>
    <s v="Content Strategist &amp; Technical Writer"/>
    <n v="754"/>
    <s v="Chat GPT"/>
    <x v="5"/>
    <n v="1.6"/>
    <n v="20"/>
    <x v="56"/>
    <n v="4"/>
    <n v="5"/>
    <n v="4.7"/>
    <n v="9.6999999999999993"/>
    <n v="43"/>
    <s v="Pakistan"/>
    <s v="Content Strategist &amp; Technical Writer"/>
    <n v="754"/>
    <x v="0"/>
    <n v="4.7"/>
  </r>
  <r>
    <s v="U90083"/>
    <n v="29"/>
    <s v="Male"/>
    <s v="Philippines"/>
    <x v="0"/>
    <s v="Bachelor's"/>
    <s v="Business Intelligence Analyst"/>
    <n v="762"/>
    <s v="Microsoft Copilot"/>
    <x v="6"/>
    <n v="2.8"/>
    <n v="0"/>
    <x v="11"/>
    <n v="4"/>
    <n v="9"/>
    <n v="9.4"/>
    <n v="11.3"/>
    <n v="29"/>
    <s v="Philippines"/>
    <s v="Business Intelligence Analyst"/>
    <n v="762"/>
    <x v="1"/>
    <n v="9.4"/>
  </r>
  <r>
    <s v="U0119"/>
    <n v="29"/>
    <s v="Male"/>
    <s v="Philippines"/>
    <x v="0"/>
    <s v="Bachelor's"/>
    <s v="Business Intelligence Analyst"/>
    <n v="765"/>
    <s v="Microsoft Copilot"/>
    <x v="6"/>
    <n v="2.8"/>
    <n v="0"/>
    <x v="11"/>
    <n v="4"/>
    <n v="9"/>
    <n v="9.4"/>
    <n v="11.3"/>
    <n v="29"/>
    <s v="Philippines"/>
    <s v="Business Intelligence Analyst"/>
    <n v="765"/>
    <x v="1"/>
    <n v="9.4"/>
  </r>
  <r>
    <s v="U90546"/>
    <n v="20"/>
    <s v="Male"/>
    <s v="United States"/>
    <x v="1"/>
    <s v="Graduate"/>
    <s v="Data Science Student"/>
    <n v="768"/>
    <s v=" Google Gemini"/>
    <x v="2"/>
    <n v="1.2"/>
    <n v="0"/>
    <x v="8"/>
    <n v="3"/>
    <n v="4"/>
    <n v="1.7"/>
    <n v="4.7"/>
    <n v="20"/>
    <s v="United States"/>
    <s v="Data Science Student"/>
    <n v="768"/>
    <x v="2"/>
    <n v="1.7"/>
  </r>
  <r>
    <s v="U0225"/>
    <n v="19"/>
    <s v="Female"/>
    <s v="United States"/>
    <x v="1"/>
    <s v="Undergraduate"/>
    <s v="Business Analytics Student"/>
    <n v="774"/>
    <s v="Meta AI"/>
    <x v="6"/>
    <n v="1.5"/>
    <n v="0"/>
    <x v="23"/>
    <n v="3"/>
    <n v="6"/>
    <n v="2.9"/>
    <n v="7.4"/>
    <n v="19"/>
    <s v="United States"/>
    <s v="Business Analytics Student"/>
    <n v="774"/>
    <x v="6"/>
    <n v="2.9"/>
  </r>
  <r>
    <s v="U90514"/>
    <n v="41"/>
    <s v="Female"/>
    <s v="Pakistan"/>
    <x v="0"/>
    <s v="Bachelor's"/>
    <s v="Customer Service Executive"/>
    <n v="782"/>
    <s v="Chat GPT"/>
    <x v="3"/>
    <n v="6"/>
    <n v="0"/>
    <x v="66"/>
    <n v="2"/>
    <n v="8"/>
    <m/>
    <n v="6.6"/>
    <n v="41"/>
    <s v="Pakistan"/>
    <s v="Customer Service Executive"/>
    <n v="782"/>
    <x v="0"/>
    <n v="9.2619469026548717"/>
  </r>
  <r>
    <s v="U90654"/>
    <n v="21"/>
    <s v="Male"/>
    <s v="United States"/>
    <x v="1"/>
    <s v="Graduate"/>
    <s v="Data Science Student"/>
    <n v="788"/>
    <s v=" Google Gemini"/>
    <x v="2"/>
    <n v="1.2"/>
    <n v="0"/>
    <x v="8"/>
    <n v="3"/>
    <n v="4"/>
    <n v="1.7"/>
    <n v="4.7"/>
    <n v="21"/>
    <s v="United States"/>
    <s v="Data Science Student"/>
    <n v="788"/>
    <x v="2"/>
    <n v="1.7"/>
  </r>
  <r>
    <s v="U90207"/>
    <n v="31"/>
    <s v="Male"/>
    <s v="Philippines"/>
    <x v="0"/>
    <s v="Bachelor's"/>
    <s v="Business Intelligence Analyst"/>
    <n v="791"/>
    <s v="Microsoft Copilot"/>
    <x v="6"/>
    <n v="2.8"/>
    <n v="0"/>
    <x v="11"/>
    <n v="4"/>
    <n v="9"/>
    <n v="9.4"/>
    <n v="11.3"/>
    <n v="31"/>
    <s v="Philippines"/>
    <s v="Business Intelligence Analyst"/>
    <n v="791"/>
    <x v="1"/>
    <n v="9.4"/>
  </r>
  <r>
    <s v="U90319"/>
    <n v="27"/>
    <s v="Male"/>
    <s v="Kenya"/>
    <x v="0"/>
    <s v="Diploma"/>
    <s v="Data Analyst"/>
    <n v="791"/>
    <s v="Chat GPT"/>
    <x v="6"/>
    <n v="2.2999999999999998"/>
    <n v="0"/>
    <x v="2"/>
    <n v="4"/>
    <n v="5"/>
    <n v="4.9000000000000004"/>
    <n v="6.4"/>
    <n v="27"/>
    <s v="Kenya"/>
    <s v="Data Analyst"/>
    <n v="791"/>
    <x v="0"/>
    <n v="4.9000000000000004"/>
  </r>
  <r>
    <s v="U90062"/>
    <n v="35"/>
    <s v="Female"/>
    <s v="Pakistan"/>
    <x v="0"/>
    <s v="Master's"/>
    <s v="Research Analyst"/>
    <n v="800"/>
    <s v="Chat GPT"/>
    <x v="2"/>
    <n v="2.7"/>
    <n v="0"/>
    <x v="7"/>
    <n v="4"/>
    <n v="6"/>
    <n v="5.7"/>
    <n v="8.6999999999999993"/>
    <n v="35"/>
    <s v="Pakistan"/>
    <s v="Research Analyst"/>
    <n v="800"/>
    <x v="0"/>
    <n v="5.7"/>
  </r>
  <r>
    <s v="U90692"/>
    <n v="39"/>
    <s v="Female"/>
    <s v="Nigeria"/>
    <x v="0"/>
    <s v="Master's"/>
    <s v="Customer Experience Manager"/>
    <n v="806"/>
    <s v="Perplexity AI"/>
    <x v="3"/>
    <n v="1.3"/>
    <n v="25"/>
    <x v="67"/>
    <n v="5"/>
    <n v="5"/>
    <n v="4.9000000000000004"/>
    <n v="9.6999999999999993"/>
    <n v="39"/>
    <s v="Nigeria"/>
    <s v="Customer Experience Manager"/>
    <n v="806"/>
    <x v="8"/>
    <n v="4.9000000000000004"/>
  </r>
  <r>
    <s v="U90067"/>
    <n v="16"/>
    <s v="Female"/>
    <s v="United States"/>
    <x v="1"/>
    <s v="PhD"/>
    <s v="UNKNOWN"/>
    <n v="808"/>
    <s v="Chat GPT"/>
    <x v="6"/>
    <n v="1.1000000000000001"/>
    <n v="0"/>
    <x v="56"/>
    <n v="3"/>
    <n v="7"/>
    <n v="5.0999999999999996"/>
    <n v="4.9000000000000004"/>
    <n v="16"/>
    <s v="United States"/>
    <s v="UNKNOWN"/>
    <n v="808"/>
    <x v="0"/>
    <n v="5.0999999999999996"/>
  </r>
  <r>
    <s v="U90446"/>
    <n v="30"/>
    <s v="Male"/>
    <s v="Kenya"/>
    <x v="0"/>
    <s v="Diploma"/>
    <s v="Data Analyst"/>
    <n v="819"/>
    <s v="Chat GPT"/>
    <x v="6"/>
    <n v="2.2999999999999998"/>
    <n v="0"/>
    <x v="2"/>
    <n v="4"/>
    <n v="5"/>
    <n v="4.9000000000000004"/>
    <n v="6.4"/>
    <n v="30"/>
    <s v="Kenya"/>
    <s v="Data Analyst"/>
    <n v="819"/>
    <x v="0"/>
    <n v="4.9000000000000004"/>
  </r>
  <r>
    <s v="U90047"/>
    <n v="26"/>
    <s v="Female"/>
    <s v="Pakistan"/>
    <x v="0"/>
    <s v="Bachelor's"/>
    <s v="Content Writer"/>
    <n v="821"/>
    <s v="Grammarly"/>
    <x v="5"/>
    <n v="1.8"/>
    <n v="0"/>
    <x v="56"/>
    <n v="4"/>
    <n v="6"/>
    <n v="2.7"/>
    <n v="10.3"/>
    <n v="26"/>
    <s v="Pakistan"/>
    <s v="Content Writer"/>
    <n v="821"/>
    <x v="3"/>
    <n v="2.7"/>
  </r>
  <r>
    <s v="U90002"/>
    <n v="18"/>
    <s v="Female"/>
    <s v="United States"/>
    <x v="1"/>
    <s v="Undergraduate"/>
    <s v="Business Analytics Student"/>
    <n v="825"/>
    <s v="Meta AI"/>
    <x v="6"/>
    <n v="1.5"/>
    <n v="0"/>
    <x v="23"/>
    <n v="3"/>
    <n v="6"/>
    <n v="2.9"/>
    <n v="7.4"/>
    <n v="18"/>
    <s v="United States"/>
    <s v="Business Analytics Student"/>
    <n v="825"/>
    <x v="6"/>
    <n v="2.9"/>
  </r>
  <r>
    <s v="U90662"/>
    <n v="38"/>
    <s v="Female"/>
    <s v="Nigeria"/>
    <x v="0"/>
    <s v="Master's"/>
    <s v="Customer Experience Manager"/>
    <n v="837"/>
    <s v="Perplexity AI"/>
    <x v="3"/>
    <n v="1.3"/>
    <n v="25"/>
    <x v="67"/>
    <n v="5"/>
    <n v="5"/>
    <n v="4.9000000000000004"/>
    <n v="9.6999999999999993"/>
    <n v="38"/>
    <s v="Nigeria"/>
    <s v="Customer Experience Manager"/>
    <n v="837"/>
    <x v="8"/>
    <n v="4.9000000000000004"/>
  </r>
  <r>
    <s v="U90036"/>
    <n v="40"/>
    <s v="Female"/>
    <s v="Nigeria"/>
    <x v="0"/>
    <s v="Master's"/>
    <s v="Customer Experience Manager"/>
    <n v="841"/>
    <s v="Perplexity AI"/>
    <x v="3"/>
    <n v="1.3"/>
    <n v="25"/>
    <x v="67"/>
    <n v="5"/>
    <n v="5"/>
    <n v="4.9000000000000004"/>
    <n v="9.6999999999999993"/>
    <n v="40"/>
    <s v="Nigeria"/>
    <s v="Customer Experience Manager"/>
    <n v="841"/>
    <x v="8"/>
    <n v="4.9000000000000004"/>
  </r>
  <r>
    <s v="U90285"/>
    <n v="32"/>
    <s v="Female"/>
    <s v="Philippines"/>
    <x v="0"/>
    <s v="Diploma"/>
    <s v="Junior Web Developer"/>
    <n v="843"/>
    <s v="Chat GPT"/>
    <x v="0"/>
    <n v="1.9"/>
    <n v="0"/>
    <x v="56"/>
    <n v="4"/>
    <n v="7"/>
    <n v="4.9000000000000004"/>
    <n v="8.3000000000000007"/>
    <n v="32"/>
    <s v="Philippines"/>
    <s v="Junior Web Developer"/>
    <n v="843"/>
    <x v="0"/>
    <n v="4.9000000000000004"/>
  </r>
  <r>
    <s v="U90076"/>
    <n v="22"/>
    <s v="Female"/>
    <s v="Pakistan"/>
    <x v="0"/>
    <s v="Bachelor's"/>
    <s v="Content Writer"/>
    <n v="853"/>
    <s v="Grammarly"/>
    <x v="5"/>
    <n v="3.3"/>
    <n v="0"/>
    <x v="11"/>
    <n v="4"/>
    <n v="6"/>
    <n v="7.7"/>
    <n v="9.6"/>
    <n v="22"/>
    <s v="Pakistan"/>
    <s v="Content Writer"/>
    <n v="853"/>
    <x v="3"/>
    <n v="7.7"/>
  </r>
  <r>
    <s v="U90475"/>
    <n v="39"/>
    <s v="Female"/>
    <s v="Nigeria"/>
    <x v="0"/>
    <s v="BA/BSc"/>
    <s v="Content Writer"/>
    <n v="855"/>
    <s v="Chat GPT"/>
    <x v="5"/>
    <n v="3.3"/>
    <n v="0"/>
    <x v="60"/>
    <n v="4"/>
    <n v="7"/>
    <n v="6.5"/>
    <n v="8.9"/>
    <n v="39"/>
    <s v="Nigeria"/>
    <s v="Content Writer"/>
    <n v="855"/>
    <x v="0"/>
    <n v="6.5"/>
  </r>
  <r>
    <s v="U0135"/>
    <n v="36"/>
    <s v="Female"/>
    <s v="Pakistan"/>
    <x v="0"/>
    <s v="Master's"/>
    <s v="Research Analyst"/>
    <n v="856"/>
    <s v="Chat GPT"/>
    <x v="2"/>
    <n v="2.7"/>
    <n v="0"/>
    <x v="7"/>
    <n v="4"/>
    <n v="6"/>
    <n v="5.7"/>
    <n v="8.6999999999999993"/>
    <n v="36"/>
    <s v="Pakistan"/>
    <s v="Research Analyst"/>
    <n v="856"/>
    <x v="0"/>
    <n v="5.7"/>
  </r>
  <r>
    <s v="U0265"/>
    <n v="25"/>
    <s v="Female"/>
    <s v="Pakistan"/>
    <x v="0"/>
    <s v="Bachelor's"/>
    <s v="Content Writer"/>
    <n v="863"/>
    <s v="Grammarly"/>
    <x v="5"/>
    <n v="1.8"/>
    <n v="0"/>
    <x v="56"/>
    <n v="4"/>
    <n v="6"/>
    <n v="2.7"/>
    <n v="10.3"/>
    <n v="25"/>
    <s v="Pakistan"/>
    <s v="Content Writer"/>
    <n v="863"/>
    <x v="3"/>
    <n v="2.7"/>
  </r>
  <r>
    <s v="U90131"/>
    <n v="41"/>
    <s v="Female"/>
    <s v="Pakistan"/>
    <x v="0"/>
    <s v="Bachelor's"/>
    <s v="Customer Service Executive"/>
    <n v="874"/>
    <s v="Chat GPT"/>
    <x v="3"/>
    <n v="6"/>
    <n v="0"/>
    <x v="66"/>
    <n v="2"/>
    <n v="8"/>
    <m/>
    <n v="6.6"/>
    <n v="41"/>
    <s v="Pakistan"/>
    <s v="Customer Service Executive"/>
    <n v="874"/>
    <x v="0"/>
    <n v="9.2619469026548717"/>
  </r>
  <r>
    <s v="U0056"/>
    <n v="34"/>
    <s v="Female"/>
    <s v="Philippines"/>
    <x v="0"/>
    <s v="Diploma"/>
    <s v="Junior Web Developer"/>
    <n v="874"/>
    <s v="Chat GPT"/>
    <x v="0"/>
    <n v="1.9"/>
    <n v="0"/>
    <x v="56"/>
    <n v="4"/>
    <n v="7"/>
    <n v="4.9000000000000004"/>
    <n v="8.3000000000000007"/>
    <n v="34"/>
    <s v="Philippines"/>
    <s v="Junior Web Developer"/>
    <n v="874"/>
    <x v="0"/>
    <n v="4.9000000000000004"/>
  </r>
  <r>
    <s v="U0096"/>
    <n v="17"/>
    <s v="Male"/>
    <s v="United States"/>
    <x v="1"/>
    <s v="High School"/>
    <s v="Environmental Science Student"/>
    <n v="884"/>
    <s v="Unknown"/>
    <x v="2"/>
    <n v="7"/>
    <n v="20"/>
    <x v="68"/>
    <n v="4"/>
    <n v="10"/>
    <n v="12.8"/>
    <n v="5.8"/>
    <n v="17"/>
    <s v="United States"/>
    <s v="Environmental Science Student"/>
    <n v="884"/>
    <x v="7"/>
    <n v="12.8"/>
  </r>
  <r>
    <s v="U0239"/>
    <n v="45"/>
    <s v="Male"/>
    <s v="Pakistan"/>
    <x v="0"/>
    <s v="Master's"/>
    <s v="Senior Software Engineer"/>
    <n v="887"/>
    <s v="Unknown"/>
    <x v="0"/>
    <n v="1.5"/>
    <n v="0"/>
    <x v="64"/>
    <n v="3"/>
    <n v="5"/>
    <n v="5.3"/>
    <n v="6.4"/>
    <n v="45"/>
    <s v="Pakistan"/>
    <s v="Senior Software Engineer"/>
    <n v="887"/>
    <x v="7"/>
    <n v="5.3"/>
  </r>
  <r>
    <s v="U0150"/>
    <n v="37"/>
    <s v="Female"/>
    <s v="Nigeria"/>
    <x v="0"/>
    <s v="BA/BSc"/>
    <s v="Content Writer"/>
    <n v="889"/>
    <s v="Chat GPT"/>
    <x v="5"/>
    <n v="3.3"/>
    <n v="0"/>
    <x v="60"/>
    <n v="4"/>
    <n v="7"/>
    <n v="6.5"/>
    <n v="8.9"/>
    <n v="37"/>
    <s v="Nigeria"/>
    <s v="Content Writer"/>
    <n v="889"/>
    <x v="0"/>
    <n v="6.5"/>
  </r>
  <r>
    <s v="U0147"/>
    <n v="39"/>
    <s v="Male"/>
    <s v="Brazil"/>
    <x v="0"/>
    <s v="Diploma"/>
    <s v="Data Analyst"/>
    <n v="894"/>
    <s v="Chat GPT"/>
    <x v="6"/>
    <n v="2.8"/>
    <n v="20"/>
    <x v="65"/>
    <n v="4"/>
    <n v="9"/>
    <n v="3.9"/>
    <n v="9.1999999999999993"/>
    <n v="39"/>
    <s v="Brazil"/>
    <s v="Data Analyst"/>
    <n v="894"/>
    <x v="0"/>
    <n v="3.9"/>
  </r>
  <r>
    <s v="U0001"/>
    <n v="29"/>
    <s v="Male"/>
    <s v="Kenya"/>
    <x v="0"/>
    <s v="Diploma"/>
    <s v="Data Analyst"/>
    <n v="898"/>
    <s v="Chat GPT"/>
    <x v="6"/>
    <n v="2.2999999999999998"/>
    <n v="0"/>
    <x v="2"/>
    <n v="4"/>
    <n v="5"/>
    <n v="4.9000000000000004"/>
    <n v="6.4"/>
    <n v="29"/>
    <s v="Kenya"/>
    <s v="Data Analyst"/>
    <n v="898"/>
    <x v="0"/>
    <n v="4.9000000000000004"/>
  </r>
  <r>
    <s v="U90236"/>
    <n v="52"/>
    <s v="Male"/>
    <s v="India"/>
    <x v="0"/>
    <s v="Bachelor's"/>
    <s v="Customer Support Executive"/>
    <n v="903"/>
    <s v="claude"/>
    <x v="3"/>
    <n v="5"/>
    <n v="20"/>
    <x v="32"/>
    <n v="3"/>
    <n v="5"/>
    <m/>
    <n v="9.9"/>
    <n v="52"/>
    <s v="India"/>
    <s v="Customer Support Executive"/>
    <n v="903"/>
    <x v="5"/>
    <n v="4.1465346534653476"/>
  </r>
  <r>
    <s v="U90595"/>
    <n v="28"/>
    <s v="Male"/>
    <s v="Kenya"/>
    <x v="0"/>
    <s v="Diploma"/>
    <s v="Data Analyst"/>
    <n v="910"/>
    <s v="Chat GPT"/>
    <x v="6"/>
    <n v="2.2999999999999998"/>
    <n v="0"/>
    <x v="2"/>
    <n v="4"/>
    <n v="5"/>
    <n v="4.9000000000000004"/>
    <n v="6.4"/>
    <n v="28"/>
    <s v="Kenya"/>
    <s v="Data Analyst"/>
    <n v="910"/>
    <x v="0"/>
    <n v="4.9000000000000004"/>
  </r>
  <r>
    <s v="U0256"/>
    <n v="39"/>
    <s v="Female"/>
    <s v="Pakistan"/>
    <x v="0"/>
    <s v="Bachelor's"/>
    <s v="Customer Service Executive"/>
    <n v="915"/>
    <s v="Chat GPT"/>
    <x v="3"/>
    <n v="6"/>
    <n v="0"/>
    <x v="66"/>
    <n v="2"/>
    <n v="8"/>
    <m/>
    <n v="6.6"/>
    <n v="39"/>
    <s v="Pakistan"/>
    <s v="Customer Service Executive"/>
    <n v="915"/>
    <x v="0"/>
    <n v="9.2619469026548717"/>
  </r>
  <r>
    <s v="U90417"/>
    <n v="40"/>
    <s v="Female"/>
    <s v="Nigeria"/>
    <x v="0"/>
    <s v="Master's"/>
    <s v="Customer Experience Manager"/>
    <n v="935"/>
    <s v="Perplexity AI"/>
    <x v="3"/>
    <n v="1.3"/>
    <n v="25"/>
    <x v="67"/>
    <n v="5"/>
    <n v="5"/>
    <n v="4.9000000000000004"/>
    <n v="9.6999999999999993"/>
    <n v="40"/>
    <s v="Nigeria"/>
    <s v="Customer Experience Manager"/>
    <n v="935"/>
    <x v="8"/>
    <n v="4.9000000000000004"/>
  </r>
  <r>
    <s v="U90130"/>
    <n v="40"/>
    <s v="Female"/>
    <s v="Brazil"/>
    <x v="0"/>
    <s v="High School"/>
    <s v="Data Science Student"/>
    <n v="941"/>
    <s v="Meta AI"/>
    <x v="0"/>
    <n v="4.5999999999999996"/>
    <n v="0"/>
    <x v="63"/>
    <n v="4"/>
    <n v="7"/>
    <n v="7.9"/>
    <n v="8.8000000000000007"/>
    <n v="40"/>
    <s v="Brazil"/>
    <s v="Data Science Student"/>
    <n v="941"/>
    <x v="6"/>
    <n v="7.9"/>
  </r>
  <r>
    <s v="U0237"/>
    <n v="40"/>
    <s v="Female"/>
    <s v="Nigeria"/>
    <x v="0"/>
    <s v="Master's"/>
    <s v="Customer Experience Manager"/>
    <n v="942"/>
    <s v="Perplexity AI"/>
    <x v="3"/>
    <n v="1.3"/>
    <n v="25"/>
    <x v="67"/>
    <n v="5"/>
    <n v="5"/>
    <n v="4.9000000000000004"/>
    <n v="9.6999999999999993"/>
    <n v="40"/>
    <s v="Nigeria"/>
    <s v="Customer Experience Manager"/>
    <n v="942"/>
    <x v="8"/>
    <n v="4.9000000000000004"/>
  </r>
  <r>
    <s v="U0086"/>
    <n v="23"/>
    <s v="Female"/>
    <s v="Pakistan"/>
    <x v="0"/>
    <s v="Bachelor's"/>
    <s v="Content Writer"/>
    <n v="965"/>
    <s v="Grammarly"/>
    <x v="5"/>
    <n v="3.3"/>
    <n v="0"/>
    <x v="11"/>
    <n v="4"/>
    <n v="6"/>
    <n v="7.7"/>
    <n v="9.6"/>
    <n v="23"/>
    <s v="Pakistan"/>
    <s v="Content Writer"/>
    <n v="965"/>
    <x v="3"/>
    <n v="7.7"/>
  </r>
  <r>
    <s v="U90179"/>
    <n v="41"/>
    <s v="Female"/>
    <s v="Nigeria"/>
    <x v="0"/>
    <s v="Master's"/>
    <s v="Customer Experience Manager"/>
    <n v="966"/>
    <s v="Perplexity AI"/>
    <x v="3"/>
    <n v="1.3"/>
    <n v="25"/>
    <x v="67"/>
    <n v="5"/>
    <n v="5"/>
    <n v="4.9000000000000004"/>
    <n v="9.6999999999999993"/>
    <n v="41"/>
    <s v="Nigeria"/>
    <s v="Customer Experience Manager"/>
    <n v="966"/>
    <x v="8"/>
    <n v="4.9000000000000004"/>
  </r>
  <r>
    <s v="U0050"/>
    <n v="31"/>
    <s v="Female"/>
    <s v="Pakistan"/>
    <x v="0"/>
    <s v="Bachelor's"/>
    <s v="Content Writer"/>
    <n v="969"/>
    <s v="Chat GPT"/>
    <x v="5"/>
    <n v="4.9000000000000004"/>
    <n v="0"/>
    <x v="53"/>
    <n v="3"/>
    <n v="7"/>
    <n v="6.5"/>
    <n v="9.3000000000000007"/>
    <n v="31"/>
    <s v="Pakistan"/>
    <s v="Content Writer"/>
    <n v="969"/>
    <x v="0"/>
    <n v="6.5"/>
  </r>
  <r>
    <s v="U90436"/>
    <n v="43"/>
    <s v="Female"/>
    <s v="Brazil"/>
    <x v="0"/>
    <s v="High School"/>
    <s v="Data Science Student"/>
    <n v="975"/>
    <s v="Meta AI"/>
    <x v="0"/>
    <n v="4.5999999999999996"/>
    <n v="0"/>
    <x v="63"/>
    <n v="4"/>
    <n v="7"/>
    <n v="7.9"/>
    <n v="8.8000000000000007"/>
    <n v="43"/>
    <s v="Brazil"/>
    <s v="Data Science Student"/>
    <n v="975"/>
    <x v="6"/>
    <n v="7.9"/>
  </r>
  <r>
    <s v="U90558"/>
    <n v="40"/>
    <s v="Female"/>
    <s v="Pakistan"/>
    <x v="0"/>
    <s v="Bachelor's"/>
    <s v="Customer Service Executive"/>
    <n v="976"/>
    <s v="Chat GPT"/>
    <x v="3"/>
    <n v="6"/>
    <n v="0"/>
    <x v="66"/>
    <n v="2"/>
    <n v="8"/>
    <m/>
    <n v="6.6"/>
    <n v="40"/>
    <s v="Pakistan"/>
    <s v="Customer Service Executive"/>
    <n v="976"/>
    <x v="0"/>
    <n v="9.2619469026548717"/>
  </r>
  <r>
    <s v="U90187"/>
    <n v="41"/>
    <s v="Female"/>
    <s v="India"/>
    <x v="0"/>
    <s v="Master's"/>
    <s v="Senior Software Developer"/>
    <n v="978"/>
    <s v="Microsoft Copilot"/>
    <x v="0"/>
    <n v="4.4000000000000004"/>
    <n v="0"/>
    <x v="37"/>
    <n v="4"/>
    <n v="8"/>
    <n v="7.7"/>
    <n v="6.4"/>
    <n v="41"/>
    <s v="India"/>
    <s v="Senior Software Developer"/>
    <n v="978"/>
    <x v="1"/>
    <n v="7.7"/>
  </r>
  <r>
    <s v="U90419"/>
    <n v="27"/>
    <s v="Female"/>
    <s v="Pakistan"/>
    <x v="0"/>
    <s v="Bachelor's"/>
    <s v="Content Writer"/>
    <n v="979"/>
    <s v="Grammarly"/>
    <x v="5"/>
    <n v="1.8"/>
    <n v="0"/>
    <x v="56"/>
    <n v="4"/>
    <n v="6"/>
    <n v="2.7"/>
    <n v="10.3"/>
    <n v="27"/>
    <s v="Pakistan"/>
    <s v="Content Writer"/>
    <n v="979"/>
    <x v="3"/>
    <n v="2.7"/>
  </r>
  <r>
    <s v="U0170"/>
    <n v="54"/>
    <s v="Male"/>
    <s v="India"/>
    <x v="0"/>
    <s v="Bachelor's"/>
    <s v="Customer Support Executive"/>
    <n v="983"/>
    <s v="claude"/>
    <x v="3"/>
    <n v="5"/>
    <n v="20"/>
    <x v="32"/>
    <n v="3"/>
    <n v="5"/>
    <m/>
    <n v="9.9"/>
    <n v="54"/>
    <s v="India"/>
    <s v="Customer Support Executive"/>
    <n v="983"/>
    <x v="5"/>
    <n v="4.1465346534653476"/>
  </r>
  <r>
    <s v="U0045"/>
    <n v="36"/>
    <s v="Male"/>
    <s v="India"/>
    <x v="0"/>
    <s v="Bachelor's"/>
    <s v="Senior Software Developer"/>
    <n v="987"/>
    <s v="Chat GPT"/>
    <x v="0"/>
    <n v="1.5"/>
    <n v="0"/>
    <x v="38"/>
    <n v="3"/>
    <n v="6"/>
    <n v="1.8"/>
    <n v="7.6"/>
    <n v="36"/>
    <s v="India"/>
    <s v="Senior Software Developer"/>
    <n v="987"/>
    <x v="0"/>
    <n v="1.8"/>
  </r>
  <r>
    <s v="U90147"/>
    <n v="32"/>
    <s v="Female"/>
    <s v="Pakistan"/>
    <x v="0"/>
    <s v="Bachelor's"/>
    <s v="Content Writer"/>
    <n v="996"/>
    <s v="Chat GPT"/>
    <x v="5"/>
    <n v="4.9000000000000004"/>
    <n v="0"/>
    <x v="53"/>
    <n v="3"/>
    <n v="7"/>
    <n v="6.5"/>
    <n v="9.3000000000000007"/>
    <n v="32"/>
    <s v="Pakistan"/>
    <s v="Content Writer"/>
    <n v="996"/>
    <x v="0"/>
    <n v="6.5"/>
  </r>
  <r>
    <s v="U0257"/>
    <n v="41"/>
    <s v="Female"/>
    <s v="Brazil"/>
    <x v="0"/>
    <s v="High School"/>
    <s v="Data Science Student"/>
    <n v="1002"/>
    <s v="Meta AI"/>
    <x v="0"/>
    <n v="4.5999999999999996"/>
    <n v="0"/>
    <x v="63"/>
    <n v="4"/>
    <n v="7"/>
    <n v="7.9"/>
    <n v="8.8000000000000007"/>
    <n v="41"/>
    <s v="Brazil"/>
    <s v="Data Science Student"/>
    <n v="1002"/>
    <x v="6"/>
    <n v="7.9"/>
  </r>
  <r>
    <s v="U90526"/>
    <n v="28"/>
    <s v="Male"/>
    <s v="Kenya"/>
    <x v="0"/>
    <s v="Diploma"/>
    <s v="Data Analyst"/>
    <n v="1003"/>
    <s v="Chat GPT"/>
    <x v="6"/>
    <n v="2.2999999999999998"/>
    <n v="0"/>
    <x v="2"/>
    <n v="4"/>
    <n v="5"/>
    <n v="4.9000000000000004"/>
    <n v="6.4"/>
    <n v="28"/>
    <s v="Kenya"/>
    <s v="Data Analyst"/>
    <n v="1003"/>
    <x v="0"/>
    <n v="4.9000000000000004"/>
  </r>
  <r>
    <s v="U90412"/>
    <n v="43"/>
    <s v="Male"/>
    <s v="Pakistan"/>
    <x v="0"/>
    <s v="Master's"/>
    <s v="Senior Software Engineer"/>
    <n v="1011"/>
    <s v="Unknown"/>
    <x v="0"/>
    <n v="1.5"/>
    <n v="0"/>
    <x v="64"/>
    <n v="3"/>
    <n v="5"/>
    <n v="5.3"/>
    <n v="6.4"/>
    <n v="43"/>
    <s v="Pakistan"/>
    <s v="Senior Software Engineer"/>
    <n v="1011"/>
    <x v="7"/>
    <n v="5.3"/>
  </r>
  <r>
    <s v="U90323"/>
    <n v="41"/>
    <s v="Female"/>
    <s v="India"/>
    <x v="0"/>
    <s v="Master's"/>
    <s v="Senior Software Developer"/>
    <n v="1014"/>
    <s v="Microsoft Copilot"/>
    <x v="0"/>
    <n v="4.4000000000000004"/>
    <n v="0"/>
    <x v="37"/>
    <n v="4"/>
    <n v="8"/>
    <n v="7.7"/>
    <n v="6.4"/>
    <n v="41"/>
    <s v="India"/>
    <s v="Senior Software Developer"/>
    <n v="1014"/>
    <x v="1"/>
    <n v="7.7"/>
  </r>
  <r>
    <s v="U90670"/>
    <n v="39"/>
    <s v="Male"/>
    <s v="India"/>
    <x v="0"/>
    <s v="Master's"/>
    <s v="Senior Content Strategist"/>
    <n v="1015"/>
    <s v="Microsoft Copilot"/>
    <x v="5"/>
    <n v="0"/>
    <n v="30"/>
    <x v="4"/>
    <n v="4"/>
    <n v="7"/>
    <n v="1.5"/>
    <n v="7.9"/>
    <n v="39"/>
    <s v="India"/>
    <s v="Senior Content Strategist"/>
    <n v="1015"/>
    <x v="1"/>
    <n v="1.5"/>
  </r>
  <r>
    <s v="U90656"/>
    <n v="50"/>
    <s v="Female"/>
    <s v="Philippines"/>
    <x v="0"/>
    <s v="PhD"/>
    <s v="Senior Research Scientist"/>
    <n v="1025"/>
    <s v="Chat GPT"/>
    <x v="6"/>
    <n v="5.8"/>
    <n v="20"/>
    <x v="14"/>
    <n v="2"/>
    <n v="6"/>
    <n v="13.5"/>
    <n v="7.9"/>
    <n v="50"/>
    <s v="Philippines"/>
    <s v="Senior Research Scientist"/>
    <n v="1025"/>
    <x v="0"/>
    <n v="13.5"/>
  </r>
  <r>
    <s v="U90105"/>
    <n v="50"/>
    <s v="Female"/>
    <s v="India"/>
    <x v="0"/>
    <s v="Master's"/>
    <s v="Senior Research Scientist"/>
    <n v="1042"/>
    <s v="Chat GPT"/>
    <x v="2"/>
    <n v="2"/>
    <n v="25"/>
    <x v="20"/>
    <n v="5"/>
    <n v="8"/>
    <n v="5.7"/>
    <n v="7.5"/>
    <n v="50"/>
    <s v="India"/>
    <s v="Senior Research Scientist"/>
    <n v="1042"/>
    <x v="0"/>
    <n v="5.7"/>
  </r>
  <r>
    <s v="U90524"/>
    <n v="51"/>
    <s v="Female"/>
    <s v="India"/>
    <x v="0"/>
    <s v="Master's"/>
    <s v="Senior Research Scientist"/>
    <n v="1055"/>
    <s v="Chat GPT"/>
    <x v="2"/>
    <n v="2"/>
    <n v="25"/>
    <x v="20"/>
    <n v="5"/>
    <n v="8"/>
    <n v="5.7"/>
    <n v="7.5"/>
    <n v="51"/>
    <s v="India"/>
    <s v="Senior Research Scientist"/>
    <n v="1055"/>
    <x v="0"/>
    <n v="5.7"/>
  </r>
  <r>
    <s v="U0236"/>
    <n v="49"/>
    <s v="Female"/>
    <s v="India"/>
    <x v="0"/>
    <s v="Master's"/>
    <s v="Senior Research Scientist"/>
    <n v="1057"/>
    <s v="Chat GPT"/>
    <x v="2"/>
    <n v="2"/>
    <n v="25"/>
    <x v="20"/>
    <n v="5"/>
    <n v="8"/>
    <n v="5.7"/>
    <n v="7.5"/>
    <n v="49"/>
    <s v="India"/>
    <s v="Senior Research Scientist"/>
    <n v="1057"/>
    <x v="0"/>
    <n v="5.7"/>
  </r>
  <r>
    <s v="U90437"/>
    <n v="51"/>
    <s v="Female"/>
    <s v="India"/>
    <x v="0"/>
    <s v="Master's"/>
    <s v="Senior Research Scientist"/>
    <n v="1061"/>
    <s v="Chat GPT"/>
    <x v="2"/>
    <n v="2"/>
    <n v="25"/>
    <x v="20"/>
    <n v="5"/>
    <n v="8"/>
    <n v="5.7"/>
    <n v="7.5"/>
    <n v="51"/>
    <s v="India"/>
    <s v="Senior Research Scientist"/>
    <n v="1061"/>
    <x v="0"/>
    <n v="5.7"/>
  </r>
  <r>
    <s v="U90420"/>
    <n v="41"/>
    <s v="Female"/>
    <s v="Nigeria"/>
    <x v="0"/>
    <s v="Master's"/>
    <s v="Customer Experience Manager"/>
    <n v="1063"/>
    <s v="Perplexity AI"/>
    <x v="3"/>
    <n v="1.3"/>
    <n v="25"/>
    <x v="67"/>
    <n v="5"/>
    <n v="5"/>
    <n v="4.9000000000000004"/>
    <n v="9.6999999999999993"/>
    <n v="41"/>
    <s v="Nigeria"/>
    <s v="Customer Experience Manager"/>
    <n v="1063"/>
    <x v="8"/>
    <n v="4.9000000000000004"/>
  </r>
  <r>
    <s v="U90117"/>
    <n v="20"/>
    <s v="Male"/>
    <s v="Nigeria"/>
    <x v="0"/>
    <s v="Master's"/>
    <s v="Data Analyst"/>
    <n v="1082"/>
    <s v="Unknown"/>
    <x v="6"/>
    <n v="2.4"/>
    <n v="0"/>
    <x v="53"/>
    <n v="4"/>
    <n v="5"/>
    <n v="2.6"/>
    <n v="8"/>
    <n v="20"/>
    <s v="Nigeria"/>
    <s v="Data Analyst"/>
    <n v="1082"/>
    <x v="7"/>
    <n v="2.6"/>
  </r>
  <r>
    <s v="U90593"/>
    <n v="40"/>
    <s v="Male"/>
    <s v="Philippines"/>
    <x v="0"/>
    <s v="PhD"/>
    <s v="Academic Research Professor and Technical Writer"/>
    <n v="1090"/>
    <s v="Grammarly"/>
    <x v="5"/>
    <n v="4.3"/>
    <n v="50"/>
    <x v="5"/>
    <n v="5"/>
    <n v="7"/>
    <n v="4.8"/>
    <n v="5.9"/>
    <n v="40"/>
    <s v="Philippines"/>
    <s v="Academic Research Professor and Technical Writer"/>
    <n v="1090"/>
    <x v="3"/>
    <n v="4.8"/>
  </r>
  <r>
    <s v="U0231"/>
    <n v="22"/>
    <s v="Male"/>
    <s v="Nigeria"/>
    <x v="0"/>
    <s v="Master's"/>
    <s v="Data Analyst"/>
    <n v="1091"/>
    <s v="Unknown"/>
    <x v="6"/>
    <n v="2.4"/>
    <n v="0"/>
    <x v="53"/>
    <n v="4"/>
    <n v="5"/>
    <n v="2.6"/>
    <n v="8"/>
    <n v="22"/>
    <s v="Nigeria"/>
    <s v="Data Analyst"/>
    <n v="1091"/>
    <x v="7"/>
    <n v="2.6"/>
  </r>
  <r>
    <s v="U90149"/>
    <n v="32"/>
    <s v="Male"/>
    <s v="Philippines"/>
    <x v="0"/>
    <s v="Master's"/>
    <s v="Customer Support Specialist / AI Support Operations Manager"/>
    <n v="1101"/>
    <s v="Meta AI"/>
    <x v="3"/>
    <n v="0.5"/>
    <n v="10"/>
    <x v="25"/>
    <n v="4"/>
    <n v="8"/>
    <n v="2.7"/>
    <n v="8.6999999999999993"/>
    <n v="32"/>
    <s v="Philippines"/>
    <s v="Customer Support Specialist / AI Support Operations Manager"/>
    <n v="1101"/>
    <x v="6"/>
    <n v="2.7"/>
  </r>
  <r>
    <s v="U0084"/>
    <n v="47"/>
    <s v="Male"/>
    <s v="Nigeria"/>
    <x v="0"/>
    <s v="Bachelor's"/>
    <s v="Business Intelligence Analyst"/>
    <n v="1104"/>
    <s v="Grammarly"/>
    <x v="6"/>
    <n v="3.4"/>
    <n v="20"/>
    <x v="6"/>
    <n v="3"/>
    <n v="5"/>
    <n v="7.4"/>
    <n v="7.3"/>
    <n v="47"/>
    <s v="Nigeria"/>
    <s v="Business Intelligence Analyst"/>
    <n v="1104"/>
    <x v="3"/>
    <n v="7.4"/>
  </r>
  <r>
    <s v="U0151"/>
    <n v="39"/>
    <s v="Female"/>
    <s v="India"/>
    <x v="0"/>
    <s v="Master's"/>
    <s v="Senior Software Developer"/>
    <n v="1106"/>
    <s v="Microsoft Copilot"/>
    <x v="0"/>
    <n v="4.4000000000000004"/>
    <n v="0"/>
    <x v="37"/>
    <n v="4"/>
    <n v="8"/>
    <n v="7.7"/>
    <n v="6.4"/>
    <n v="39"/>
    <s v="India"/>
    <s v="Senior Software Developer"/>
    <n v="1106"/>
    <x v="1"/>
    <n v="7.7"/>
  </r>
  <r>
    <s v="U90401"/>
    <n v="29"/>
    <s v="Male"/>
    <s v="UNKNOWN"/>
    <x v="0"/>
    <s v="PhD"/>
    <s v="Research Scientist / Data Analyst"/>
    <n v="1107"/>
    <s v="Perplexity AI"/>
    <x v="8"/>
    <n v="1"/>
    <n v="20"/>
    <x v="45"/>
    <n v="4"/>
    <n v="4"/>
    <m/>
    <n v="8.3000000000000007"/>
    <n v="29"/>
    <s v="Unknown"/>
    <s v="Research Scientist / Data Analyst"/>
    <n v="1107"/>
    <x v="8"/>
    <n v="3.2436781609195395"/>
  </r>
  <r>
    <s v="U90137"/>
    <n v="48"/>
    <s v="Female"/>
    <s v="India"/>
    <x v="0"/>
    <s v="Master's"/>
    <s v="Senior Research Scientist"/>
    <n v="1107"/>
    <s v="Chat GPT"/>
    <x v="2"/>
    <n v="2"/>
    <n v="25"/>
    <x v="20"/>
    <n v="5"/>
    <n v="8"/>
    <n v="5.7"/>
    <n v="7.5"/>
    <n v="48"/>
    <s v="India"/>
    <s v="Senior Research Scientist"/>
    <n v="1107"/>
    <x v="0"/>
    <n v="5.7"/>
  </r>
  <r>
    <s v="U0235"/>
    <n v="38"/>
    <s v="Male"/>
    <s v="India"/>
    <x v="0"/>
    <s v="Master's"/>
    <s v="Senior Content Strategist"/>
    <n v="1114"/>
    <s v="Microsoft Copilot"/>
    <x v="5"/>
    <n v="0"/>
    <n v="30"/>
    <x v="4"/>
    <n v="4"/>
    <n v="7"/>
    <n v="1.5"/>
    <n v="7.9"/>
    <n v="38"/>
    <s v="India"/>
    <s v="Senior Content Strategist"/>
    <n v="1114"/>
    <x v="1"/>
    <n v="1.5"/>
  </r>
  <r>
    <s v="U90070"/>
    <n v="65"/>
    <s v="Female"/>
    <s v="India"/>
    <x v="0"/>
    <s v="High School"/>
    <s v="UNKNOWN"/>
    <n v="1131"/>
    <s v="claude"/>
    <x v="8"/>
    <n v="1.7"/>
    <n v="0"/>
    <x v="20"/>
    <n v="3"/>
    <n v="6"/>
    <n v="3.5"/>
    <n v="9.4"/>
    <n v="65"/>
    <s v="India"/>
    <s v="UNKNOWN"/>
    <n v="1131"/>
    <x v="5"/>
    <n v="3.5"/>
  </r>
  <r>
    <s v="U90413"/>
    <n v="35"/>
    <s v="Male"/>
    <s v="India"/>
    <x v="0"/>
    <s v="Diploma"/>
    <s v="Administrative Executive"/>
    <n v="1133"/>
    <s v="Perplexity AI"/>
    <x v="8"/>
    <n v="0.7"/>
    <n v="0"/>
    <x v="24"/>
    <n v="2"/>
    <n v="5"/>
    <n v="0.6"/>
    <n v="8.5"/>
    <n v="35"/>
    <s v="India"/>
    <s v="Administrative Executive"/>
    <n v="1133"/>
    <x v="8"/>
    <n v="0.6"/>
  </r>
  <r>
    <s v="U0193"/>
    <n v="32"/>
    <s v="Male"/>
    <s v="Philippines"/>
    <x v="0"/>
    <s v="Master's"/>
    <s v="Customer Support Specialist / AI Support Operations Manager"/>
    <n v="1141"/>
    <s v="Meta AI"/>
    <x v="3"/>
    <n v="0.5"/>
    <n v="10"/>
    <x v="25"/>
    <n v="4"/>
    <n v="8"/>
    <n v="2.7"/>
    <n v="8.6999999999999993"/>
    <n v="32"/>
    <s v="Philippines"/>
    <s v="Customer Support Specialist / AI Support Operations Manager"/>
    <n v="1141"/>
    <x v="6"/>
    <n v="2.7"/>
  </r>
  <r>
    <s v="U90563"/>
    <n v="20"/>
    <s v="Male"/>
    <s v="Nigeria"/>
    <x v="0"/>
    <s v="Master's"/>
    <s v="Data Analyst"/>
    <n v="1147"/>
    <s v="Unknown"/>
    <x v="6"/>
    <n v="2.4"/>
    <n v="0"/>
    <x v="53"/>
    <n v="4"/>
    <n v="5"/>
    <n v="2.6"/>
    <n v="8"/>
    <n v="20"/>
    <s v="Nigeria"/>
    <s v="Data Analyst"/>
    <n v="1147"/>
    <x v="7"/>
    <n v="2.6"/>
  </r>
  <r>
    <s v="U0186"/>
    <n v="38"/>
    <s v="Male"/>
    <s v="Philippines"/>
    <x v="0"/>
    <s v="PhD"/>
    <s v="Academic Research Professor and Technical Writer"/>
    <n v="1148"/>
    <s v="Grammarly"/>
    <x v="5"/>
    <n v="4.3"/>
    <n v="50"/>
    <x v="5"/>
    <n v="5"/>
    <n v="7"/>
    <n v="4.8"/>
    <n v="5.9"/>
    <n v="38"/>
    <s v="Philippines"/>
    <s v="Academic Research Professor and Technical Writer"/>
    <n v="1148"/>
    <x v="3"/>
    <n v="4.8"/>
  </r>
  <r>
    <s v="U90673"/>
    <n v="29"/>
    <s v="Male"/>
    <s v="Nigeria"/>
    <x v="0"/>
    <s v="Master's"/>
    <s v="AI Customer Support Specialist"/>
    <n v="1149"/>
    <s v=" Google Gemini"/>
    <x v="3"/>
    <n v="8.5"/>
    <n v="20"/>
    <x v="52"/>
    <n v="5"/>
    <n v="8"/>
    <n v="15.6"/>
    <n v="0"/>
    <n v="29"/>
    <s v="Nigeria"/>
    <s v="AI Customer Support Specialist"/>
    <n v="1149"/>
    <x v="2"/>
    <n v="15.6"/>
  </r>
  <r>
    <s v="U90198"/>
    <n v="37"/>
    <s v="Female"/>
    <s v="India"/>
    <x v="0"/>
    <s v="Master's"/>
    <s v="Senior Software Developer"/>
    <n v="1164"/>
    <s v="Microsoft Copilot"/>
    <x v="0"/>
    <n v="4.4000000000000004"/>
    <n v="0"/>
    <x v="37"/>
    <n v="4"/>
    <n v="8"/>
    <n v="7.7"/>
    <n v="6.4"/>
    <n v="37"/>
    <s v="India"/>
    <s v="Senior Software Developer"/>
    <n v="1164"/>
    <x v="1"/>
    <n v="7.7"/>
  </r>
  <r>
    <s v="U90395"/>
    <n v="38"/>
    <s v="Male"/>
    <s v="Philippines"/>
    <x v="0"/>
    <s v="PhD"/>
    <s v="Academic Research Professor and Technical Writer"/>
    <n v="1165"/>
    <s v="Grammarly"/>
    <x v="5"/>
    <n v="4.3"/>
    <n v="50"/>
    <x v="5"/>
    <n v="5"/>
    <n v="7"/>
    <n v="4.8"/>
    <n v="5.9"/>
    <n v="38"/>
    <s v="Philippines"/>
    <s v="Academic Research Professor and Technical Writer"/>
    <n v="1165"/>
    <x v="3"/>
    <n v="4.8"/>
  </r>
  <r>
    <s v="U90322"/>
    <n v="32"/>
    <s v="Male"/>
    <s v="India"/>
    <x v="0"/>
    <s v="Diploma"/>
    <s v="Administrative Executive"/>
    <n v="1173"/>
    <s v="Perplexity AI"/>
    <x v="8"/>
    <n v="0.7"/>
    <n v="0"/>
    <x v="24"/>
    <n v="2"/>
    <n v="5"/>
    <n v="0.6"/>
    <n v="8.5"/>
    <n v="32"/>
    <s v="India"/>
    <s v="Administrative Executive"/>
    <n v="1173"/>
    <x v="8"/>
    <n v="0.6"/>
  </r>
  <r>
    <s v="U90468"/>
    <n v="40"/>
    <s v="Male"/>
    <s v="Philippines"/>
    <x v="0"/>
    <s v="PhD"/>
    <s v="Academic Research Professor and Technical Writer"/>
    <n v="1177"/>
    <s v="Grammarly"/>
    <x v="5"/>
    <n v="4.3"/>
    <n v="50"/>
    <x v="5"/>
    <n v="5"/>
    <n v="7"/>
    <n v="4.8"/>
    <n v="5.9"/>
    <n v="40"/>
    <s v="Philippines"/>
    <s v="Academic Research Professor and Technical Writer"/>
    <n v="1177"/>
    <x v="3"/>
    <n v="4.8"/>
  </r>
  <r>
    <s v="U90080"/>
    <n v="51"/>
    <s v="Female"/>
    <s v="Philippines"/>
    <x v="0"/>
    <s v="PhD"/>
    <s v="Senior Research Scientist"/>
    <n v="1180"/>
    <s v="Chat GPT"/>
    <x v="6"/>
    <n v="5.8"/>
    <n v="20"/>
    <x v="14"/>
    <n v="2"/>
    <n v="6"/>
    <n v="13.5"/>
    <n v="7.9"/>
    <n v="51"/>
    <s v="Philippines"/>
    <s v="Senior Research Scientist"/>
    <n v="1180"/>
    <x v="0"/>
    <n v="13.5"/>
  </r>
  <r>
    <s v="U90183"/>
    <n v="34"/>
    <s v="Female"/>
    <s v="Brazil"/>
    <x v="0"/>
    <s v="Bachelor's"/>
    <s v="Data Science Student"/>
    <n v="1184"/>
    <s v="Meta AI"/>
    <x v="0"/>
    <n v="1.7"/>
    <n v="20"/>
    <x v="28"/>
    <n v="4"/>
    <n v="5"/>
    <n v="6.4"/>
    <n v="9.6"/>
    <n v="34"/>
    <s v="Brazil"/>
    <s v="Data Science Student"/>
    <n v="1184"/>
    <x v="6"/>
    <n v="6.4"/>
  </r>
  <r>
    <s v="U0195"/>
    <n v="34"/>
    <s v="Male"/>
    <s v="India"/>
    <x v="0"/>
    <s v="Diploma"/>
    <s v="Administrative Executive"/>
    <n v="1188"/>
    <s v="Perplexity AI"/>
    <x v="8"/>
    <n v="0.7"/>
    <n v="0"/>
    <x v="24"/>
    <n v="2"/>
    <n v="5"/>
    <n v="0.6"/>
    <n v="8.5"/>
    <n v="34"/>
    <s v="India"/>
    <s v="Administrative Executive"/>
    <n v="1188"/>
    <x v="8"/>
    <n v="0.6"/>
  </r>
  <r>
    <s v="U0169"/>
    <n v="39"/>
    <s v="Female"/>
    <s v="Philippines"/>
    <x v="0"/>
    <s v="Graduate"/>
    <s v="Digital Content Creator / Social Media Manager"/>
    <n v="1192"/>
    <s v="Chat GPT"/>
    <x v="4"/>
    <n v="1.4"/>
    <n v="30"/>
    <x v="31"/>
    <n v="4"/>
    <n v="6"/>
    <n v="3.8"/>
    <n v="6.7"/>
    <n v="39"/>
    <s v="Philippines"/>
    <s v="Digital Content Creator / Social Media Manager"/>
    <n v="1192"/>
    <x v="0"/>
    <n v="3.8"/>
  </r>
  <r>
    <s v="U0180"/>
    <n v="49"/>
    <s v="Female"/>
    <s v="Philippines"/>
    <x v="0"/>
    <s v="PhD"/>
    <s v="Senior Research Scientist"/>
    <n v="1193"/>
    <s v="Chat GPT"/>
    <x v="6"/>
    <n v="5.8"/>
    <n v="20"/>
    <x v="14"/>
    <n v="2"/>
    <n v="6"/>
    <n v="13.5"/>
    <n v="7.9"/>
    <n v="49"/>
    <s v="Philippines"/>
    <s v="Senior Research Scientist"/>
    <n v="1193"/>
    <x v="0"/>
    <n v="13.5"/>
  </r>
  <r>
    <s v="U0006"/>
    <n v="31"/>
    <s v="Male"/>
    <s v="Brazil"/>
    <x v="0"/>
    <s v="Bachelor's"/>
    <s v="Content Creator"/>
    <n v="1194"/>
    <s v="claude"/>
    <x v="4"/>
    <n v="2.1"/>
    <n v="0"/>
    <x v="53"/>
    <n v="2"/>
    <n v="6"/>
    <n v="2"/>
    <n v="9.8000000000000007"/>
    <n v="31"/>
    <s v="Brazil"/>
    <s v="Content Creator"/>
    <n v="1194"/>
    <x v="5"/>
    <n v="2"/>
  </r>
  <r>
    <s v="U90380"/>
    <n v="37"/>
    <s v="Female"/>
    <s v="Brazil"/>
    <x v="0"/>
    <s v="Bachelor's"/>
    <s v="Data Science Student"/>
    <n v="1200"/>
    <s v="Meta AI"/>
    <x v="0"/>
    <n v="1.7"/>
    <n v="20"/>
    <x v="28"/>
    <n v="4"/>
    <n v="5"/>
    <n v="6.4"/>
    <n v="9.6"/>
    <n v="37"/>
    <s v="Brazil"/>
    <s v="Data Science Student"/>
    <n v="1200"/>
    <x v="6"/>
    <n v="6.4"/>
  </r>
  <r>
    <s v="U90253"/>
    <n v="47"/>
    <s v="Male"/>
    <s v="Nigeria"/>
    <x v="0"/>
    <s v="Bachelor's"/>
    <s v="Business Intelligence Analyst"/>
    <n v="1208"/>
    <s v="Grammarly"/>
    <x v="6"/>
    <n v="3.4"/>
    <n v="20"/>
    <x v="6"/>
    <n v="3"/>
    <n v="5"/>
    <n v="7.4"/>
    <n v="7.3"/>
    <n v="47"/>
    <s v="Nigeria"/>
    <s v="Business Intelligence Analyst"/>
    <n v="1208"/>
    <x v="3"/>
    <n v="7.4"/>
  </r>
  <r>
    <s v="U90330"/>
    <n v="30"/>
    <s v="Male"/>
    <s v="Brazil"/>
    <x v="0"/>
    <s v="Bachelor's"/>
    <s v="Content Creator"/>
    <n v="1208"/>
    <s v="claude"/>
    <x v="4"/>
    <n v="2.1"/>
    <n v="0"/>
    <x v="53"/>
    <n v="2"/>
    <n v="6"/>
    <n v="2"/>
    <n v="9.8000000000000007"/>
    <n v="30"/>
    <s v="Brazil"/>
    <s v="Content Creator"/>
    <n v="1208"/>
    <x v="5"/>
    <n v="2"/>
  </r>
  <r>
    <s v="U0266"/>
    <n v="28"/>
    <s v="Male"/>
    <s v="UNKNOWN"/>
    <x v="0"/>
    <s v="PhD"/>
    <s v="Research Scientist / Data Analyst"/>
    <n v="1208"/>
    <s v="Perplexity AI"/>
    <x v="8"/>
    <n v="1"/>
    <n v="20"/>
    <x v="45"/>
    <n v="4"/>
    <n v="4"/>
    <m/>
    <n v="8.3000000000000007"/>
    <n v="28"/>
    <s v="Unknown"/>
    <s v="Research Scientist / Data Analyst"/>
    <n v="1208"/>
    <x v="8"/>
    <n v="3.2436781609195395"/>
  </r>
  <r>
    <s v="U90203"/>
    <n v="39"/>
    <s v="Female"/>
    <s v="India"/>
    <x v="0"/>
    <s v="Diploma"/>
    <s v="Software Developer"/>
    <n v="1241"/>
    <s v="Chat GPT"/>
    <x v="0"/>
    <n v="1.7"/>
    <n v="0"/>
    <x v="13"/>
    <n v="5"/>
    <n v="7"/>
    <n v="3.4"/>
    <n v="6.4"/>
    <n v="39"/>
    <s v="India"/>
    <s v="Software Developer"/>
    <n v="1241"/>
    <x v="0"/>
    <n v="3.4"/>
  </r>
  <r>
    <s v="U90024"/>
    <n v="40"/>
    <s v="Male"/>
    <s v="Philippines"/>
    <x v="0"/>
    <s v="PhD"/>
    <s v="Academic Research Professor and Technical Writer"/>
    <n v="1243"/>
    <s v="Grammarly"/>
    <x v="5"/>
    <n v="4.3"/>
    <n v="50"/>
    <x v="5"/>
    <n v="5"/>
    <n v="7"/>
    <n v="4.8"/>
    <n v="5.9"/>
    <n v="40"/>
    <s v="Philippines"/>
    <s v="Academic Research Professor and Technical Writer"/>
    <n v="1243"/>
    <x v="3"/>
    <n v="4.8"/>
  </r>
  <r>
    <s v="U0048"/>
    <m/>
    <s v="Female"/>
    <s v="United States"/>
    <x v="0"/>
    <s v="Bachelor's"/>
    <s v="UNKNOWN"/>
    <m/>
    <s v="Unknown"/>
    <x v="5"/>
    <n v="3.1"/>
    <n v="30"/>
    <x v="28"/>
    <n v="3"/>
    <n v="7"/>
    <n v="5.2"/>
    <n v="8.4"/>
    <n v="30.023333333333333"/>
    <s v="United States"/>
    <s v="UNKNOWN"/>
    <n v="1251.5952380952381"/>
    <x v="7"/>
    <n v="5.2"/>
  </r>
  <r>
    <s v="U90010"/>
    <m/>
    <s v="Female"/>
    <s v="United States"/>
    <x v="0"/>
    <s v="Bachelor's"/>
    <s v="UNKNOWN"/>
    <m/>
    <s v="Unknown"/>
    <x v="5"/>
    <n v="3.1"/>
    <n v="30"/>
    <x v="28"/>
    <n v="3"/>
    <n v="7"/>
    <n v="5.2"/>
    <n v="8.4"/>
    <n v="30.023333333333333"/>
    <s v="United States"/>
    <s v="UNKNOWN"/>
    <n v="1251.5952380952381"/>
    <x v="7"/>
    <n v="5.2"/>
  </r>
  <r>
    <s v="U90068"/>
    <m/>
    <s v="Female"/>
    <s v="United States"/>
    <x v="0"/>
    <s v="Bachelor's"/>
    <s v="UNKNOWN"/>
    <m/>
    <s v="Unknown"/>
    <x v="5"/>
    <n v="3.1"/>
    <n v="30"/>
    <x v="28"/>
    <n v="3"/>
    <n v="7"/>
    <n v="5.2"/>
    <n v="8.4"/>
    <n v="30.023333333333333"/>
    <s v="United States"/>
    <s v="UNKNOWN"/>
    <n v="1251.5952380952381"/>
    <x v="7"/>
    <n v="5.2"/>
  </r>
  <r>
    <s v="U90416"/>
    <n v="40"/>
    <s v="Female"/>
    <s v="India"/>
    <x v="0"/>
    <s v="Master's"/>
    <s v="Senior Software Developer"/>
    <n v="1252"/>
    <s v="Microsoft Copilot"/>
    <x v="0"/>
    <n v="4.4000000000000004"/>
    <n v="0"/>
    <x v="37"/>
    <n v="4"/>
    <n v="8"/>
    <n v="7.7"/>
    <n v="6.4"/>
    <n v="40"/>
    <s v="India"/>
    <s v="Senior Software Developer"/>
    <n v="1252"/>
    <x v="1"/>
    <n v="7.7"/>
  </r>
  <r>
    <s v="U90300"/>
    <n v="27"/>
    <s v="Male"/>
    <s v="UNKNOWN"/>
    <x v="0"/>
    <s v="PhD"/>
    <s v="Research Scientist / Data Analyst"/>
    <n v="1258"/>
    <s v="Perplexity AI"/>
    <x v="8"/>
    <n v="1"/>
    <n v="20"/>
    <x v="45"/>
    <n v="4"/>
    <n v="4"/>
    <m/>
    <n v="8.3000000000000007"/>
    <n v="27"/>
    <s v="Unknown"/>
    <s v="Research Scientist / Data Analyst"/>
    <n v="1258"/>
    <x v="8"/>
    <n v="3.2436781609195395"/>
  </r>
  <r>
    <s v="U0199"/>
    <n v="30"/>
    <s v="Male"/>
    <s v="Nigeria"/>
    <x v="0"/>
    <s v="Master's"/>
    <s v="AI Customer Support Specialist"/>
    <n v="1262"/>
    <s v=" Google Gemini"/>
    <x v="3"/>
    <n v="8.5"/>
    <n v="20"/>
    <x v="52"/>
    <n v="5"/>
    <n v="8"/>
    <n v="15.6"/>
    <n v="0"/>
    <n v="30"/>
    <s v="Nigeria"/>
    <s v="AI Customer Support Specialist"/>
    <n v="1262"/>
    <x v="2"/>
    <n v="15.6"/>
  </r>
  <r>
    <s v="U90313"/>
    <n v="61"/>
    <s v="Male"/>
    <s v="Brazil"/>
    <x v="0"/>
    <s v="Diploma"/>
    <s v="Data Science Student"/>
    <n v="1275"/>
    <s v="Chat GPT"/>
    <x v="0"/>
    <n v="3.4"/>
    <n v="0"/>
    <x v="33"/>
    <n v="5"/>
    <n v="10"/>
    <n v="7.4"/>
    <n v="7.5"/>
    <n v="61"/>
    <s v="Brazil"/>
    <s v="Data Science Student"/>
    <n v="1275"/>
    <x v="0"/>
    <n v="7.4"/>
  </r>
  <r>
    <s v="U90006"/>
    <n v="39"/>
    <s v="Female"/>
    <s v="Philippines"/>
    <x v="0"/>
    <s v="Graduate"/>
    <s v="Digital Content Creator / Social Media Manager"/>
    <n v="1278"/>
    <s v="Chat GPT"/>
    <x v="4"/>
    <n v="1.4"/>
    <n v="30"/>
    <x v="31"/>
    <n v="4"/>
    <n v="6"/>
    <n v="3.8"/>
    <n v="6.7"/>
    <n v="39"/>
    <s v="Philippines"/>
    <s v="Digital Content Creator / Social Media Manager"/>
    <n v="1278"/>
    <x v="0"/>
    <n v="3.8"/>
  </r>
  <r>
    <s v="U90589"/>
    <n v="26"/>
    <s v="Male"/>
    <s v="UNKNOWN"/>
    <x v="0"/>
    <s v="PhD"/>
    <s v="Research Scientist / Data Analyst"/>
    <n v="1288"/>
    <s v="Perplexity AI"/>
    <x v="8"/>
    <n v="1"/>
    <n v="20"/>
    <x v="45"/>
    <n v="4"/>
    <n v="4"/>
    <m/>
    <n v="8.3000000000000007"/>
    <n v="26"/>
    <s v="Unknown"/>
    <s v="Research Scientist / Data Analyst"/>
    <n v="1288"/>
    <x v="8"/>
    <n v="3.2436781609195395"/>
  </r>
  <r>
    <s v="U90237"/>
    <n v="41"/>
    <s v="Male"/>
    <s v="India"/>
    <x v="0"/>
    <s v="Diploma"/>
    <s v="Software Developer (Diploma Qualified)"/>
    <n v="1296"/>
    <s v="Grammarly"/>
    <x v="0"/>
    <n v="0.6"/>
    <n v="0"/>
    <x v="21"/>
    <n v="3"/>
    <n v="4"/>
    <n v="3"/>
    <n v="9.5"/>
    <n v="41"/>
    <s v="India"/>
    <s v="Software Developer (Diploma Qualified)"/>
    <n v="1296"/>
    <x v="3"/>
    <n v="3"/>
  </r>
  <r>
    <s v="U90562"/>
    <n v="31"/>
    <s v="Male"/>
    <s v="Brazil"/>
    <x v="0"/>
    <s v="Bachelor's"/>
    <s v="Content Creator"/>
    <n v="1303"/>
    <s v="claude"/>
    <x v="4"/>
    <n v="2.1"/>
    <n v="0"/>
    <x v="53"/>
    <n v="2"/>
    <n v="6"/>
    <n v="2"/>
    <n v="9.8000000000000007"/>
    <n v="31"/>
    <s v="Brazil"/>
    <s v="Content Creator"/>
    <n v="1303"/>
    <x v="5"/>
    <n v="2"/>
  </r>
  <r>
    <s v="U90044"/>
    <n v="39"/>
    <s v="Male"/>
    <s v="India"/>
    <x v="0"/>
    <s v="Diploma"/>
    <s v="Software Developer (Diploma Qualified)"/>
    <n v="1305"/>
    <s v="Grammarly"/>
    <x v="0"/>
    <n v="0.6"/>
    <n v="0"/>
    <x v="21"/>
    <n v="3"/>
    <n v="4"/>
    <n v="3"/>
    <n v="9.5"/>
    <n v="39"/>
    <s v="India"/>
    <s v="Software Developer (Diploma Qualified)"/>
    <n v="1305"/>
    <x v="3"/>
    <n v="3"/>
  </r>
  <r>
    <s v="U90506"/>
    <n v="40"/>
    <s v="Male"/>
    <s v="India"/>
    <x v="0"/>
    <s v="Diploma"/>
    <s v="Software Developer (Diploma Qualified)"/>
    <n v="1312"/>
    <s v="Grammarly"/>
    <x v="0"/>
    <n v="0.6"/>
    <n v="0"/>
    <x v="21"/>
    <n v="3"/>
    <n v="4"/>
    <n v="3"/>
    <n v="9.5"/>
    <n v="40"/>
    <s v="India"/>
    <s v="Software Developer (Diploma Qualified)"/>
    <n v="1312"/>
    <x v="3"/>
    <n v="3"/>
  </r>
  <r>
    <s v="U0245"/>
    <n v="63"/>
    <s v="Female"/>
    <s v="India"/>
    <x v="0"/>
    <s v="High School"/>
    <s v="UNKNOWN"/>
    <n v="1320"/>
    <s v="claude"/>
    <x v="8"/>
    <n v="1.7"/>
    <n v="0"/>
    <x v="20"/>
    <n v="3"/>
    <n v="6"/>
    <n v="3.5"/>
    <n v="9.4"/>
    <n v="63"/>
    <s v="India"/>
    <s v="UNKNOWN"/>
    <n v="1320"/>
    <x v="5"/>
    <n v="3.5"/>
  </r>
  <r>
    <s v="U90001"/>
    <n v="34"/>
    <s v="Male"/>
    <s v="Philippines"/>
    <x v="0"/>
    <s v="Bachelor's"/>
    <s v="Content Writer"/>
    <n v="1326"/>
    <s v="Chat GPT"/>
    <x v="5"/>
    <n v="5"/>
    <n v="20"/>
    <x v="41"/>
    <n v="2"/>
    <n v="6"/>
    <n v="12"/>
    <n v="6.9"/>
    <n v="34"/>
    <s v="Philippines"/>
    <s v="Content Writer"/>
    <n v="1326"/>
    <x v="0"/>
    <n v="12"/>
  </r>
  <r>
    <s v="U90152"/>
    <n v="36"/>
    <s v="Female"/>
    <s v="Philippines"/>
    <x v="0"/>
    <s v="PhD"/>
    <s v="Senior Software Engineer / AI Solutions Architect"/>
    <n v="1339"/>
    <s v="Perplexity AI"/>
    <x v="0"/>
    <n v="2.1"/>
    <n v="0"/>
    <x v="4"/>
    <n v="4"/>
    <n v="5"/>
    <n v="2.8"/>
    <n v="7.8"/>
    <n v="36"/>
    <s v="Philippines"/>
    <s v="Senior Software Engineer / AI Solutions Architect"/>
    <n v="1339"/>
    <x v="8"/>
    <n v="2.8"/>
  </r>
  <r>
    <s v="U90580"/>
    <n v="31"/>
    <s v="Male"/>
    <s v="Nigeria"/>
    <x v="0"/>
    <s v="Master's"/>
    <s v="AI Customer Support Specialist"/>
    <n v="1344"/>
    <s v=" Google Gemini"/>
    <x v="3"/>
    <n v="8.5"/>
    <n v="20"/>
    <x v="52"/>
    <n v="5"/>
    <n v="8"/>
    <n v="15.6"/>
    <n v="0"/>
    <n v="31"/>
    <s v="Nigeria"/>
    <s v="AI Customer Support Specialist"/>
    <n v="1344"/>
    <x v="2"/>
    <n v="15.6"/>
  </r>
  <r>
    <s v="U90336"/>
    <n v="63"/>
    <s v="Male"/>
    <s v="Brazil"/>
    <x v="0"/>
    <s v="Diploma"/>
    <s v="Data Science Student"/>
    <n v="1345"/>
    <s v="Chat GPT"/>
    <x v="0"/>
    <n v="3.4"/>
    <n v="0"/>
    <x v="33"/>
    <n v="5"/>
    <n v="10"/>
    <n v="7.4"/>
    <n v="7.5"/>
    <n v="63"/>
    <s v="Brazil"/>
    <s v="Data Science Student"/>
    <n v="1345"/>
    <x v="0"/>
    <n v="7.4"/>
  </r>
  <r>
    <s v="U0285"/>
    <n v="35"/>
    <s v="Male"/>
    <s v="Philippines"/>
    <x v="0"/>
    <s v="Bachelor's"/>
    <s v="Content Writer"/>
    <n v="1354"/>
    <s v="Chat GPT"/>
    <x v="5"/>
    <n v="5"/>
    <n v="20"/>
    <x v="41"/>
    <n v="2"/>
    <n v="6"/>
    <n v="12"/>
    <n v="6.9"/>
    <n v="35"/>
    <s v="Philippines"/>
    <s v="Content Writer"/>
    <n v="1354"/>
    <x v="0"/>
    <n v="12"/>
  </r>
  <r>
    <s v="U0264"/>
    <n v="35"/>
    <s v="Female"/>
    <s v="Brazil"/>
    <x v="0"/>
    <s v="Bachelor's"/>
    <s v="Data Science Student"/>
    <n v="1367"/>
    <s v="Meta AI"/>
    <x v="0"/>
    <n v="1.7"/>
    <n v="20"/>
    <x v="28"/>
    <n v="4"/>
    <n v="5"/>
    <n v="6.4"/>
    <n v="9.6"/>
    <n v="35"/>
    <s v="Brazil"/>
    <s v="Data Science Student"/>
    <n v="1367"/>
    <x v="6"/>
    <n v="6.4"/>
  </r>
  <r>
    <s v="U90190"/>
    <n v="45"/>
    <s v="Female"/>
    <s v="Brazil"/>
    <x v="0"/>
    <s v="Diploma"/>
    <s v="Administrative Assistant"/>
    <n v="1375"/>
    <s v=" Google Gemini"/>
    <x v="8"/>
    <n v="4.2"/>
    <n v="0"/>
    <x v="69"/>
    <n v="3"/>
    <n v="6"/>
    <n v="5.6"/>
    <n v="10"/>
    <n v="45"/>
    <s v="Brazil"/>
    <s v="Administrative Assistant"/>
    <n v="1375"/>
    <x v="2"/>
    <n v="5.6"/>
  </r>
  <r>
    <s v="U90283"/>
    <n v="65"/>
    <s v="Female"/>
    <s v="India"/>
    <x v="0"/>
    <s v="High School"/>
    <s v="UNKNOWN"/>
    <n v="1376"/>
    <s v="claude"/>
    <x v="8"/>
    <n v="1.7"/>
    <n v="0"/>
    <x v="20"/>
    <n v="3"/>
    <n v="6"/>
    <n v="3.5"/>
    <n v="9.4"/>
    <n v="65"/>
    <s v="India"/>
    <s v="UNKNOWN"/>
    <n v="1376"/>
    <x v="5"/>
    <n v="3.5"/>
  </r>
  <r>
    <s v="U0184"/>
    <n v="36"/>
    <s v="Female"/>
    <s v="Philippines"/>
    <x v="0"/>
    <s v="PhD"/>
    <s v="Senior Software Engineer / AI Solutions Architect"/>
    <n v="1378"/>
    <s v="Perplexity AI"/>
    <x v="0"/>
    <n v="2.1"/>
    <n v="0"/>
    <x v="4"/>
    <n v="4"/>
    <n v="5"/>
    <n v="2.8"/>
    <n v="7.8"/>
    <n v="36"/>
    <s v="Philippines"/>
    <s v="Senior Software Engineer / AI Solutions Architect"/>
    <n v="1378"/>
    <x v="8"/>
    <n v="2.8"/>
  </r>
  <r>
    <s v="U90040"/>
    <n v="38"/>
    <s v="Female"/>
    <s v="India"/>
    <x v="0"/>
    <s v="Diploma"/>
    <s v="Software Developer"/>
    <n v="1384"/>
    <s v="Chat GPT"/>
    <x v="0"/>
    <n v="1.7"/>
    <n v="0"/>
    <x v="13"/>
    <n v="5"/>
    <n v="7"/>
    <n v="3.4"/>
    <n v="6.4"/>
    <n v="38"/>
    <s v="India"/>
    <s v="Software Developer"/>
    <n v="1384"/>
    <x v="0"/>
    <n v="3.4"/>
  </r>
  <r>
    <s v="U90292"/>
    <n v="41"/>
    <s v="Male"/>
    <s v="India"/>
    <x v="0"/>
    <s v="Diploma"/>
    <s v="Software Developer (Diploma Qualified)"/>
    <n v="1395"/>
    <s v="Grammarly"/>
    <x v="0"/>
    <n v="0.6"/>
    <n v="0"/>
    <x v="21"/>
    <n v="3"/>
    <n v="4"/>
    <n v="3"/>
    <n v="9.5"/>
    <n v="41"/>
    <s v="India"/>
    <s v="Software Developer (Diploma Qualified)"/>
    <n v="1395"/>
    <x v="3"/>
    <n v="3"/>
  </r>
  <r>
    <s v="U90174"/>
    <n v="60"/>
    <s v="Male"/>
    <s v="Brazil"/>
    <x v="0"/>
    <s v="Bachelor's"/>
    <s v="Tech Lead"/>
    <n v="1396"/>
    <s v="Unknown"/>
    <x v="3"/>
    <n v="2.2000000000000002"/>
    <n v="0"/>
    <x v="13"/>
    <n v="2"/>
    <n v="3"/>
    <n v="1.3"/>
    <n v="7.1"/>
    <n v="60"/>
    <s v="Brazil"/>
    <s v="Tech Lead"/>
    <n v="1396"/>
    <x v="7"/>
    <n v="1.3"/>
  </r>
  <r>
    <s v="U0022"/>
    <n v="37"/>
    <s v="Female"/>
    <s v="India"/>
    <x v="0"/>
    <s v="Diploma"/>
    <s v="Software Developer"/>
    <n v="1404"/>
    <s v="Chat GPT"/>
    <x v="0"/>
    <n v="1.7"/>
    <n v="0"/>
    <x v="13"/>
    <n v="5"/>
    <n v="7"/>
    <n v="3.4"/>
    <n v="6.4"/>
    <n v="37"/>
    <s v="India"/>
    <s v="Software Developer"/>
    <n v="1404"/>
    <x v="0"/>
    <n v="3.4"/>
  </r>
  <r>
    <s v="U0218"/>
    <n v="63"/>
    <s v="Male"/>
    <s v="Brazil"/>
    <x v="0"/>
    <s v="Diploma"/>
    <s v="Data Science Student"/>
    <n v="1405"/>
    <s v="Chat GPT"/>
    <x v="0"/>
    <n v="3.4"/>
    <n v="0"/>
    <x v="33"/>
    <n v="5"/>
    <n v="10"/>
    <n v="7.4"/>
    <n v="7.5"/>
    <n v="63"/>
    <s v="Brazil"/>
    <s v="Data Science Student"/>
    <n v="1405"/>
    <x v="0"/>
    <n v="7.4"/>
  </r>
  <r>
    <s v="U90414"/>
    <n v="39"/>
    <s v="Male"/>
    <s v="India"/>
    <x v="0"/>
    <s v="Diploma"/>
    <s v="Software Developer (Diploma Qualified)"/>
    <n v="1406"/>
    <s v="Grammarly"/>
    <x v="0"/>
    <n v="0.6"/>
    <n v="0"/>
    <x v="21"/>
    <n v="3"/>
    <n v="4"/>
    <n v="3"/>
    <n v="9.5"/>
    <n v="39"/>
    <s v="India"/>
    <s v="Software Developer (Diploma Qualified)"/>
    <n v="1406"/>
    <x v="3"/>
    <n v="3"/>
  </r>
  <r>
    <s v="U0128"/>
    <n v="41"/>
    <s v="Male"/>
    <s v="India"/>
    <x v="0"/>
    <s v="Diploma"/>
    <s v="Software Developer (Diploma Qualified)"/>
    <n v="1407"/>
    <s v="Grammarly"/>
    <x v="0"/>
    <n v="0.6"/>
    <n v="0"/>
    <x v="21"/>
    <n v="3"/>
    <n v="4"/>
    <n v="3"/>
    <n v="9.5"/>
    <n v="41"/>
    <s v="India"/>
    <s v="Software Developer (Diploma Qualified)"/>
    <n v="1407"/>
    <x v="3"/>
    <n v="3"/>
  </r>
  <r>
    <s v="U90188"/>
    <n v="29"/>
    <s v="Male"/>
    <s v="Brazil"/>
    <x v="0"/>
    <s v="Bachelor's"/>
    <s v="Tech Lead"/>
    <n v="1435"/>
    <s v="Microsoft Copilot"/>
    <x v="2"/>
    <n v="0.7"/>
    <n v="0"/>
    <x v="0"/>
    <n v="3"/>
    <n v="6"/>
    <n v="4.4000000000000004"/>
    <n v="8.1"/>
    <n v="29"/>
    <s v="Brazil"/>
    <s v="Tech Lead"/>
    <n v="1435"/>
    <x v="1"/>
    <n v="4.4000000000000004"/>
  </r>
  <r>
    <s v="U90206"/>
    <n v="34"/>
    <s v="Male"/>
    <s v="Philippines"/>
    <x v="0"/>
    <s v="Bachelor's"/>
    <s v="Content Writer"/>
    <n v="1441"/>
    <s v="Chat GPT"/>
    <x v="5"/>
    <n v="5"/>
    <n v="20"/>
    <x v="41"/>
    <n v="2"/>
    <n v="6"/>
    <n v="12"/>
    <n v="6.9"/>
    <n v="34"/>
    <s v="Philippines"/>
    <s v="Content Writer"/>
    <n v="1441"/>
    <x v="0"/>
    <n v="12"/>
  </r>
  <r>
    <s v="U90631"/>
    <n v="25"/>
    <s v="Male"/>
    <s v="UNKNOWN"/>
    <x v="0"/>
    <s v="PhD"/>
    <s v="AI Content Strategist"/>
    <n v="1450"/>
    <s v="Chat GPT"/>
    <x v="4"/>
    <n v="4.4000000000000004"/>
    <n v="0"/>
    <x v="60"/>
    <n v="4"/>
    <n v="9"/>
    <n v="7.1"/>
    <n v="5.8"/>
    <n v="25"/>
    <s v="Unknown"/>
    <s v="AI Content Strategist"/>
    <n v="1450"/>
    <x v="0"/>
    <n v="7.1"/>
  </r>
  <r>
    <s v="U90030"/>
    <n v="44"/>
    <s v="Female"/>
    <s v="Brazil"/>
    <x v="0"/>
    <s v="Diploma"/>
    <s v="Administrative Assistant"/>
    <n v="1456"/>
    <s v=" Google Gemini"/>
    <x v="8"/>
    <n v="4.2"/>
    <n v="0"/>
    <x v="69"/>
    <n v="3"/>
    <n v="6"/>
    <n v="5.6"/>
    <n v="10"/>
    <n v="44"/>
    <s v="Brazil"/>
    <s v="Administrative Assistant"/>
    <n v="1456"/>
    <x v="2"/>
    <n v="5.6"/>
  </r>
  <r>
    <s v="U90385"/>
    <n v="39"/>
    <s v="Male"/>
    <s v="India"/>
    <x v="0"/>
    <s v="Master's"/>
    <s v="Senior Data Scientist"/>
    <n v="1467"/>
    <s v="Chat GPT"/>
    <x v="6"/>
    <n v="0.7"/>
    <n v="0"/>
    <x v="4"/>
    <n v="4"/>
    <n v="8"/>
    <n v="0.6"/>
    <n v="8.3000000000000007"/>
    <n v="39"/>
    <s v="India"/>
    <s v="Senior Data Scientist"/>
    <n v="1467"/>
    <x v="0"/>
    <n v="0.6"/>
  </r>
  <r>
    <s v="U0233"/>
    <n v="58"/>
    <s v="Male"/>
    <s v="Brazil"/>
    <x v="0"/>
    <s v="Bachelor's"/>
    <s v="Tech Lead"/>
    <n v="1469"/>
    <s v="Unknown"/>
    <x v="3"/>
    <n v="2.2000000000000002"/>
    <n v="0"/>
    <x v="13"/>
    <n v="2"/>
    <n v="3"/>
    <n v="1.3"/>
    <n v="7.1"/>
    <n v="58"/>
    <s v="Brazil"/>
    <s v="Tech Lead"/>
    <n v="1469"/>
    <x v="7"/>
    <n v="1.3"/>
  </r>
  <r>
    <s v="U90223"/>
    <n v="41"/>
    <s v="Male"/>
    <s v="India"/>
    <x v="0"/>
    <s v="Master's"/>
    <s v="Senior Data Scientist"/>
    <n v="1501"/>
    <s v="Chat GPT"/>
    <x v="6"/>
    <n v="0.7"/>
    <n v="0"/>
    <x v="4"/>
    <n v="4"/>
    <n v="8"/>
    <n v="0.6"/>
    <n v="8.3000000000000007"/>
    <n v="41"/>
    <s v="India"/>
    <s v="Senior Data Scientist"/>
    <n v="1501"/>
    <x v="0"/>
    <n v="0.6"/>
  </r>
  <r>
    <s v="U90192"/>
    <n v="41"/>
    <s v="Male"/>
    <s v="India"/>
    <x v="0"/>
    <s v="Diploma"/>
    <s v="Software Developer (Diploma Qualified)"/>
    <n v="1504"/>
    <s v="Grammarly"/>
    <x v="0"/>
    <n v="0.6"/>
    <n v="0"/>
    <x v="21"/>
    <n v="3"/>
    <n v="4"/>
    <n v="3"/>
    <n v="9.5"/>
    <n v="41"/>
    <s v="India"/>
    <s v="Software Developer (Diploma Qualified)"/>
    <n v="1504"/>
    <x v="3"/>
    <n v="3"/>
  </r>
  <r>
    <s v="U90186"/>
    <n v="35"/>
    <s v="Male"/>
    <s v="Philippines"/>
    <x v="0"/>
    <s v="Bachelor's"/>
    <s v="Content Writer"/>
    <n v="1506"/>
    <s v="Chat GPT"/>
    <x v="5"/>
    <n v="5"/>
    <n v="20"/>
    <x v="41"/>
    <n v="2"/>
    <n v="6"/>
    <n v="12"/>
    <n v="6.9"/>
    <n v="35"/>
    <s v="Philippines"/>
    <s v="Content Writer"/>
    <n v="1506"/>
    <x v="0"/>
    <n v="12"/>
  </r>
  <r>
    <s v="U90645"/>
    <n v="24"/>
    <s v="Male"/>
    <s v="UNKNOWN"/>
    <x v="0"/>
    <s v="PhD"/>
    <s v="AI Content Strategist"/>
    <n v="1524"/>
    <s v="Chat GPT"/>
    <x v="4"/>
    <n v="4.4000000000000004"/>
    <n v="0"/>
    <x v="60"/>
    <n v="4"/>
    <n v="9"/>
    <n v="7.1"/>
    <n v="5.8"/>
    <n v="24"/>
    <s v="Unknown"/>
    <s v="AI Content Strategist"/>
    <n v="1524"/>
    <x v="0"/>
    <n v="7.1"/>
  </r>
  <r>
    <s v="U90079"/>
    <n v="56"/>
    <s v="Male"/>
    <s v="Brazil"/>
    <x v="0"/>
    <s v="Bachelor's"/>
    <s v="Tech Lead"/>
    <n v="1539"/>
    <s v="Unknown"/>
    <x v="3"/>
    <n v="2.2000000000000002"/>
    <n v="0"/>
    <x v="13"/>
    <n v="2"/>
    <n v="3"/>
    <n v="1.3"/>
    <n v="7.1"/>
    <n v="56"/>
    <s v="Brazil"/>
    <s v="Tech Lead"/>
    <n v="1539"/>
    <x v="7"/>
    <n v="1.3"/>
  </r>
  <r>
    <s v="U0179"/>
    <n v="28"/>
    <s v="Male"/>
    <s v="Brazil"/>
    <x v="0"/>
    <s v="Bachelor's"/>
    <s v="Tech Lead"/>
    <n v="1567"/>
    <s v="Microsoft Copilot"/>
    <x v="2"/>
    <n v="0.7"/>
    <n v="0"/>
    <x v="0"/>
    <n v="3"/>
    <n v="6"/>
    <n v="4.4000000000000004"/>
    <n v="8.1"/>
    <n v="28"/>
    <s v="Brazil"/>
    <s v="Tech Lead"/>
    <n v="1567"/>
    <x v="1"/>
    <n v="4.4000000000000004"/>
  </r>
  <r>
    <s v="U90628"/>
    <n v="30"/>
    <s v="Male"/>
    <s v="Brazil"/>
    <x v="0"/>
    <s v="Bachelor's"/>
    <s v="Tech Lead"/>
    <n v="1567"/>
    <s v="Microsoft Copilot"/>
    <x v="2"/>
    <n v="0.7"/>
    <n v="0"/>
    <x v="0"/>
    <n v="3"/>
    <n v="6"/>
    <n v="4.4000000000000004"/>
    <n v="8.1"/>
    <n v="30"/>
    <s v="Brazil"/>
    <s v="Tech Lead"/>
    <n v="1567"/>
    <x v="1"/>
    <n v="4.4000000000000004"/>
  </r>
  <r>
    <s v="U0194"/>
    <n v="40"/>
    <s v="Male"/>
    <s v="India"/>
    <x v="0"/>
    <s v="Master's"/>
    <s v="Senior Data Scientist"/>
    <n v="1575"/>
    <s v="Chat GPT"/>
    <x v="6"/>
    <n v="0.7"/>
    <n v="0"/>
    <x v="4"/>
    <n v="4"/>
    <n v="8"/>
    <n v="0.6"/>
    <n v="8.3000000000000007"/>
    <n v="40"/>
    <s v="India"/>
    <s v="Senior Data Scientist"/>
    <n v="1575"/>
    <x v="0"/>
    <n v="0.6"/>
  </r>
  <r>
    <s v="U90479"/>
    <n v="38"/>
    <s v="Male"/>
    <s v="India"/>
    <x v="0"/>
    <s v="High School"/>
    <s v="UNKNOWN"/>
    <n v="1575"/>
    <s v="Chat GPT"/>
    <x v="5"/>
    <n v="1.7"/>
    <n v="10"/>
    <x v="7"/>
    <n v="2"/>
    <n v="5"/>
    <n v="7.5"/>
    <n v="9.4"/>
    <n v="38"/>
    <s v="India"/>
    <s v="UNKNOWN"/>
    <n v="1575"/>
    <x v="0"/>
    <n v="7.5"/>
  </r>
  <r>
    <s v="U90565"/>
    <n v="30"/>
    <s v="Male"/>
    <s v="Brazil"/>
    <x v="0"/>
    <s v="Bachelor's"/>
    <s v="Tech Lead"/>
    <n v="1579"/>
    <s v="Microsoft Copilot"/>
    <x v="2"/>
    <n v="0.7"/>
    <n v="0"/>
    <x v="0"/>
    <n v="3"/>
    <n v="6"/>
    <n v="4.4000000000000004"/>
    <n v="8.1"/>
    <n v="30"/>
    <s v="Brazil"/>
    <s v="Tech Lead"/>
    <n v="1579"/>
    <x v="1"/>
    <n v="4.4000000000000004"/>
  </r>
  <r>
    <s v="U0167"/>
    <n v="40"/>
    <s v="Male"/>
    <s v="India"/>
    <x v="0"/>
    <s v="High School"/>
    <s v="UNKNOWN"/>
    <n v="1595"/>
    <s v="Chat GPT"/>
    <x v="5"/>
    <n v="1.7"/>
    <n v="10"/>
    <x v="7"/>
    <n v="2"/>
    <n v="5"/>
    <n v="7.5"/>
    <n v="9.4"/>
    <n v="40"/>
    <s v="India"/>
    <s v="UNKNOWN"/>
    <n v="1595"/>
    <x v="0"/>
    <n v="7.5"/>
  </r>
  <r>
    <s v="U0220"/>
    <n v="44"/>
    <s v="Female"/>
    <s v="Brazil"/>
    <x v="0"/>
    <s v="Diploma"/>
    <s v="Administrative Assistant"/>
    <n v="1613"/>
    <s v=" Google Gemini"/>
    <x v="8"/>
    <n v="4.2"/>
    <n v="0"/>
    <x v="69"/>
    <n v="3"/>
    <n v="8"/>
    <n v="5.6"/>
    <n v="10"/>
    <n v="44"/>
    <s v="Brazil"/>
    <s v="Administrative Assistant"/>
    <n v="1613"/>
    <x v="2"/>
    <n v="5.6"/>
  </r>
  <r>
    <s v="U90290"/>
    <n v="25"/>
    <s v="Male"/>
    <s v="UNKNOWN"/>
    <x v="0"/>
    <s v="PhD"/>
    <s v="AI Content Strategist"/>
    <n v="1625"/>
    <s v="Chat GPT"/>
    <x v="4"/>
    <n v="4.4000000000000004"/>
    <n v="0"/>
    <x v="60"/>
    <n v="4"/>
    <n v="9"/>
    <n v="7.1"/>
    <n v="5.8"/>
    <n v="25"/>
    <s v="Unknown"/>
    <s v="AI Content Strategist"/>
    <n v="1625"/>
    <x v="0"/>
    <n v="7.1"/>
  </r>
  <r>
    <s v="U0175"/>
    <n v="25"/>
    <s v="Male"/>
    <s v="UNKNOWN"/>
    <x v="0"/>
    <s v="PhD"/>
    <s v="AI Content Strategist"/>
    <n v="1632"/>
    <s v="Chat GPT"/>
    <x v="4"/>
    <n v="4.4000000000000004"/>
    <n v="0"/>
    <x v="60"/>
    <n v="4"/>
    <n v="9"/>
    <n v="7.1"/>
    <n v="5.8"/>
    <n v="25"/>
    <s v="Unknown"/>
    <s v="AI Content Strategist"/>
    <n v="1632"/>
    <x v="0"/>
    <n v="7.1"/>
  </r>
  <r>
    <s v="U90138"/>
    <n v="26"/>
    <s v="Male"/>
    <s v="India"/>
    <x v="0"/>
    <s v="High School"/>
    <s v="Data Entry Operator"/>
    <n v="1652"/>
    <s v=" Google Gemini"/>
    <x v="6"/>
    <n v="0.6"/>
    <n v="50"/>
    <x v="21"/>
    <n v="3"/>
    <n v="5"/>
    <n v="4.2"/>
    <n v="10.5"/>
    <n v="26"/>
    <s v="India"/>
    <s v="Data Entry Operator"/>
    <n v="1652"/>
    <x v="2"/>
    <n v="4.2"/>
  </r>
  <r>
    <s v="U90135"/>
    <n v="38"/>
    <s v="Male"/>
    <s v="India"/>
    <x v="0"/>
    <s v="Master's"/>
    <s v="Senior Data Scientist"/>
    <n v="1652"/>
    <s v="Chat GPT"/>
    <x v="6"/>
    <n v="0.7"/>
    <n v="0"/>
    <x v="4"/>
    <n v="4"/>
    <n v="8"/>
    <n v="0.6"/>
    <n v="8.3000000000000007"/>
    <n v="38"/>
    <s v="India"/>
    <s v="Senior Data Scientist"/>
    <n v="1652"/>
    <x v="0"/>
    <n v="0.6"/>
  </r>
  <r>
    <s v="U90578"/>
    <n v="25"/>
    <s v="Male"/>
    <s v="UNKNOWN"/>
    <x v="0"/>
    <s v="PhD"/>
    <s v="AI Content Strategist"/>
    <n v="1659"/>
    <s v="Chat GPT"/>
    <x v="4"/>
    <n v="4.4000000000000004"/>
    <n v="0"/>
    <x v="60"/>
    <n v="4"/>
    <n v="9"/>
    <n v="7.1"/>
    <n v="5.8"/>
    <n v="25"/>
    <s v="Unknown"/>
    <s v="AI Content Strategist"/>
    <n v="1659"/>
    <x v="0"/>
    <n v="7.1"/>
  </r>
  <r>
    <s v="U90163"/>
    <n v="30"/>
    <s v="Male"/>
    <s v="Brazil"/>
    <x v="0"/>
    <s v="Bachelor's"/>
    <s v="Tech Lead"/>
    <n v="1693"/>
    <s v="Microsoft Copilot"/>
    <x v="2"/>
    <n v="0.7"/>
    <n v="0"/>
    <x v="0"/>
    <n v="3"/>
    <n v="6"/>
    <n v="4.4000000000000004"/>
    <n v="8.1"/>
    <n v="30"/>
    <s v="Brazil"/>
    <s v="Tech Lead"/>
    <n v="1693"/>
    <x v="1"/>
    <n v="4.4000000000000004"/>
  </r>
  <r>
    <s v="U0071"/>
    <n v="30"/>
    <s v="Female"/>
    <s v="India"/>
    <x v="0"/>
    <s v="Master's"/>
    <s v="Data Analytics Manager"/>
    <n v="1699"/>
    <s v="Perplexity AI"/>
    <x v="6"/>
    <n v="5.5"/>
    <n v="10"/>
    <x v="7"/>
    <n v="4"/>
    <n v="8"/>
    <n v="6.5"/>
    <n v="7.5"/>
    <n v="30"/>
    <s v="India"/>
    <s v="Data Analytics Manager"/>
    <n v="1699"/>
    <x v="8"/>
    <n v="6.5"/>
  </r>
  <r>
    <s v="U90659"/>
    <n v="23"/>
    <s v="Male"/>
    <s v="UNKNOWN"/>
    <x v="0"/>
    <s v="PhD"/>
    <s v="AI Content Strategist"/>
    <n v="1729"/>
    <s v="Chat GPT"/>
    <x v="4"/>
    <n v="4.4000000000000004"/>
    <n v="0"/>
    <x v="60"/>
    <n v="4"/>
    <n v="9"/>
    <n v="7.1"/>
    <n v="5.8"/>
    <n v="23"/>
    <s v="Unknown"/>
    <s v="AI Content Strategist"/>
    <n v="1729"/>
    <x v="0"/>
    <n v="7.1"/>
  </r>
  <r>
    <s v="U90619"/>
    <n v="40"/>
    <s v="Male"/>
    <s v="India"/>
    <x v="0"/>
    <s v="Master's"/>
    <s v="Senior Data Scientist"/>
    <n v="1730"/>
    <s v="Chat GPT"/>
    <x v="6"/>
    <n v="0.7"/>
    <n v="0"/>
    <x v="4"/>
    <n v="4"/>
    <n v="8"/>
    <n v="0.6"/>
    <n v="8.3000000000000007"/>
    <n v="40"/>
    <s v="India"/>
    <s v="Senior Data Scientist"/>
    <n v="1730"/>
    <x v="0"/>
    <n v="0.6"/>
  </r>
  <r>
    <s v="U90658"/>
    <n v="39"/>
    <s v="Male"/>
    <s v="India"/>
    <x v="0"/>
    <s v="Master's"/>
    <s v="Senior Data Scientist"/>
    <n v="1732"/>
    <s v="Chat GPT"/>
    <x v="6"/>
    <n v="0.7"/>
    <n v="0"/>
    <x v="4"/>
    <n v="4"/>
    <n v="8"/>
    <n v="0.6"/>
    <n v="8.3000000000000007"/>
    <n v="39"/>
    <s v="India"/>
    <s v="Senior Data Scientist"/>
    <n v="1732"/>
    <x v="0"/>
    <n v="0.6"/>
  </r>
  <r>
    <s v="U90311"/>
    <n v="23"/>
    <s v="Male"/>
    <s v="India"/>
    <x v="0"/>
    <s v="Diploma"/>
    <s v="AI-Powered Customer Support Executive"/>
    <n v="1742"/>
    <s v="Chat GPT"/>
    <x v="3"/>
    <n v="0.9"/>
    <n v="10"/>
    <x v="34"/>
    <n v="3"/>
    <n v="6"/>
    <n v="0"/>
    <n v="7.3"/>
    <n v="23"/>
    <s v="India"/>
    <s v="AI-Powered Customer Support Executive"/>
    <n v="1742"/>
    <x v="0"/>
    <n v="0"/>
  </r>
  <r>
    <s v="U90305"/>
    <n v="24"/>
    <s v="Male"/>
    <s v="UNKNOWN"/>
    <x v="0"/>
    <s v="PhD"/>
    <s v="AI Content Strategist"/>
    <n v="1757"/>
    <s v="Chat GPT"/>
    <x v="4"/>
    <n v="4.4000000000000004"/>
    <n v="0"/>
    <x v="60"/>
    <n v="4"/>
    <n v="9"/>
    <n v="7.1"/>
    <n v="5.8"/>
    <n v="24"/>
    <s v="Unknown"/>
    <s v="AI Content Strategist"/>
    <n v="1757"/>
    <x v="0"/>
    <n v="7.1"/>
  </r>
  <r>
    <s v="U0088"/>
    <n v="24"/>
    <s v="Male"/>
    <s v="India"/>
    <x v="0"/>
    <s v="High School"/>
    <s v="Data Entry Operator"/>
    <n v="1761"/>
    <s v=" Google Gemini"/>
    <x v="6"/>
    <n v="0.6"/>
    <n v="50"/>
    <x v="21"/>
    <n v="3"/>
    <n v="5"/>
    <n v="4.2"/>
    <n v="10.5"/>
    <n v="24"/>
    <s v="India"/>
    <s v="Data Entry Operator"/>
    <n v="1761"/>
    <x v="2"/>
    <n v="4.2"/>
  </r>
  <r>
    <s v="U90508"/>
    <n v="64"/>
    <s v="Female"/>
    <s v="India"/>
    <x v="0"/>
    <s v="Master's"/>
    <s v="Content Strategy Manager"/>
    <n v="1769"/>
    <s v="Meta AI"/>
    <x v="4"/>
    <n v="5.3"/>
    <n v="50"/>
    <x v="60"/>
    <n v="3"/>
    <n v="6"/>
    <n v="10.7"/>
    <n v="9.5"/>
    <n v="64"/>
    <s v="India"/>
    <s v="Content Strategy Manager"/>
    <n v="1769"/>
    <x v="6"/>
    <n v="10.7"/>
  </r>
  <r>
    <s v="U90554"/>
    <n v="29"/>
    <s v="Male"/>
    <s v="Brazil"/>
    <x v="0"/>
    <s v="Bachelor's"/>
    <s v="Tech Lead"/>
    <n v="1779"/>
    <s v="Microsoft Copilot"/>
    <x v="2"/>
    <n v="0.7"/>
    <n v="0"/>
    <x v="0"/>
    <n v="3"/>
    <n v="6"/>
    <n v="4.4000000000000004"/>
    <n v="8.1"/>
    <n v="29"/>
    <s v="Brazil"/>
    <s v="Tech Lead"/>
    <n v="1779"/>
    <x v="1"/>
    <n v="4.4000000000000004"/>
  </r>
  <r>
    <s v="U90502"/>
    <n v="42"/>
    <s v="Female"/>
    <s v="Brazil"/>
    <x v="0"/>
    <s v="Diploma"/>
    <s v="Administrative Assistant"/>
    <n v="1780"/>
    <s v=" Google Gemini"/>
    <x v="8"/>
    <n v="4.2"/>
    <n v="0"/>
    <x v="69"/>
    <n v="3"/>
    <n v="6"/>
    <n v="5.6"/>
    <n v="10"/>
    <n v="42"/>
    <s v="Brazil"/>
    <s v="Administrative Assistant"/>
    <n v="1780"/>
    <x v="2"/>
    <n v="5.6"/>
  </r>
  <r>
    <s v="U90569"/>
    <n v="61"/>
    <s v="Female"/>
    <s v="Brazil"/>
    <x v="0"/>
    <s v="Master's"/>
    <s v="Analyst Senior"/>
    <n v="1781"/>
    <s v=" Google Gemini"/>
    <x v="6"/>
    <n v="1.5"/>
    <n v="10"/>
    <x v="6"/>
    <n v="3"/>
    <n v="4"/>
    <m/>
    <n v="7.7"/>
    <n v="61"/>
    <s v="Brazil"/>
    <s v="Analyst Senior"/>
    <n v="1781"/>
    <x v="2"/>
    <n v="3.2436781609195395"/>
  </r>
  <r>
    <s v="U90379"/>
    <n v="53"/>
    <s v="Male"/>
    <s v="Brazil"/>
    <x v="0"/>
    <s v="Master's"/>
    <s v="Tech Lead"/>
    <n v="1804"/>
    <s v=" Google Gemini"/>
    <x v="2"/>
    <n v="1.4"/>
    <n v="0"/>
    <x v="43"/>
    <n v="2"/>
    <n v="4"/>
    <n v="1.6"/>
    <n v="8.3000000000000007"/>
    <n v="53"/>
    <s v="Brazil"/>
    <s v="Tech Lead"/>
    <n v="1804"/>
    <x v="2"/>
    <n v="1.6"/>
  </r>
  <r>
    <s v="U90335"/>
    <n v="29"/>
    <s v="Female"/>
    <s v="India"/>
    <x v="0"/>
    <s v="Master's"/>
    <s v="Data Analytics Manager"/>
    <n v="1867"/>
    <s v="Perplexity AI"/>
    <x v="6"/>
    <n v="5.5"/>
    <n v="10"/>
    <x v="7"/>
    <n v="4"/>
    <n v="8"/>
    <n v="6.5"/>
    <n v="7.5"/>
    <n v="29"/>
    <s v="India"/>
    <s v="Data Analytics Manager"/>
    <n v="1867"/>
    <x v="8"/>
    <n v="6.5"/>
  </r>
  <r>
    <s v="U0168"/>
    <n v="61"/>
    <s v="Female"/>
    <s v="Brazil"/>
    <x v="0"/>
    <s v="Master's"/>
    <s v="Analyst Senior"/>
    <n v="1884"/>
    <s v=" Google Gemini"/>
    <x v="6"/>
    <n v="1.5"/>
    <n v="10"/>
    <x v="6"/>
    <n v="3"/>
    <n v="4"/>
    <m/>
    <n v="7.7"/>
    <n v="61"/>
    <s v="Brazil"/>
    <s v="Analyst Senior"/>
    <n v="1884"/>
    <x v="2"/>
    <n v="3.2436781609195395"/>
  </r>
  <r>
    <s v="U90411"/>
    <n v="26"/>
    <s v="Male"/>
    <s v="India"/>
    <x v="0"/>
    <s v="High School"/>
    <s v="Data Entry Operator"/>
    <n v="1901"/>
    <s v=" Google Gemini"/>
    <x v="6"/>
    <n v="0.6"/>
    <n v="50"/>
    <x v="21"/>
    <n v="3"/>
    <n v="5"/>
    <n v="4.2"/>
    <n v="10.5"/>
    <n v="26"/>
    <s v="India"/>
    <s v="Data Entry Operator"/>
    <n v="1901"/>
    <x v="2"/>
    <n v="4.2"/>
  </r>
  <r>
    <s v="U90426"/>
    <n v="26"/>
    <s v="Male"/>
    <s v="India"/>
    <x v="0"/>
    <s v="High School"/>
    <s v="Data Entry Operator"/>
    <n v="1941"/>
    <s v=" Google Gemini"/>
    <x v="6"/>
    <n v="0.6"/>
    <n v="50"/>
    <x v="21"/>
    <n v="3"/>
    <n v="5"/>
    <n v="4.2"/>
    <n v="10.5"/>
    <n v="26"/>
    <s v="India"/>
    <s v="Data Entry Operator"/>
    <n v="1941"/>
    <x v="2"/>
    <n v="4.2"/>
  </r>
  <r>
    <s v="U90587"/>
    <n v="26"/>
    <s v="Male"/>
    <s v="India"/>
    <x v="0"/>
    <s v="Diploma"/>
    <s v="AI-Powered Customer Support Executive"/>
    <n v="1948"/>
    <s v="Chat GPT"/>
    <x v="3"/>
    <n v="0.9"/>
    <n v="10"/>
    <x v="34"/>
    <n v="3"/>
    <n v="6"/>
    <n v="0"/>
    <n v="7.3"/>
    <n v="26"/>
    <s v="India"/>
    <s v="AI-Powered Customer Support Executive"/>
    <n v="1948"/>
    <x v="0"/>
    <n v="0"/>
  </r>
  <r>
    <s v="U90016"/>
    <n v="53"/>
    <s v="Male"/>
    <s v="Brazil"/>
    <x v="0"/>
    <s v="Master's"/>
    <s v="Machine Learning Student"/>
    <n v="1954"/>
    <s v=" Google Gemini"/>
    <x v="2"/>
    <n v="1.4"/>
    <n v="0"/>
    <x v="43"/>
    <n v="2"/>
    <n v="4"/>
    <n v="1.6"/>
    <n v="8.3000000000000007"/>
    <n v="53"/>
    <s v="Brazil"/>
    <s v="Machine Learning Student"/>
    <n v="1954"/>
    <x v="2"/>
    <n v="1.6"/>
  </r>
  <r>
    <s v="U90492"/>
    <n v="63"/>
    <s v="Female"/>
    <s v="India"/>
    <x v="0"/>
    <s v="Master's"/>
    <s v="Content Strategy Manager"/>
    <n v="1974"/>
    <s v="Meta AI"/>
    <x v="4"/>
    <n v="5.3"/>
    <n v="50"/>
    <x v="60"/>
    <n v="3"/>
    <n v="6"/>
    <n v="10.7"/>
    <n v="9.5"/>
    <n v="63"/>
    <s v="India"/>
    <s v="Content Strategy Manager"/>
    <n v="1974"/>
    <x v="6"/>
    <n v="10.7"/>
  </r>
  <r>
    <s v="U0176"/>
    <n v="24"/>
    <s v="Male"/>
    <s v="India"/>
    <x v="0"/>
    <s v="Diploma"/>
    <s v="AI-Powered Customer Support Executive"/>
    <n v="1977"/>
    <s v="Chat GPT"/>
    <x v="3"/>
    <n v="0.9"/>
    <n v="10"/>
    <x v="34"/>
    <n v="3"/>
    <n v="6"/>
    <n v="0"/>
    <n v="7.3"/>
    <n v="24"/>
    <s v="India"/>
    <s v="AI-Powered Customer Support Executive"/>
    <n v="1977"/>
    <x v="0"/>
    <n v="0"/>
  </r>
  <r>
    <s v="U90266"/>
    <n v="33"/>
    <s v="Female"/>
    <s v="Brazil"/>
    <x v="0"/>
    <s v="Bachelor's"/>
    <s v="Data Science Student"/>
    <n v="1979"/>
    <s v=" Google Gemini"/>
    <x v="0"/>
    <n v="1.7"/>
    <n v="10"/>
    <x v="0"/>
    <n v="4"/>
    <n v="6"/>
    <n v="6.2"/>
    <n v="7.3"/>
    <n v="33"/>
    <s v="Brazil"/>
    <s v="Data Science Student"/>
    <n v="1979"/>
    <x v="2"/>
    <n v="6.2"/>
  </r>
  <r>
    <s v="U0203"/>
    <n v="35"/>
    <s v="Female"/>
    <s v="Brazil"/>
    <x v="0"/>
    <s v="Bachelor's"/>
    <s v="Data Science Student"/>
    <n v="1991"/>
    <s v=" Google Gemini"/>
    <x v="0"/>
    <n v="1.7"/>
    <n v="10"/>
    <x v="0"/>
    <n v="4"/>
    <n v="6"/>
    <n v="6.2"/>
    <n v="7.3"/>
    <n v="35"/>
    <s v="Brazil"/>
    <s v="Data Science Student"/>
    <n v="1991"/>
    <x v="2"/>
    <n v="6.2"/>
  </r>
  <r>
    <s v="U90132"/>
    <n v="45"/>
    <s v="Male"/>
    <s v="Brazil"/>
    <x v="0"/>
    <s v="PhD"/>
    <s v="Tech Lead"/>
    <m/>
    <s v="Chat GPT"/>
    <x v="0"/>
    <n v="0.6"/>
    <n v="20"/>
    <x v="0"/>
    <n v="2"/>
    <n v="5"/>
    <n v="0"/>
    <n v="10.1"/>
    <n v="45"/>
    <s v="Brazil"/>
    <s v="Tech Lead"/>
    <n v="2012.2105263157894"/>
    <x v="0"/>
    <n v="0"/>
  </r>
  <r>
    <s v="U90472"/>
    <n v="43"/>
    <s v="Male"/>
    <s v="Brazil"/>
    <x v="0"/>
    <s v="PhD"/>
    <s v="Tech Lead"/>
    <m/>
    <s v="Chat GPT"/>
    <x v="0"/>
    <n v="0.6"/>
    <n v="20"/>
    <x v="0"/>
    <n v="2"/>
    <n v="5"/>
    <n v="0"/>
    <n v="10.1"/>
    <n v="43"/>
    <s v="Brazil"/>
    <s v="Tech Lead"/>
    <n v="2012.2105263157894"/>
    <x v="0"/>
    <n v="0"/>
  </r>
  <r>
    <s v="U90488"/>
    <n v="44"/>
    <s v="Male"/>
    <s v="Brazil"/>
    <x v="0"/>
    <s v="PhD"/>
    <s v="Tech Lead"/>
    <m/>
    <s v="Chat GPT"/>
    <x v="0"/>
    <n v="0.6"/>
    <n v="20"/>
    <x v="0"/>
    <n v="2"/>
    <n v="5"/>
    <n v="0"/>
    <n v="10.1"/>
    <n v="44"/>
    <s v="Brazil"/>
    <s v="Tech Lead"/>
    <n v="2012.2105263157894"/>
    <x v="0"/>
    <n v="0"/>
  </r>
  <r>
    <s v="U90668"/>
    <n v="45"/>
    <s v="Male"/>
    <s v="Brazil"/>
    <x v="0"/>
    <s v="PhD"/>
    <s v="Tech Lead"/>
    <m/>
    <s v="Chat GPT"/>
    <x v="0"/>
    <n v="0.6"/>
    <n v="20"/>
    <x v="0"/>
    <n v="2"/>
    <n v="5"/>
    <n v="0"/>
    <n v="10.1"/>
    <n v="45"/>
    <s v="Brazil"/>
    <s v="Tech Lead"/>
    <n v="2012.2105263157894"/>
    <x v="0"/>
    <n v="0"/>
  </r>
  <r>
    <s v="U90606"/>
    <n v="54"/>
    <s v="Male"/>
    <s v="Brazil"/>
    <x v="0"/>
    <s v="Master's"/>
    <s v="Tech Lead"/>
    <n v="2024"/>
    <s v=" Google Gemini"/>
    <x v="2"/>
    <n v="1.4"/>
    <n v="0"/>
    <x v="43"/>
    <n v="2"/>
    <n v="4"/>
    <n v="1.6"/>
    <n v="8.3000000000000007"/>
    <n v="54"/>
    <s v="Brazil"/>
    <s v="Tech Lead"/>
    <n v="2024"/>
    <x v="2"/>
    <n v="1.6"/>
  </r>
  <r>
    <s v="U0005"/>
    <n v="64"/>
    <s v="Female"/>
    <s v="India"/>
    <x v="0"/>
    <s v="Master's"/>
    <s v="Content Strategy Manager"/>
    <n v="2050"/>
    <s v="Meta AI"/>
    <x v="4"/>
    <n v="5.3"/>
    <n v="50"/>
    <x v="60"/>
    <n v="3"/>
    <n v="6"/>
    <n v="10.7"/>
    <n v="9.5"/>
    <n v="64"/>
    <s v="India"/>
    <s v="Content Strategy Manager"/>
    <n v="2050"/>
    <x v="6"/>
    <n v="10.7"/>
  </r>
  <r>
    <s v="U90556"/>
    <n v="54"/>
    <s v="Male"/>
    <s v="Brazil"/>
    <x v="0"/>
    <s v="Master's"/>
    <s v="Tech Lead"/>
    <n v="2051"/>
    <s v=" Google Gemini"/>
    <x v="2"/>
    <n v="1.4"/>
    <n v="0"/>
    <x v="43"/>
    <n v="2"/>
    <n v="4"/>
    <n v="1.6"/>
    <n v="8.3000000000000007"/>
    <n v="54"/>
    <s v="Brazil"/>
    <s v="Tech Lead"/>
    <n v="2051"/>
    <x v="2"/>
    <n v="1.6"/>
  </r>
  <r>
    <s v="U90583"/>
    <m/>
    <s v="Male"/>
    <s v="United Kingdom"/>
    <x v="0"/>
    <s v="Diploma"/>
    <s v="Content Writer"/>
    <n v="2066"/>
    <s v="Perplexity AI"/>
    <x v="5"/>
    <n v="4.4000000000000004"/>
    <n v="20"/>
    <x v="25"/>
    <n v="5"/>
    <n v="9"/>
    <n v="11.3"/>
    <n v="7.8"/>
    <n v="30.023333333333333"/>
    <s v="United Kingdom"/>
    <s v="Content Writer"/>
    <n v="2066"/>
    <x v="8"/>
    <n v="11.3"/>
  </r>
  <r>
    <s v="U0108"/>
    <n v="29"/>
    <s v="Female"/>
    <s v="India"/>
    <x v="0"/>
    <s v="Master's"/>
    <s v="Digital Content Strategist"/>
    <n v="2090"/>
    <s v="Chat GPT"/>
    <x v="4"/>
    <n v="1.3"/>
    <n v="0"/>
    <x v="3"/>
    <n v="3"/>
    <n v="7"/>
    <n v="2.6"/>
    <n v="9.9"/>
    <n v="29"/>
    <s v="India"/>
    <s v="Digital Content Strategist"/>
    <n v="2090"/>
    <x v="0"/>
    <n v="2.6"/>
  </r>
  <r>
    <s v="U90060"/>
    <n v="65"/>
    <s v="Female"/>
    <s v="India"/>
    <x v="0"/>
    <s v="Master's"/>
    <s v="Content Strategy Manager"/>
    <n v="2092"/>
    <s v="Meta AI"/>
    <x v="4"/>
    <n v="5.3"/>
    <n v="50"/>
    <x v="60"/>
    <n v="3"/>
    <n v="6"/>
    <n v="10.7"/>
    <n v="9.5"/>
    <n v="65"/>
    <s v="India"/>
    <s v="Content Strategy Manager"/>
    <n v="2092"/>
    <x v="6"/>
    <n v="10.7"/>
  </r>
  <r>
    <s v="U90642"/>
    <n v="29"/>
    <s v="Female"/>
    <s v="India"/>
    <x v="0"/>
    <s v="Master's"/>
    <s v="Digital Content Strategist"/>
    <n v="2103"/>
    <s v="Chat GPT"/>
    <x v="4"/>
    <n v="1.3"/>
    <n v="0"/>
    <x v="3"/>
    <n v="3"/>
    <n v="7"/>
    <n v="2.6"/>
    <n v="9.9"/>
    <n v="29"/>
    <s v="India"/>
    <s v="Digital Content Strategist"/>
    <n v="2103"/>
    <x v="0"/>
    <n v="2.6"/>
  </r>
  <r>
    <s v="U0126"/>
    <n v="55"/>
    <s v="Male"/>
    <s v="Brazil"/>
    <x v="0"/>
    <s v="Master's"/>
    <s v="Tech Lead"/>
    <n v="2116"/>
    <s v=" Google Gemini"/>
    <x v="2"/>
    <n v="1.4"/>
    <n v="0"/>
    <x v="43"/>
    <n v="2"/>
    <n v="4"/>
    <n v="1.6"/>
    <n v="8.3000000000000007"/>
    <n v="55"/>
    <s v="Brazil"/>
    <s v="Tech Lead"/>
    <n v="2116"/>
    <x v="2"/>
    <n v="1.6"/>
  </r>
  <r>
    <s v="U90316"/>
    <n v="59"/>
    <s v="Female"/>
    <s v="Brazil"/>
    <x v="0"/>
    <s v="Master's"/>
    <s v="Analyst Senior"/>
    <n v="2117"/>
    <s v=" Google Gemini"/>
    <x v="6"/>
    <n v="1.5"/>
    <n v="10"/>
    <x v="6"/>
    <n v="3"/>
    <n v="4"/>
    <m/>
    <n v="7.7"/>
    <n v="59"/>
    <s v="Brazil"/>
    <s v="Analyst Senior"/>
    <n v="2117"/>
    <x v="2"/>
    <n v="3.2436781609195395"/>
  </r>
  <r>
    <s v="U90370"/>
    <n v="61"/>
    <s v="Female"/>
    <s v="Brazil"/>
    <x v="0"/>
    <s v="Master's"/>
    <s v="Analyst Senior"/>
    <n v="2158"/>
    <s v=" Google Gemini"/>
    <x v="6"/>
    <n v="1.5"/>
    <n v="10"/>
    <x v="6"/>
    <n v="3"/>
    <n v="4"/>
    <m/>
    <n v="7.7"/>
    <n v="61"/>
    <s v="Brazil"/>
    <s v="Analyst Senior"/>
    <n v="2158"/>
    <x v="2"/>
    <n v="3.2436781609195395"/>
  </r>
  <r>
    <s v="U90342"/>
    <n v="29"/>
    <s v="Female"/>
    <s v="India"/>
    <x v="0"/>
    <s v="Master's"/>
    <s v="Digital Content Strategist"/>
    <n v="2192"/>
    <s v="Chat GPT"/>
    <x v="4"/>
    <n v="1.3"/>
    <n v="0"/>
    <x v="3"/>
    <n v="3"/>
    <n v="7"/>
    <n v="2.6"/>
    <n v="9.9"/>
    <n v="29"/>
    <s v="India"/>
    <s v="Digital Content Strategist"/>
    <n v="2192"/>
    <x v="0"/>
    <n v="2.6"/>
  </r>
  <r>
    <s v="U90525"/>
    <n v="54"/>
    <s v="Male"/>
    <s v="Brazil"/>
    <x v="0"/>
    <s v="Master's"/>
    <s v="Tech Lead"/>
    <n v="2201"/>
    <s v=" Google Gemini"/>
    <x v="2"/>
    <n v="1.4"/>
    <n v="0"/>
    <x v="43"/>
    <n v="2"/>
    <n v="4"/>
    <n v="1.6"/>
    <n v="8.3000000000000007"/>
    <n v="54"/>
    <s v="Brazil"/>
    <s v="Tech Lead"/>
    <n v="2201"/>
    <x v="2"/>
    <n v="1.6"/>
  </r>
  <r>
    <s v="U90230"/>
    <n v="65"/>
    <s v="Female"/>
    <s v="India"/>
    <x v="0"/>
    <s v="Master's"/>
    <s v="Content Strategy Manager"/>
    <n v="2203"/>
    <s v="Meta AI"/>
    <x v="4"/>
    <n v="5.3"/>
    <n v="50"/>
    <x v="60"/>
    <n v="3"/>
    <n v="6"/>
    <n v="10.7"/>
    <n v="9.5"/>
    <n v="65"/>
    <s v="India"/>
    <s v="Content Strategy Manager"/>
    <n v="2203"/>
    <x v="6"/>
    <n v="10.7"/>
  </r>
  <r>
    <s v="U90383"/>
    <n v="54"/>
    <s v="Female"/>
    <s v="India"/>
    <x v="0"/>
    <s v="Bachelor's"/>
    <s v="Administrative Assistant"/>
    <n v="2225"/>
    <s v=" Google Gemini"/>
    <x v="8"/>
    <n v="3.9"/>
    <n v="0"/>
    <x v="39"/>
    <n v="4"/>
    <n v="8"/>
    <n v="6.8"/>
    <n v="7.6"/>
    <n v="54"/>
    <s v="India"/>
    <s v="Administrative Assistant"/>
    <n v="2225"/>
    <x v="2"/>
    <n v="6.8"/>
  </r>
  <r>
    <s v="U90640"/>
    <n v="34"/>
    <s v="Female"/>
    <s v="Brazil"/>
    <x v="0"/>
    <s v="Bachelor's"/>
    <s v="Data Science Student"/>
    <n v="2249"/>
    <s v=" Google Gemini"/>
    <x v="0"/>
    <n v="1.7"/>
    <n v="10"/>
    <x v="0"/>
    <n v="4"/>
    <n v="6"/>
    <n v="6.2"/>
    <n v="7.3"/>
    <n v="34"/>
    <s v="Brazil"/>
    <s v="Data Science Student"/>
    <n v="2249"/>
    <x v="2"/>
    <n v="6.2"/>
  </r>
  <r>
    <s v="U90209"/>
    <n v="28"/>
    <s v="Female"/>
    <s v="India"/>
    <x v="0"/>
    <s v="Master's"/>
    <s v="Digital Content Strategist"/>
    <n v="2267"/>
    <s v="Chat GPT"/>
    <x v="4"/>
    <n v="1.3"/>
    <n v="0"/>
    <x v="3"/>
    <n v="3"/>
    <n v="7"/>
    <n v="2.6"/>
    <n v="9.9"/>
    <n v="28"/>
    <s v="India"/>
    <s v="Digital Content Strategist"/>
    <n v="2267"/>
    <x v="0"/>
    <n v="2.6"/>
  </r>
  <r>
    <s v="U0242"/>
    <n v="56"/>
    <s v="Female"/>
    <s v="Pakistan"/>
    <x v="0"/>
    <s v="High School"/>
    <s v="Administrative Assistant"/>
    <m/>
    <s v="claude"/>
    <x v="8"/>
    <n v="5"/>
    <n v="10"/>
    <x v="39"/>
    <n v="4"/>
    <n v="7"/>
    <n v="11.4"/>
    <n v="7.8"/>
    <n v="56"/>
    <s v="Pakistan"/>
    <s v="Administrative Assistant"/>
    <n v="2290.818181818182"/>
    <x v="5"/>
    <n v="11.4"/>
  </r>
  <r>
    <s v="U90299"/>
    <n v="55"/>
    <s v="Female"/>
    <s v="Pakistan"/>
    <x v="0"/>
    <s v="High School"/>
    <s v="Administrative Assistant"/>
    <m/>
    <s v="claude"/>
    <x v="8"/>
    <n v="5"/>
    <n v="10"/>
    <x v="39"/>
    <n v="4"/>
    <n v="7"/>
    <n v="11.4"/>
    <n v="7.8"/>
    <n v="55"/>
    <s v="Pakistan"/>
    <s v="Administrative Assistant"/>
    <n v="2290.818181818182"/>
    <x v="5"/>
    <n v="11.4"/>
  </r>
  <r>
    <s v="U0155"/>
    <m/>
    <s v="Male"/>
    <s v="United Kingdom"/>
    <x v="0"/>
    <s v="Diploma"/>
    <s v="Content Writer"/>
    <n v="2303"/>
    <s v="Perplexity AI"/>
    <x v="5"/>
    <n v="4.4000000000000004"/>
    <n v="20"/>
    <x v="25"/>
    <n v="5"/>
    <n v="9"/>
    <n v="11.3"/>
    <n v="7.8"/>
    <n v="30.023333333333333"/>
    <s v="United Kingdom"/>
    <s v="Content Writer"/>
    <n v="2303"/>
    <x v="8"/>
    <n v="11.3"/>
  </r>
  <r>
    <s v="U0271"/>
    <n v="24"/>
    <s v="Female"/>
    <s v="India"/>
    <x v="0"/>
    <s v="BA/BSc"/>
    <s v="Software Developer"/>
    <n v="2307"/>
    <s v="Grammarly"/>
    <x v="0"/>
    <n v="0.6"/>
    <n v="0"/>
    <x v="59"/>
    <n v="4"/>
    <n v="7"/>
    <n v="1.6"/>
    <n v="12"/>
    <n v="24"/>
    <s v="India"/>
    <s v="Software Developer"/>
    <n v="2307"/>
    <x v="3"/>
    <n v="1.6"/>
  </r>
  <r>
    <s v="U90172"/>
    <n v="53"/>
    <s v="Male"/>
    <s v="Brazil"/>
    <x v="0"/>
    <s v="Master's"/>
    <s v="Tech Lead"/>
    <n v="2320"/>
    <s v=" Google Gemini"/>
    <x v="2"/>
    <n v="1.4"/>
    <n v="0"/>
    <x v="43"/>
    <n v="2"/>
    <n v="4"/>
    <n v="1.6"/>
    <n v="8.3000000000000007"/>
    <n v="53"/>
    <s v="Brazil"/>
    <s v="Tech Lead"/>
    <n v="2320"/>
    <x v="2"/>
    <n v="1.6"/>
  </r>
  <r>
    <s v="U90573"/>
    <m/>
    <s v="Male"/>
    <s v="United Kingdom"/>
    <x v="0"/>
    <s v="Diploma"/>
    <s v="Content Writer"/>
    <n v="2372"/>
    <s v="Perplexity AI"/>
    <x v="5"/>
    <n v="4.4000000000000004"/>
    <n v="20"/>
    <x v="25"/>
    <n v="5"/>
    <n v="9"/>
    <n v="11.3"/>
    <n v="7.8"/>
    <n v="30.023333333333333"/>
    <s v="United Kingdom"/>
    <s v="Content Writer"/>
    <n v="2372"/>
    <x v="8"/>
    <n v="11.3"/>
  </r>
  <r>
    <s v="U90685"/>
    <n v="49"/>
    <s v="Male"/>
    <s v="Canada"/>
    <x v="0"/>
    <s v="Bachelor's"/>
    <s v="Content Marketing Manager"/>
    <n v="2380"/>
    <s v="Meta AI"/>
    <x v="5"/>
    <n v="0.9"/>
    <n v="10"/>
    <x v="43"/>
    <n v="3"/>
    <n v="5"/>
    <n v="1.5"/>
    <n v="9.1"/>
    <n v="49"/>
    <s v="Canada"/>
    <s v="Content Marketing Manager"/>
    <n v="2380"/>
    <x v="6"/>
    <n v="1.5"/>
  </r>
  <r>
    <s v="U90616"/>
    <m/>
    <s v="Male"/>
    <s v="United Kingdom"/>
    <x v="0"/>
    <s v="Diploma"/>
    <s v="Content Writer"/>
    <n v="2402"/>
    <s v="Perplexity AI"/>
    <x v="5"/>
    <n v="4.4000000000000004"/>
    <n v="20"/>
    <x v="25"/>
    <n v="5"/>
    <n v="9"/>
    <n v="11.3"/>
    <n v="7.8"/>
    <n v="30.023333333333333"/>
    <s v="United Kingdom"/>
    <s v="Content Writer"/>
    <n v="2402"/>
    <x v="8"/>
    <n v="11.3"/>
  </r>
  <r>
    <s v="U90377"/>
    <m/>
    <s v="Male"/>
    <s v="United Kingdom"/>
    <x v="0"/>
    <s v="Diploma"/>
    <s v="Content Writer"/>
    <n v="2445"/>
    <s v="Perplexity AI"/>
    <x v="5"/>
    <n v="4.4000000000000004"/>
    <n v="20"/>
    <x v="25"/>
    <n v="5"/>
    <n v="9"/>
    <n v="11.3"/>
    <n v="7.8"/>
    <n v="30.023333333333333"/>
    <s v="United Kingdom"/>
    <s v="Content Writer"/>
    <n v="2445"/>
    <x v="8"/>
    <n v="11.3"/>
  </r>
  <r>
    <s v="U90438"/>
    <n v="25"/>
    <s v="Female"/>
    <s v="India"/>
    <x v="0"/>
    <s v="BA/BSc"/>
    <s v="Software Developer"/>
    <n v="2455"/>
    <s v="Grammarly"/>
    <x v="0"/>
    <n v="0.6"/>
    <n v="0"/>
    <x v="59"/>
    <n v="4"/>
    <n v="7"/>
    <n v="1.6"/>
    <n v="12"/>
    <n v="25"/>
    <s v="India"/>
    <s v="Software Developer"/>
    <n v="2455"/>
    <x v="3"/>
    <n v="1.6"/>
  </r>
  <r>
    <s v="U0026"/>
    <n v="54"/>
    <s v="Female"/>
    <s v="India"/>
    <x v="0"/>
    <s v="Bachelor's"/>
    <s v="Administrative Assistant"/>
    <n v="2464"/>
    <s v=" Google Gemini"/>
    <x v="8"/>
    <n v="3.9"/>
    <n v="0"/>
    <x v="39"/>
    <n v="4"/>
    <n v="8"/>
    <n v="6.8"/>
    <n v="7.6"/>
    <n v="54"/>
    <s v="India"/>
    <s v="Administrative Assistant"/>
    <n v="2464"/>
    <x v="2"/>
    <n v="6.8"/>
  </r>
  <r>
    <s v="U90240"/>
    <n v="23"/>
    <s v="Female"/>
    <s v="India"/>
    <x v="0"/>
    <s v="BA/BSc"/>
    <s v="Software Developer"/>
    <n v="2533"/>
    <s v="Grammarly"/>
    <x v="0"/>
    <n v="0.6"/>
    <n v="0"/>
    <x v="59"/>
    <n v="4"/>
    <n v="7"/>
    <n v="1.6"/>
    <n v="12"/>
    <n v="23"/>
    <s v="India"/>
    <s v="Software Developer"/>
    <n v="2533"/>
    <x v="3"/>
    <n v="1.6"/>
  </r>
  <r>
    <s v="U90344"/>
    <m/>
    <s v="Male"/>
    <s v="United Kingdom"/>
    <x v="0"/>
    <s v="Diploma"/>
    <s v="Content Writer"/>
    <n v="2539"/>
    <s v="Perplexity AI"/>
    <x v="5"/>
    <n v="4.4000000000000004"/>
    <n v="20"/>
    <x v="25"/>
    <n v="5"/>
    <n v="9"/>
    <n v="11.3"/>
    <n v="7.8"/>
    <n v="30.023333333333333"/>
    <s v="United Kingdom"/>
    <s v="Content Writer"/>
    <n v="2539"/>
    <x v="8"/>
    <n v="11.3"/>
  </r>
  <r>
    <s v="U90566"/>
    <n v="48"/>
    <s v="Male"/>
    <s v="Canada"/>
    <x v="0"/>
    <s v="Bachelor's"/>
    <s v="Content Marketing Manager"/>
    <n v="2630"/>
    <s v="Meta AI"/>
    <x v="5"/>
    <n v="0.9"/>
    <n v="10"/>
    <x v="43"/>
    <n v="3"/>
    <n v="5"/>
    <n v="1.5"/>
    <n v="9.1"/>
    <n v="48"/>
    <s v="Canada"/>
    <s v="Content Marketing Manager"/>
    <n v="2630"/>
    <x v="6"/>
    <n v="1.5"/>
  </r>
  <r>
    <s v="U90518"/>
    <n v="24"/>
    <s v="Female"/>
    <s v="United Kingdom"/>
    <x v="0"/>
    <s v="Graduate"/>
    <s v="Junior Software Developer"/>
    <n v="2646"/>
    <s v="Perplexity AI"/>
    <x v="0"/>
    <n v="0"/>
    <n v="20"/>
    <x v="62"/>
    <n v="3"/>
    <n v="8"/>
    <n v="15.1"/>
    <n v="11.3"/>
    <n v="24"/>
    <s v="United Kingdom"/>
    <s v="Junior Software Developer"/>
    <n v="2646"/>
    <x v="8"/>
    <n v="15.1"/>
  </r>
  <r>
    <s v="U0111"/>
    <n v="47"/>
    <s v="Male"/>
    <s v="Canada"/>
    <x v="0"/>
    <s v="Bachelor's"/>
    <s v="Content Marketing Manager"/>
    <n v="2688"/>
    <s v="Meta AI"/>
    <x v="5"/>
    <n v="0.9"/>
    <n v="10"/>
    <x v="43"/>
    <n v="3"/>
    <n v="5"/>
    <n v="1.5"/>
    <n v="9.1"/>
    <n v="47"/>
    <s v="Canada"/>
    <s v="Content Marketing Manager"/>
    <n v="2688"/>
    <x v="6"/>
    <n v="1.5"/>
  </r>
  <r>
    <s v="U0200"/>
    <n v="49"/>
    <s v="Male"/>
    <s v="United States"/>
    <x v="0"/>
    <s v="Diploma"/>
    <s v="Software Support Technician"/>
    <n v="2690"/>
    <s v="DeepSeek"/>
    <x v="0"/>
    <n v="0.6"/>
    <n v="10"/>
    <x v="70"/>
    <n v="4"/>
    <n v="3"/>
    <n v="2.2000000000000002"/>
    <n v="6.5"/>
    <n v="49"/>
    <s v="United States"/>
    <s v="Software Support Technician"/>
    <n v="2690"/>
    <x v="4"/>
    <n v="2.2000000000000002"/>
  </r>
  <r>
    <s v="U90212"/>
    <n v="39"/>
    <s v="Female"/>
    <s v="Germany"/>
    <x v="0"/>
    <s v="High School"/>
    <s v="Tech Lead"/>
    <n v="2699"/>
    <s v="Chat GPT"/>
    <x v="3"/>
    <n v="1.5"/>
    <n v="0"/>
    <x v="0"/>
    <n v="2"/>
    <n v="3"/>
    <n v="7.1"/>
    <n v="7.6"/>
    <n v="39"/>
    <s v="Germany"/>
    <s v="Tech Lead"/>
    <n v="2699"/>
    <x v="0"/>
    <n v="7.1"/>
  </r>
  <r>
    <s v="U90608"/>
    <n v="24"/>
    <s v="Female"/>
    <s v="United Kingdom"/>
    <x v="0"/>
    <s v="Graduate"/>
    <s v="Junior Software Developer"/>
    <n v="2759"/>
    <s v="Perplexity AI"/>
    <x v="0"/>
    <n v="0"/>
    <n v="20"/>
    <x v="62"/>
    <n v="3"/>
    <n v="8"/>
    <n v="15.1"/>
    <n v="11.3"/>
    <n v="24"/>
    <s v="United Kingdom"/>
    <s v="Junior Software Developer"/>
    <n v="2759"/>
    <x v="8"/>
    <n v="15.1"/>
  </r>
  <r>
    <s v="U90128"/>
    <n v="29"/>
    <s v="Male"/>
    <s v="United Kingdom"/>
    <x v="0"/>
    <s v="Bachelor's"/>
    <s v="Data Analyst"/>
    <n v="2764"/>
    <s v="claude"/>
    <x v="6"/>
    <n v="3.9"/>
    <n v="10"/>
    <x v="18"/>
    <n v="3"/>
    <n v="8"/>
    <n v="11.8"/>
    <n v="7.6"/>
    <n v="29"/>
    <s v="United Kingdom"/>
    <s v="Data Analyst"/>
    <n v="2764"/>
    <x v="5"/>
    <n v="11.8"/>
  </r>
  <r>
    <s v="U90644"/>
    <n v="38"/>
    <s v="Female"/>
    <s v="United States"/>
    <x v="0"/>
    <s v="Bachelor's"/>
    <s v="Data Analyst"/>
    <n v="2809"/>
    <s v="Chat GPT"/>
    <x v="6"/>
    <n v="2.6"/>
    <n v="0"/>
    <x v="7"/>
    <n v="3"/>
    <n v="6"/>
    <n v="3.6"/>
    <n v="9.1999999999999993"/>
    <n v="38"/>
    <s v="United States"/>
    <s v="Data Analyst"/>
    <n v="2809"/>
    <x v="0"/>
    <n v="3.6"/>
  </r>
  <r>
    <s v="U90453"/>
    <n v="51"/>
    <s v="Male"/>
    <s v="United States"/>
    <x v="0"/>
    <s v="Diploma"/>
    <s v="Software Support Technician"/>
    <n v="2827"/>
    <s v="DeepSeek"/>
    <x v="0"/>
    <n v="0.6"/>
    <n v="10"/>
    <x v="70"/>
    <n v="4"/>
    <n v="3"/>
    <n v="2.2000000000000002"/>
    <n v="6.5"/>
    <n v="51"/>
    <s v="United States"/>
    <s v="Software Support Technician"/>
    <n v="2827"/>
    <x v="4"/>
    <n v="2.2000000000000002"/>
  </r>
  <r>
    <s v="U90382"/>
    <n v="42"/>
    <s v="Female"/>
    <s v="Germany"/>
    <x v="0"/>
    <s v="High School"/>
    <s v="Tech Lead"/>
    <n v="2864"/>
    <s v="Chat GPT"/>
    <x v="3"/>
    <n v="1.5"/>
    <n v="0"/>
    <x v="0"/>
    <n v="2"/>
    <n v="3"/>
    <n v="7.1"/>
    <n v="7.6"/>
    <n v="42"/>
    <s v="Germany"/>
    <s v="Tech Lead"/>
    <n v="2864"/>
    <x v="0"/>
    <n v="7.1"/>
  </r>
  <r>
    <s v="U90494"/>
    <n v="38"/>
    <s v="Female"/>
    <s v="United States"/>
    <x v="0"/>
    <s v="Bachelor's"/>
    <s v="Data Analyst"/>
    <n v="2874"/>
    <s v="Chat GPT"/>
    <x v="6"/>
    <n v="2.6"/>
    <n v="0"/>
    <x v="7"/>
    <n v="3"/>
    <n v="6"/>
    <n v="3.6"/>
    <n v="9.1999999999999993"/>
    <n v="38"/>
    <s v="United States"/>
    <s v="Data Analyst"/>
    <n v="2874"/>
    <x v="0"/>
    <n v="3.6"/>
  </r>
  <r>
    <s v="U90210"/>
    <n v="49"/>
    <s v="Male"/>
    <s v="United States"/>
    <x v="0"/>
    <s v="Diploma"/>
    <s v="Software Support Technician"/>
    <n v="2879"/>
    <s v="DeepSeek"/>
    <x v="0"/>
    <n v="0.6"/>
    <n v="10"/>
    <x v="70"/>
    <n v="4"/>
    <n v="3"/>
    <n v="2.2000000000000002"/>
    <n v="6.5"/>
    <n v="49"/>
    <s v="United States"/>
    <s v="Software Support Technician"/>
    <n v="2879"/>
    <x v="4"/>
    <n v="2.2000000000000002"/>
  </r>
  <r>
    <s v="U90388"/>
    <n v="27"/>
    <s v="Male"/>
    <s v="United Kingdom"/>
    <x v="0"/>
    <s v="Bachelor's"/>
    <s v="Data Analyst"/>
    <n v="2936"/>
    <s v="claude"/>
    <x v="6"/>
    <n v="3.9"/>
    <n v="10"/>
    <x v="18"/>
    <n v="3"/>
    <n v="8"/>
    <n v="11.8"/>
    <n v="7.6"/>
    <n v="27"/>
    <s v="United Kingdom"/>
    <s v="Data Analyst"/>
    <n v="2936"/>
    <x v="5"/>
    <n v="11.8"/>
  </r>
  <r>
    <s v="U0049"/>
    <n v="25"/>
    <s v="Female"/>
    <s v="United Kingdom"/>
    <x v="0"/>
    <s v="Graduate"/>
    <s v="Junior Software Developer"/>
    <n v="2945"/>
    <s v="Perplexity AI"/>
    <x v="0"/>
    <n v="0"/>
    <n v="20"/>
    <x v="62"/>
    <n v="3"/>
    <n v="8"/>
    <n v="15.1"/>
    <n v="11.3"/>
    <n v="25"/>
    <s v="United Kingdom"/>
    <s v="Junior Software Developer"/>
    <n v="2945"/>
    <x v="8"/>
    <n v="15.1"/>
  </r>
  <r>
    <s v="U90161"/>
    <n v="31"/>
    <s v="Female"/>
    <s v="Australia"/>
    <x v="0"/>
    <s v="Bachelor's"/>
    <s v="Software Developer"/>
    <n v="3005"/>
    <s v="Chat GPT"/>
    <x v="0"/>
    <n v="0.8"/>
    <n v="10"/>
    <x v="48"/>
    <n v="4"/>
    <n v="4"/>
    <n v="0.5"/>
    <n v="8"/>
    <n v="31"/>
    <s v="Australia"/>
    <s v="Software Developer"/>
    <n v="3005"/>
    <x v="0"/>
    <n v="0.5"/>
  </r>
  <r>
    <s v="U90175"/>
    <n v="45"/>
    <s v="Male"/>
    <s v="Canada"/>
    <x v="0"/>
    <s v="Bachelor's"/>
    <s v="Content Marketing Manager"/>
    <n v="3012"/>
    <s v="Meta AI"/>
    <x v="5"/>
    <n v="0.9"/>
    <n v="10"/>
    <x v="43"/>
    <n v="3"/>
    <n v="5"/>
    <n v="1.5"/>
    <n v="9.1"/>
    <n v="45"/>
    <s v="Canada"/>
    <s v="Content Marketing Manager"/>
    <n v="3012"/>
    <x v="6"/>
    <n v="1.5"/>
  </r>
  <r>
    <s v="U90547"/>
    <n v="45"/>
    <s v="Male"/>
    <s v="Canada"/>
    <x v="0"/>
    <s v="Bachelor's"/>
    <s v="Content Marketing Manager"/>
    <n v="3031"/>
    <s v="Meta AI"/>
    <x v="5"/>
    <n v="0.9"/>
    <n v="10"/>
    <x v="43"/>
    <n v="3"/>
    <n v="5"/>
    <n v="1.5"/>
    <n v="9.1"/>
    <n v="45"/>
    <s v="Canada"/>
    <s v="Content Marketing Manager"/>
    <n v="3031"/>
    <x v="6"/>
    <n v="1.5"/>
  </r>
  <r>
    <s v="U90614"/>
    <n v="48"/>
    <s v="Female"/>
    <s v="United Kingdom"/>
    <x v="0"/>
    <s v="Bachelor's"/>
    <s v="Customer Support Manager"/>
    <n v="3036"/>
    <s v="Perplexity AI"/>
    <x v="3"/>
    <n v="1.9"/>
    <n v="0"/>
    <x v="16"/>
    <n v="4"/>
    <n v="7"/>
    <n v="4.0999999999999996"/>
    <n v="8.6"/>
    <n v="48"/>
    <s v="United Kingdom"/>
    <s v="Customer Support Manager"/>
    <n v="3036"/>
    <x v="8"/>
    <n v="4.0999999999999996"/>
  </r>
  <r>
    <s v="U0230"/>
    <n v="40"/>
    <s v="Female"/>
    <s v="Germany"/>
    <x v="0"/>
    <s v="High School"/>
    <s v="Tech Lead"/>
    <n v="3054"/>
    <s v="Chat GPT"/>
    <x v="3"/>
    <n v="1.5"/>
    <n v="0"/>
    <x v="0"/>
    <n v="2"/>
    <n v="3"/>
    <n v="7.1"/>
    <n v="7.6"/>
    <n v="40"/>
    <s v="Germany"/>
    <s v="Tech Lead"/>
    <n v="3054"/>
    <x v="0"/>
    <n v="7.1"/>
  </r>
  <r>
    <s v="U90604"/>
    <n v="33"/>
    <s v="Female"/>
    <s v="United Kingdom"/>
    <x v="0"/>
    <s v="Master's"/>
    <s v="Research Scientist"/>
    <n v="3058"/>
    <s v="Perplexity AI"/>
    <x v="2"/>
    <n v="5.7"/>
    <n v="0"/>
    <x v="69"/>
    <n v="3"/>
    <n v="7"/>
    <n v="13.4"/>
    <n v="9"/>
    <n v="33"/>
    <s v="United Kingdom"/>
    <s v="Research Scientist"/>
    <n v="3058"/>
    <x v="8"/>
    <n v="13.4"/>
  </r>
  <r>
    <s v="U90095"/>
    <n v="23"/>
    <s v="Female"/>
    <s v="United Kingdom"/>
    <x v="0"/>
    <s v="Graduate"/>
    <s v="Junior Software Developer"/>
    <n v="3062"/>
    <s v="Perplexity AI"/>
    <x v="0"/>
    <n v="0"/>
    <n v="20"/>
    <x v="62"/>
    <n v="3"/>
    <n v="8"/>
    <n v="15.1"/>
    <n v="11.3"/>
    <n v="23"/>
    <s v="United Kingdom"/>
    <s v="Junior Software Developer"/>
    <n v="3062"/>
    <x v="8"/>
    <n v="15.1"/>
  </r>
  <r>
    <s v="U90476"/>
    <n v="35"/>
    <s v="Female"/>
    <s v="United Kingdom"/>
    <x v="0"/>
    <s v="Master's"/>
    <s v="Research Scientist"/>
    <n v="3062"/>
    <s v="Perplexity AI"/>
    <x v="2"/>
    <n v="5.7"/>
    <n v="0"/>
    <x v="69"/>
    <n v="3"/>
    <n v="7"/>
    <n v="13.4"/>
    <n v="9"/>
    <n v="35"/>
    <s v="United Kingdom"/>
    <s v="Research Scientist"/>
    <n v="3062"/>
    <x v="8"/>
    <n v="13.4"/>
  </r>
  <r>
    <s v="U90279"/>
    <n v="42"/>
    <s v="Female"/>
    <s v="Germany"/>
    <x v="0"/>
    <s v="High School"/>
    <s v="Tech Lead"/>
    <n v="3075"/>
    <s v="Chat GPT"/>
    <x v="3"/>
    <n v="1.5"/>
    <n v="0"/>
    <x v="0"/>
    <n v="2"/>
    <n v="3"/>
    <n v="7.1"/>
    <n v="7.6"/>
    <n v="42"/>
    <s v="Germany"/>
    <s v="Tech Lead"/>
    <n v="3075"/>
    <x v="0"/>
    <n v="7.1"/>
  </r>
  <r>
    <s v="U90507"/>
    <n v="34"/>
    <s v="Female"/>
    <s v="United Kingdom"/>
    <x v="0"/>
    <s v="Master's"/>
    <s v="Research Scientist"/>
    <n v="3092"/>
    <s v="Perplexity AI"/>
    <x v="2"/>
    <n v="5.7"/>
    <n v="0"/>
    <x v="69"/>
    <n v="3"/>
    <n v="7"/>
    <n v="13.4"/>
    <n v="9"/>
    <n v="34"/>
    <s v="United Kingdom"/>
    <s v="Research Scientist"/>
    <n v="3092"/>
    <x v="8"/>
    <n v="13.4"/>
  </r>
  <r>
    <s v="U0252"/>
    <n v="35"/>
    <s v="Female"/>
    <s v="United Kingdom"/>
    <x v="0"/>
    <s v="Master's"/>
    <s v="Research Scientist"/>
    <n v="3114"/>
    <s v="Perplexity AI"/>
    <x v="2"/>
    <n v="5.7"/>
    <n v="0"/>
    <x v="69"/>
    <n v="3"/>
    <n v="7"/>
    <n v="13.4"/>
    <n v="9"/>
    <n v="35"/>
    <s v="United Kingdom"/>
    <s v="Research Scientist"/>
    <n v="3114"/>
    <x v="8"/>
    <n v="13.4"/>
  </r>
  <r>
    <s v="U0035"/>
    <n v="28"/>
    <s v="Male"/>
    <s v="United Kingdom"/>
    <x v="0"/>
    <s v="Bachelor's"/>
    <s v="Data Analyst"/>
    <n v="3117"/>
    <s v="claude"/>
    <x v="6"/>
    <n v="3.9"/>
    <n v="10"/>
    <x v="18"/>
    <n v="3"/>
    <n v="8"/>
    <n v="11.8"/>
    <n v="7.6"/>
    <n v="28"/>
    <s v="United Kingdom"/>
    <s v="Data Analyst"/>
    <n v="3117"/>
    <x v="5"/>
    <n v="11.8"/>
  </r>
  <r>
    <s v="U0254"/>
    <n v="46"/>
    <s v="Female"/>
    <s v="United Kingdom"/>
    <x v="0"/>
    <s v="Bachelor's"/>
    <s v="Customer Support Manager"/>
    <n v="3159"/>
    <s v="Perplexity AI"/>
    <x v="3"/>
    <n v="1.9"/>
    <n v="0"/>
    <x v="16"/>
    <n v="4"/>
    <n v="7"/>
    <n v="4.0999999999999996"/>
    <n v="8.6"/>
    <n v="46"/>
    <s v="United Kingdom"/>
    <s v="Customer Support Manager"/>
    <n v="3159"/>
    <x v="8"/>
    <n v="4.0999999999999996"/>
  </r>
  <r>
    <s v="U90340"/>
    <n v="45"/>
    <s v="Female"/>
    <s v="United Kingdom"/>
    <x v="0"/>
    <s v="Bachelor's"/>
    <s v="Customer Support Manager"/>
    <n v="3192"/>
    <s v="Perplexity AI"/>
    <x v="3"/>
    <n v="1.9"/>
    <n v="0"/>
    <x v="16"/>
    <n v="4"/>
    <n v="7"/>
    <n v="4.0999999999999996"/>
    <n v="8.6"/>
    <n v="45"/>
    <s v="United Kingdom"/>
    <s v="Customer Support Manager"/>
    <n v="3192"/>
    <x v="8"/>
    <n v="4.0999999999999996"/>
  </r>
  <r>
    <s v="U90423"/>
    <n v="29"/>
    <s v="Female"/>
    <s v="Australia"/>
    <x v="0"/>
    <s v="Bachelor's"/>
    <s v="Software Developer"/>
    <n v="3201"/>
    <s v="Chat GPT"/>
    <x v="0"/>
    <n v="0.8"/>
    <n v="10"/>
    <x v="48"/>
    <n v="4"/>
    <n v="4"/>
    <n v="0.5"/>
    <n v="8"/>
    <n v="29"/>
    <s v="Australia"/>
    <s v="Software Developer"/>
    <n v="3201"/>
    <x v="0"/>
    <n v="0.5"/>
  </r>
  <r>
    <s v="U0274"/>
    <n v="39"/>
    <s v="Female"/>
    <s v="United States"/>
    <x v="0"/>
    <s v="Bachelor's"/>
    <s v="Data Analyst"/>
    <n v="3204"/>
    <s v="Chat GPT"/>
    <x v="6"/>
    <n v="2.6"/>
    <n v="0"/>
    <x v="7"/>
    <n v="3"/>
    <n v="6"/>
    <n v="3.6"/>
    <n v="9.1999999999999993"/>
    <n v="39"/>
    <s v="United States"/>
    <s v="Data Analyst"/>
    <n v="3204"/>
    <x v="0"/>
    <n v="3.6"/>
  </r>
  <r>
    <s v="U0282"/>
    <n v="41"/>
    <s v="Female"/>
    <s v="Canada"/>
    <x v="0"/>
    <s v="Diploma"/>
    <s v="Research Technician"/>
    <n v="3218"/>
    <s v="Meta AI"/>
    <x v="2"/>
    <n v="2.7"/>
    <n v="10"/>
    <x v="10"/>
    <n v="4"/>
    <n v="7"/>
    <n v="6.4"/>
    <n v="8.6"/>
    <n v="41"/>
    <s v="Canada"/>
    <s v="Research Technician"/>
    <n v="3218"/>
    <x v="6"/>
    <n v="6.4"/>
  </r>
  <r>
    <s v="U90648"/>
    <n v="31"/>
    <s v="Male"/>
    <s v="Canada"/>
    <x v="0"/>
    <s v="Bachelor's"/>
    <s v="Content Marketing Manager"/>
    <n v="3238"/>
    <s v="Chat GPT"/>
    <x v="4"/>
    <n v="1.3"/>
    <n v="0"/>
    <x v="4"/>
    <n v="4"/>
    <n v="7"/>
    <n v="2.9"/>
    <n v="7.6"/>
    <n v="31"/>
    <s v="Canada"/>
    <s v="Content Marketing Manager"/>
    <n v="3238"/>
    <x v="0"/>
    <n v="2.9"/>
  </r>
  <r>
    <s v="U90234"/>
    <n v="44"/>
    <s v="Male"/>
    <s v="France"/>
    <x v="0"/>
    <s v="Bachelor's"/>
    <s v="Responsable de Contenu Digital"/>
    <n v="3238"/>
    <s v="Chat GPT"/>
    <x v="4"/>
    <n v="2.2000000000000002"/>
    <n v="0"/>
    <x v="23"/>
    <n v="4"/>
    <n v="8"/>
    <n v="2.8"/>
    <n v="10.7"/>
    <n v="44"/>
    <s v="France"/>
    <s v="Responsable de Contenu Digital"/>
    <n v="3238"/>
    <x v="0"/>
    <n v="2.8"/>
  </r>
  <r>
    <s v="U0114"/>
    <n v="30"/>
    <s v="Female"/>
    <s v="Australia"/>
    <x v="0"/>
    <s v="Bachelor's"/>
    <s v="Software Developer"/>
    <n v="3307"/>
    <s v="Chat GPT"/>
    <x v="0"/>
    <n v="0.8"/>
    <n v="10"/>
    <x v="48"/>
    <n v="4"/>
    <n v="4"/>
    <n v="0.5"/>
    <n v="8"/>
    <n v="30"/>
    <s v="Australia"/>
    <s v="Software Developer"/>
    <n v="3307"/>
    <x v="0"/>
    <n v="0.5"/>
  </r>
  <r>
    <s v="U90048"/>
    <n v="28"/>
    <s v="Male"/>
    <s v="United Kingdom"/>
    <x v="0"/>
    <s v="Bachelor's"/>
    <s v="Data Analyst"/>
    <n v="3327"/>
    <s v="claude"/>
    <x v="6"/>
    <n v="3.9"/>
    <n v="10"/>
    <x v="18"/>
    <n v="3"/>
    <n v="8"/>
    <n v="11.8"/>
    <n v="7.6"/>
    <n v="28"/>
    <s v="United Kingdom"/>
    <s v="Data Analyst"/>
    <n v="3327"/>
    <x v="5"/>
    <n v="11.8"/>
  </r>
  <r>
    <s v="U90034"/>
    <n v="33"/>
    <s v="Female"/>
    <s v="United States"/>
    <x v="0"/>
    <s v="High School"/>
    <s v="Data Entry Specialist"/>
    <n v="3333"/>
    <s v="Unknown"/>
    <x v="6"/>
    <n v="4.8"/>
    <n v="30"/>
    <x v="39"/>
    <n v="3"/>
    <n v="6"/>
    <n v="5.7"/>
    <n v="8.6999999999999993"/>
    <n v="33"/>
    <s v="United States"/>
    <s v="Data Entry Specialist"/>
    <n v="3333"/>
    <x v="7"/>
    <n v="5.7"/>
  </r>
  <r>
    <s v="U0069"/>
    <n v="32"/>
    <s v="Male"/>
    <s v="Canada"/>
    <x v="0"/>
    <s v="Bachelor's"/>
    <s v="Content Marketing Manager"/>
    <n v="3337"/>
    <s v="Chat GPT"/>
    <x v="4"/>
    <n v="1.3"/>
    <n v="0"/>
    <x v="4"/>
    <n v="4"/>
    <n v="7"/>
    <n v="2.9"/>
    <n v="7.6"/>
    <n v="32"/>
    <s v="Canada"/>
    <s v="Content Marketing Manager"/>
    <n v="3337"/>
    <x v="0"/>
    <n v="2.9"/>
  </r>
  <r>
    <s v="U90534"/>
    <n v="26"/>
    <s v="Male"/>
    <s v="United Kingdom"/>
    <x v="0"/>
    <s v="Bachelor's"/>
    <s v="Data Analyst"/>
    <n v="3352"/>
    <s v="claude"/>
    <x v="6"/>
    <n v="3.9"/>
    <n v="10"/>
    <x v="18"/>
    <n v="3"/>
    <n v="8"/>
    <n v="11.8"/>
    <n v="7.6"/>
    <n v="26"/>
    <s v="United Kingdom"/>
    <s v="Data Analyst"/>
    <n v="3352"/>
    <x v="5"/>
    <n v="11.8"/>
  </r>
  <r>
    <s v="U90519"/>
    <n v="37"/>
    <s v="Male"/>
    <s v="United Kingdom"/>
    <x v="0"/>
    <s v="Bachelor's"/>
    <s v="Business Analyst"/>
    <n v="3393"/>
    <s v="Perplexity AI"/>
    <x v="6"/>
    <n v="1.5"/>
    <n v="0"/>
    <x v="7"/>
    <n v="4"/>
    <n v="7"/>
    <n v="1.9"/>
    <n v="8"/>
    <n v="37"/>
    <s v="United Kingdom"/>
    <s v="Business Analyst"/>
    <n v="3393"/>
    <x v="8"/>
    <n v="1.9"/>
  </r>
  <r>
    <s v="U90101"/>
    <n v="23"/>
    <s v="Male"/>
    <s v="Canada"/>
    <x v="0"/>
    <s v="High School"/>
    <s v="Customer Service Representative"/>
    <n v="3422"/>
    <s v="Perplexity AI"/>
    <x v="3"/>
    <n v="1.7"/>
    <n v="0"/>
    <x v="32"/>
    <n v="4"/>
    <n v="7"/>
    <n v="3.4"/>
    <n v="6.7"/>
    <n v="23"/>
    <s v="Canada"/>
    <s v="Customer Service Representative"/>
    <n v="3422"/>
    <x v="8"/>
    <n v="3.4"/>
  </r>
  <r>
    <s v="U90512"/>
    <n v="46"/>
    <s v="Female"/>
    <s v="United Kingdom"/>
    <x v="0"/>
    <s v="Bachelor's"/>
    <s v="Customer Support Manager"/>
    <n v="3446"/>
    <s v="Perplexity AI"/>
    <x v="3"/>
    <n v="1.9"/>
    <n v="0"/>
    <x v="16"/>
    <n v="4"/>
    <n v="7"/>
    <n v="4.0999999999999996"/>
    <n v="8.6"/>
    <n v="46"/>
    <s v="United Kingdom"/>
    <s v="Customer Support Manager"/>
    <n v="3446"/>
    <x v="8"/>
    <n v="4.0999999999999996"/>
  </r>
  <r>
    <s v="U0247"/>
    <m/>
    <s v="Female"/>
    <s v="Australia"/>
    <x v="0"/>
    <s v="Master's"/>
    <s v="Data Analyst / Business Intelligence Specialist"/>
    <n v="3462"/>
    <s v=" Google Gemini"/>
    <x v="6"/>
    <n v="4.5"/>
    <n v="0"/>
    <x v="28"/>
    <n v="4"/>
    <n v="5"/>
    <n v="5.5"/>
    <n v="6.7"/>
    <n v="30.023333333333333"/>
    <s v="Australia"/>
    <s v="Data Analyst / Business Intelligence Specialist"/>
    <n v="3462"/>
    <x v="2"/>
    <n v="5.5"/>
  </r>
  <r>
    <s v="U90140"/>
    <n v="45"/>
    <s v="Female"/>
    <s v="United Kingdom"/>
    <x v="0"/>
    <s v="Bachelor's"/>
    <s v="Customer Support Manager"/>
    <n v="3463"/>
    <s v="Perplexity AI"/>
    <x v="3"/>
    <n v="1.9"/>
    <n v="0"/>
    <x v="16"/>
    <n v="4"/>
    <n v="7"/>
    <n v="4.0999999999999996"/>
    <n v="8.6"/>
    <n v="45"/>
    <s v="United Kingdom"/>
    <s v="Customer Support Manager"/>
    <n v="3463"/>
    <x v="8"/>
    <n v="4.0999999999999996"/>
  </r>
  <r>
    <s v="U90094"/>
    <n v="46"/>
    <s v="Female"/>
    <s v="United Kingdom"/>
    <x v="0"/>
    <s v="Bachelor's"/>
    <s v="Customer Support Manager"/>
    <n v="3468"/>
    <s v="Perplexity AI"/>
    <x v="3"/>
    <n v="1.9"/>
    <n v="0"/>
    <x v="16"/>
    <n v="4"/>
    <n v="7"/>
    <n v="4.0999999999999996"/>
    <n v="8.6"/>
    <n v="46"/>
    <s v="United Kingdom"/>
    <s v="Customer Support Manager"/>
    <n v="3468"/>
    <x v="8"/>
    <n v="4.0999999999999996"/>
  </r>
  <r>
    <s v="U0118"/>
    <n v="44"/>
    <s v="Male"/>
    <s v="France"/>
    <x v="0"/>
    <s v="Bachelor's"/>
    <s v="Responsable de Contenu Digital"/>
    <n v="3477"/>
    <s v="Chat GPT"/>
    <x v="4"/>
    <n v="2.2000000000000002"/>
    <n v="0"/>
    <x v="23"/>
    <n v="4"/>
    <n v="8"/>
    <n v="2.8"/>
    <n v="10.7"/>
    <n v="44"/>
    <s v="France"/>
    <s v="Responsable de Contenu Digital"/>
    <n v="3477"/>
    <x v="0"/>
    <n v="2.8"/>
  </r>
  <r>
    <s v="U90444"/>
    <n v="46"/>
    <s v="Male"/>
    <s v="France"/>
    <x v="0"/>
    <s v="Bachelor's"/>
    <s v="Responsable de Contenu Digital"/>
    <n v="3499"/>
    <s v="Chat GPT"/>
    <x v="4"/>
    <n v="2.2000000000000002"/>
    <n v="0"/>
    <x v="23"/>
    <n v="4"/>
    <n v="8"/>
    <n v="2.8"/>
    <n v="10.7"/>
    <n v="46"/>
    <s v="France"/>
    <s v="Responsable de Contenu Digital"/>
    <n v="3499"/>
    <x v="0"/>
    <n v="2.8"/>
  </r>
  <r>
    <s v="U90287"/>
    <n v="28"/>
    <s v="Male"/>
    <s v="United Kingdom"/>
    <x v="0"/>
    <s v="Bachelor's"/>
    <s v="Data Analyst"/>
    <n v="3501"/>
    <s v="claude"/>
    <x v="6"/>
    <n v="3.9"/>
    <n v="10"/>
    <x v="18"/>
    <n v="3"/>
    <n v="8"/>
    <n v="11.8"/>
    <n v="7.6"/>
    <n v="28"/>
    <s v="United Kingdom"/>
    <s v="Data Analyst"/>
    <n v="3501"/>
    <x v="5"/>
    <n v="11.8"/>
  </r>
  <r>
    <s v="U0283"/>
    <n v="35"/>
    <s v="Male"/>
    <s v="United Kingdom"/>
    <x v="0"/>
    <s v="Bachelor's"/>
    <s v="Business Analyst"/>
    <n v="3513"/>
    <s v="Perplexity AI"/>
    <x v="6"/>
    <n v="1.5"/>
    <n v="0"/>
    <x v="7"/>
    <n v="4"/>
    <n v="7"/>
    <n v="1.9"/>
    <n v="8"/>
    <n v="35"/>
    <s v="United Kingdom"/>
    <s v="Business Analyst"/>
    <n v="3513"/>
    <x v="8"/>
    <n v="1.9"/>
  </r>
  <r>
    <s v="U90124"/>
    <n v="37"/>
    <s v="Male"/>
    <s v="United Kingdom"/>
    <x v="0"/>
    <s v="Bachelor's"/>
    <s v="Business Analyst"/>
    <n v="3514"/>
    <s v="Perplexity AI"/>
    <x v="6"/>
    <n v="1.5"/>
    <n v="0"/>
    <x v="7"/>
    <n v="4"/>
    <n v="7"/>
    <n v="1.9"/>
    <n v="8"/>
    <n v="37"/>
    <s v="United Kingdom"/>
    <s v="Business Analyst"/>
    <n v="3514"/>
    <x v="8"/>
    <n v="1.9"/>
  </r>
  <r>
    <s v="U90637"/>
    <n v="47"/>
    <s v="Female"/>
    <s v="United Kingdom"/>
    <x v="0"/>
    <s v="Bachelor's"/>
    <s v="Customer Support Manager"/>
    <n v="3529"/>
    <s v="Perplexity AI"/>
    <x v="3"/>
    <n v="1.9"/>
    <n v="0"/>
    <x v="16"/>
    <n v="4"/>
    <n v="7"/>
    <n v="4.0999999999999996"/>
    <n v="8.6"/>
    <n v="47"/>
    <s v="United Kingdom"/>
    <s v="Customer Support Manager"/>
    <n v="3529"/>
    <x v="8"/>
    <n v="4.0999999999999996"/>
  </r>
  <r>
    <s v="U90427"/>
    <n v="30"/>
    <s v="Male"/>
    <s v="Canada"/>
    <x v="0"/>
    <s v="Bachelor's"/>
    <s v="Content Marketing Manager"/>
    <n v="3540"/>
    <s v="Chat GPT"/>
    <x v="4"/>
    <n v="1.3"/>
    <n v="0"/>
    <x v="4"/>
    <n v="4"/>
    <n v="7"/>
    <n v="2.9"/>
    <n v="7.6"/>
    <n v="30"/>
    <s v="Canada"/>
    <s v="Content Marketing Manager"/>
    <n v="3540"/>
    <x v="0"/>
    <n v="2.9"/>
  </r>
  <r>
    <s v="U0059"/>
    <n v="22"/>
    <s v="Male"/>
    <s v="Canada"/>
    <x v="0"/>
    <s v="High School"/>
    <s v="Customer Service Representative"/>
    <n v="3546"/>
    <s v="Perplexity AI"/>
    <x v="3"/>
    <n v="1.7"/>
    <n v="0"/>
    <x v="32"/>
    <n v="4"/>
    <n v="7"/>
    <n v="3.4"/>
    <n v="6.7"/>
    <n v="22"/>
    <s v="Canada"/>
    <s v="Customer Service Representative"/>
    <n v="3546"/>
    <x v="8"/>
    <n v="3.4"/>
  </r>
  <r>
    <s v="U90178"/>
    <m/>
    <s v="Male"/>
    <s v="United Kingdom"/>
    <x v="0"/>
    <s v="Bachelor's"/>
    <s v="UNKNOWN"/>
    <n v="3556"/>
    <s v=" Google Gemini"/>
    <x v="4"/>
    <n v="2.5"/>
    <n v="10"/>
    <x v="37"/>
    <n v="5"/>
    <n v="7"/>
    <n v="5.6"/>
    <n v="7.5"/>
    <n v="30.023333333333333"/>
    <s v="United Kingdom"/>
    <s v="UNKNOWN"/>
    <n v="3556"/>
    <x v="2"/>
    <n v="5.6"/>
  </r>
  <r>
    <s v="U90672"/>
    <n v="40"/>
    <s v="Female"/>
    <s v="Canada"/>
    <x v="0"/>
    <s v="Diploma"/>
    <s v="Research Technician"/>
    <n v="3561"/>
    <s v="Meta AI"/>
    <x v="2"/>
    <n v="2.7"/>
    <n v="10"/>
    <x v="10"/>
    <n v="4"/>
    <n v="7"/>
    <n v="6.4"/>
    <n v="8.6"/>
    <n v="40"/>
    <s v="Canada"/>
    <s v="Research Technician"/>
    <n v="3561"/>
    <x v="6"/>
    <n v="6.4"/>
  </r>
  <r>
    <s v="U90678"/>
    <n v="23"/>
    <s v="Male"/>
    <s v="Canada"/>
    <x v="0"/>
    <s v="High School"/>
    <s v="Customer Service Representative"/>
    <n v="3564"/>
    <s v="Perplexity AI"/>
    <x v="3"/>
    <n v="1.7"/>
    <n v="0"/>
    <x v="32"/>
    <n v="4"/>
    <n v="7"/>
    <n v="3.4"/>
    <n v="6.7"/>
    <n v="23"/>
    <s v="Canada"/>
    <s v="Customer Service Representative"/>
    <n v="3564"/>
    <x v="8"/>
    <n v="3.4"/>
  </r>
  <r>
    <s v="U90552"/>
    <m/>
    <s v="Male"/>
    <s v="Canada"/>
    <x v="0"/>
    <s v="High School"/>
    <s v="Junior Web Developer"/>
    <n v="3572"/>
    <s v="Chat GPT"/>
    <x v="0"/>
    <n v="5.7"/>
    <n v="0"/>
    <x v="61"/>
    <n v="2"/>
    <n v="5"/>
    <n v="13"/>
    <n v="6.6"/>
    <n v="30.023333333333333"/>
    <s v="Canada"/>
    <s v="Junior Web Developer"/>
    <n v="3572"/>
    <x v="0"/>
    <n v="13"/>
  </r>
  <r>
    <s v="U0249"/>
    <n v="39"/>
    <s v="Female"/>
    <s v="Canada"/>
    <x v="0"/>
    <s v="Diploma"/>
    <s v="Software Developer"/>
    <n v="3579"/>
    <s v="Microsoft Copilot"/>
    <x v="0"/>
    <n v="4.4000000000000004"/>
    <n v="0"/>
    <x v="44"/>
    <n v="4"/>
    <n v="7"/>
    <n v="5.7"/>
    <n v="8.4"/>
    <n v="39"/>
    <s v="Canada"/>
    <s v="Software Developer"/>
    <n v="3579"/>
    <x v="1"/>
    <n v="5.7"/>
  </r>
  <r>
    <s v="U90157"/>
    <n v="36"/>
    <s v="Female"/>
    <s v="United States"/>
    <x v="0"/>
    <s v="High School"/>
    <s v="Data Entry Specialist"/>
    <n v="3592"/>
    <s v="Unknown"/>
    <x v="6"/>
    <n v="4.8"/>
    <n v="30"/>
    <x v="39"/>
    <n v="3"/>
    <n v="6"/>
    <n v="5.7"/>
    <n v="8.6999999999999993"/>
    <n v="36"/>
    <s v="United States"/>
    <s v="Data Entry Specialist"/>
    <n v="3592"/>
    <x v="7"/>
    <n v="5.7"/>
  </r>
  <r>
    <s v="U90537"/>
    <m/>
    <s v="Male"/>
    <s v="Canada"/>
    <x v="0"/>
    <s v="High School"/>
    <s v="Junior Web Developer"/>
    <n v="3604"/>
    <s v="Chat GPT"/>
    <x v="0"/>
    <n v="5.7"/>
    <n v="0"/>
    <x v="61"/>
    <n v="2"/>
    <n v="5"/>
    <n v="13"/>
    <n v="6.6"/>
    <n v="30.023333333333333"/>
    <s v="Canada"/>
    <s v="Junior Web Developer"/>
    <n v="3604"/>
    <x v="0"/>
    <n v="13"/>
  </r>
  <r>
    <s v="U0255"/>
    <n v="28"/>
    <s v="Male"/>
    <s v="Australia"/>
    <x v="0"/>
    <s v="MA/MSc"/>
    <s v="Senior Software Engineer"/>
    <n v="3610"/>
    <s v=" Google Gemini"/>
    <x v="0"/>
    <n v="4.3"/>
    <n v="0"/>
    <x v="37"/>
    <n v="3"/>
    <n v="7"/>
    <n v="6.7"/>
    <n v="8.1"/>
    <n v="28"/>
    <s v="Australia"/>
    <s v="Senior Software Engineer"/>
    <n v="3610"/>
    <x v="2"/>
    <n v="6.7"/>
  </r>
  <r>
    <s v="U0284"/>
    <n v="27"/>
    <s v="Female"/>
    <s v="Germany"/>
    <x v="0"/>
    <s v="Bachelor's"/>
    <s v="Softwareentwicklerin (Software Developer)"/>
    <n v="3622"/>
    <s v="Chat GPT"/>
    <x v="0"/>
    <n v="4"/>
    <n v="0"/>
    <x v="23"/>
    <n v="4"/>
    <n v="6"/>
    <n v="5.7"/>
    <n v="8.6"/>
    <n v="27"/>
    <s v="Germany"/>
    <s v="Softwareentwicklerin (Software Developer)"/>
    <n v="3622"/>
    <x v="0"/>
    <n v="5.7"/>
  </r>
  <r>
    <s v="U90639"/>
    <n v="40"/>
    <s v="Female"/>
    <s v="United States"/>
    <x v="0"/>
    <s v="Bachelor's"/>
    <s v="Data Analyst"/>
    <n v="3657"/>
    <s v="Chat GPT"/>
    <x v="6"/>
    <n v="2.6"/>
    <n v="0"/>
    <x v="7"/>
    <n v="3"/>
    <n v="6"/>
    <n v="3.6"/>
    <n v="9.1999999999999993"/>
    <n v="40"/>
    <s v="United States"/>
    <s v="Data Analyst"/>
    <n v="3657"/>
    <x v="0"/>
    <n v="3.6"/>
  </r>
  <r>
    <s v="U90372"/>
    <m/>
    <s v="Female"/>
    <s v="Australia"/>
    <x v="0"/>
    <s v="Master's"/>
    <s v="Data Analyst / Business Intelligence Specialist"/>
    <n v="3664"/>
    <s v=" Google Gemini"/>
    <x v="6"/>
    <n v="4.5"/>
    <n v="0"/>
    <x v="28"/>
    <n v="4"/>
    <n v="5"/>
    <n v="5.5"/>
    <n v="6.7"/>
    <n v="30.023333333333333"/>
    <s v="Australia"/>
    <s v="Data Analyst / Business Intelligence Specialist"/>
    <n v="3664"/>
    <x v="2"/>
    <n v="5.5"/>
  </r>
  <r>
    <s v="U90220"/>
    <n v="35"/>
    <s v="Male"/>
    <s v="United Kingdom"/>
    <x v="0"/>
    <s v="Bachelor's"/>
    <s v="Business Analyst"/>
    <n v="3665"/>
    <s v="Perplexity AI"/>
    <x v="6"/>
    <n v="1.5"/>
    <n v="0"/>
    <x v="7"/>
    <n v="4"/>
    <n v="7"/>
    <n v="1.9"/>
    <n v="8"/>
    <n v="35"/>
    <s v="United Kingdom"/>
    <s v="Business Analyst"/>
    <n v="3665"/>
    <x v="8"/>
    <n v="1.9"/>
  </r>
  <r>
    <s v="U90357"/>
    <m/>
    <s v="Female"/>
    <s v="Australia"/>
    <x v="0"/>
    <s v="Master's"/>
    <s v="Data Analyst / Business Intelligence Specialist"/>
    <n v="3669"/>
    <s v=" Google Gemini"/>
    <x v="6"/>
    <n v="4.5"/>
    <n v="0"/>
    <x v="28"/>
    <n v="4"/>
    <n v="5"/>
    <n v="5.5"/>
    <n v="6.7"/>
    <n v="30.023333333333333"/>
    <s v="Australia"/>
    <s v="Data Analyst / Business Intelligence Specialist"/>
    <n v="3669"/>
    <x v="2"/>
    <n v="5.5"/>
  </r>
  <r>
    <s v="U0012"/>
    <n v="23"/>
    <s v="Male"/>
    <s v="France"/>
    <x v="0"/>
    <s v="Bachelor's"/>
    <s v="DeveloperFull Stack Junior"/>
    <n v="3693"/>
    <s v="Microsoft Copilot"/>
    <x v="0"/>
    <n v="5.5"/>
    <n v="20"/>
    <x v="46"/>
    <n v="3"/>
    <n v="7"/>
    <n v="9.3000000000000007"/>
    <n v="6.1"/>
    <n v="23"/>
    <s v="France"/>
    <s v="DeveloperFull Stack Junior"/>
    <n v="3693"/>
    <x v="1"/>
    <n v="9.3000000000000007"/>
  </r>
  <r>
    <s v="U90594"/>
    <m/>
    <s v="Male"/>
    <s v="United Kingdom"/>
    <x v="0"/>
    <s v="Bachelor's"/>
    <s v="UNKNOWN"/>
    <n v="3723"/>
    <s v=" Google Gemini"/>
    <x v="4"/>
    <n v="2.5"/>
    <n v="10"/>
    <x v="37"/>
    <n v="5"/>
    <n v="7"/>
    <n v="5.6"/>
    <n v="7.5"/>
    <n v="30.023333333333333"/>
    <s v="United Kingdom"/>
    <s v="UNKNOWN"/>
    <n v="3723"/>
    <x v="2"/>
    <n v="5.6"/>
  </r>
  <r>
    <s v="U0013"/>
    <m/>
    <s v="Male"/>
    <s v="Canada"/>
    <x v="0"/>
    <s v="High School"/>
    <s v="Junior Web Developer"/>
    <n v="3779"/>
    <s v="Chat GPT"/>
    <x v="0"/>
    <n v="5.7"/>
    <n v="0"/>
    <x v="61"/>
    <n v="2"/>
    <n v="5"/>
    <n v="13"/>
    <n v="6.6"/>
    <n v="30.023333333333333"/>
    <s v="Canada"/>
    <s v="Junior Web Developer"/>
    <n v="3779"/>
    <x v="0"/>
    <n v="13"/>
  </r>
  <r>
    <s v="U0270"/>
    <n v="41"/>
    <s v="Male"/>
    <s v="Germany"/>
    <x v="0"/>
    <s v="Diploma"/>
    <s v="Softwareentwickler (Software Developer)"/>
    <n v="3795"/>
    <s v="Microsoft Copilot"/>
    <x v="0"/>
    <n v="2.9"/>
    <n v="20"/>
    <x v="60"/>
    <n v="4"/>
    <n v="6"/>
    <n v="8.4"/>
    <n v="6.8"/>
    <n v="41"/>
    <s v="Germany"/>
    <s v="Softwareentwickler (Software Developer)"/>
    <n v="3795"/>
    <x v="1"/>
    <n v="8.4"/>
  </r>
  <r>
    <s v="U90466"/>
    <n v="23"/>
    <s v="Female"/>
    <s v="United Kingdom"/>
    <x v="0"/>
    <s v="High School"/>
    <s v="Junior Software Developer"/>
    <n v="3796"/>
    <s v="Microsoft Copilot"/>
    <x v="0"/>
    <n v="2.9"/>
    <n v="25"/>
    <x v="37"/>
    <n v="3"/>
    <n v="6"/>
    <n v="8.3000000000000007"/>
    <n v="7.8"/>
    <n v="23"/>
    <s v="United Kingdom"/>
    <s v="Junior Software Developer"/>
    <n v="3796"/>
    <x v="1"/>
    <n v="8.3000000000000007"/>
  </r>
  <r>
    <s v="U90657"/>
    <n v="55"/>
    <s v="Male"/>
    <s v="France"/>
    <x v="0"/>
    <s v="Bachelor's"/>
    <s v="DeveloperLogiciel (Software Developer)"/>
    <n v="3827"/>
    <s v="Perplexity AI"/>
    <x v="0"/>
    <n v="1.4"/>
    <n v="0"/>
    <x v="40"/>
    <n v="3"/>
    <n v="3"/>
    <n v="2.5"/>
    <n v="9.5"/>
    <n v="55"/>
    <s v="France"/>
    <s v="DeveloperLogiciel (Software Developer)"/>
    <n v="3827"/>
    <x v="8"/>
    <n v="2.5"/>
  </r>
  <r>
    <s v="U90697"/>
    <n v="33"/>
    <s v="Male"/>
    <s v="United Kingdom"/>
    <x v="0"/>
    <s v="Bachelor's"/>
    <s v="Business Analyst"/>
    <n v="3864"/>
    <s v="Perplexity AI"/>
    <x v="6"/>
    <n v="1.5"/>
    <n v="0"/>
    <x v="7"/>
    <n v="4"/>
    <n v="7"/>
    <n v="1.9"/>
    <n v="8"/>
    <n v="33"/>
    <s v="United Kingdom"/>
    <s v="Business Analyst"/>
    <n v="3864"/>
    <x v="8"/>
    <n v="1.9"/>
  </r>
  <r>
    <s v="U90176"/>
    <n v="42"/>
    <s v="Male"/>
    <s v="France"/>
    <x v="0"/>
    <s v="Bachelor's"/>
    <s v="Responsable de Contenu Digital"/>
    <n v="3872"/>
    <s v="Chat GPT"/>
    <x v="4"/>
    <n v="2.2000000000000002"/>
    <n v="0"/>
    <x v="23"/>
    <n v="4"/>
    <n v="8"/>
    <n v="2.8"/>
    <n v="10.7"/>
    <n v="42"/>
    <s v="France"/>
    <s v="Responsable de Contenu Digital"/>
    <n v="3872"/>
    <x v="0"/>
    <n v="2.8"/>
  </r>
  <r>
    <s v="U0171"/>
    <n v="34"/>
    <s v="Female"/>
    <s v="United States"/>
    <x v="0"/>
    <s v="High School"/>
    <s v="Data Entry Specialist"/>
    <n v="3878"/>
    <s v="Unknown"/>
    <x v="6"/>
    <n v="4.8"/>
    <n v="30"/>
    <x v="39"/>
    <n v="3"/>
    <n v="6"/>
    <n v="5.7"/>
    <n v="8.6999999999999993"/>
    <n v="34"/>
    <s v="United States"/>
    <s v="Data Entry Specialist"/>
    <n v="3878"/>
    <x v="7"/>
    <n v="5.7"/>
  </r>
  <r>
    <s v="U90487"/>
    <n v="26"/>
    <s v="Female"/>
    <s v="United Kingdom"/>
    <x v="0"/>
    <s v="Master's"/>
    <s v="Content Strategist"/>
    <n v="3916"/>
    <s v="Chat GPT"/>
    <x v="5"/>
    <n v="0.8"/>
    <n v="0"/>
    <x v="43"/>
    <n v="4"/>
    <n v="6"/>
    <n v="4.3"/>
    <n v="9"/>
    <n v="26"/>
    <s v="United Kingdom"/>
    <s v="Content Strategist"/>
    <n v="3916"/>
    <x v="0"/>
    <n v="4.3"/>
  </r>
  <r>
    <s v="U90676"/>
    <n v="55"/>
    <s v="Male"/>
    <s v="France"/>
    <x v="0"/>
    <s v="Bachelor's"/>
    <s v="DeveloperLogiciel (Software Developer)"/>
    <n v="3931"/>
    <s v="Perplexity AI"/>
    <x v="0"/>
    <n v="1.4"/>
    <n v="0"/>
    <x v="40"/>
    <n v="3"/>
    <n v="3"/>
    <n v="2.5"/>
    <n v="9.5"/>
    <n v="55"/>
    <s v="France"/>
    <s v="DeveloperLogiciel (Software Developer)"/>
    <n v="3931"/>
    <x v="8"/>
    <n v="2.5"/>
  </r>
  <r>
    <s v="U0019"/>
    <n v="53"/>
    <s v="Male"/>
    <s v="France"/>
    <x v="0"/>
    <s v="Bachelor's"/>
    <s v="DeveloperLogiciel (Software Developer)"/>
    <n v="3944"/>
    <s v="Perplexity AI"/>
    <x v="0"/>
    <n v="1.4"/>
    <n v="0"/>
    <x v="40"/>
    <n v="3"/>
    <n v="3"/>
    <n v="2.5"/>
    <n v="9.5"/>
    <n v="53"/>
    <s v="France"/>
    <s v="DeveloperLogiciel (Software Developer)"/>
    <n v="3944"/>
    <x v="8"/>
    <n v="2.5"/>
  </r>
  <r>
    <s v="U90110"/>
    <n v="39"/>
    <s v="Male"/>
    <s v="Germany"/>
    <x v="0"/>
    <s v="Diploma"/>
    <s v="Softwareentwickler (Software Developer)"/>
    <n v="3953"/>
    <s v="Microsoft Copilot"/>
    <x v="0"/>
    <n v="2.9"/>
    <n v="20"/>
    <x v="60"/>
    <n v="4"/>
    <n v="6"/>
    <n v="8.4"/>
    <n v="6.8"/>
    <n v="39"/>
    <s v="Germany"/>
    <s v="Softwareentwickler (Software Developer)"/>
    <n v="3953"/>
    <x v="1"/>
    <n v="8.4"/>
  </r>
  <r>
    <s v="U90454"/>
    <n v="34"/>
    <s v="Male"/>
    <s v="France"/>
    <x v="0"/>
    <s v="Bachelor's"/>
    <s v="DeveloperFull Stack"/>
    <n v="3959"/>
    <s v="Chat GPT"/>
    <x v="0"/>
    <n v="1.2"/>
    <n v="20"/>
    <x v="54"/>
    <n v="2"/>
    <n v="5"/>
    <n v="6.6"/>
    <n v="6.4"/>
    <n v="34"/>
    <s v="France"/>
    <s v="DeveloperFull Stack"/>
    <n v="3959"/>
    <x v="0"/>
    <n v="6.6"/>
  </r>
  <r>
    <s v="U90548"/>
    <n v="53"/>
    <s v="Male"/>
    <s v="United States"/>
    <x v="0"/>
    <s v="Bachelor's"/>
    <s v="Business Analyst"/>
    <n v="3965"/>
    <s v="claude"/>
    <x v="8"/>
    <n v="2.7"/>
    <n v="20"/>
    <x v="33"/>
    <n v="4"/>
    <n v="7"/>
    <m/>
    <n v="10.7"/>
    <n v="53"/>
    <s v="United States"/>
    <s v="Business Analyst"/>
    <n v="3965"/>
    <x v="5"/>
    <n v="5.8880829015544043"/>
  </r>
  <r>
    <s v="U90337"/>
    <n v="42"/>
    <s v="Male"/>
    <s v="Germany"/>
    <x v="0"/>
    <s v="Diploma"/>
    <s v="Softwareentwickler (Software Developer)"/>
    <n v="3977"/>
    <s v="Microsoft Copilot"/>
    <x v="0"/>
    <n v="2.9"/>
    <n v="20"/>
    <x v="60"/>
    <n v="4"/>
    <n v="6"/>
    <n v="8.4"/>
    <n v="6.8"/>
    <n v="42"/>
    <s v="Germany"/>
    <s v="Softwareentwickler (Software Developer)"/>
    <n v="3977"/>
    <x v="1"/>
    <n v="8.4"/>
  </r>
  <r>
    <s v="U90017"/>
    <n v="27"/>
    <s v="Female"/>
    <s v="United Kingdom"/>
    <x v="0"/>
    <s v="Master's"/>
    <s v="Content Strategist"/>
    <n v="3992"/>
    <s v="Chat GPT"/>
    <x v="5"/>
    <n v="0.8"/>
    <n v="0"/>
    <x v="43"/>
    <n v="4"/>
    <n v="6"/>
    <n v="4.3"/>
    <n v="9"/>
    <n v="27"/>
    <s v="United Kingdom"/>
    <s v="Content Strategist"/>
    <n v="3992"/>
    <x v="0"/>
    <n v="4.3"/>
  </r>
  <r>
    <s v="U90136"/>
    <n v="24"/>
    <s v="Female"/>
    <s v="United Kingdom"/>
    <x v="0"/>
    <s v="High School"/>
    <s v="Junior Software Developer"/>
    <n v="3997"/>
    <s v="Microsoft Copilot"/>
    <x v="0"/>
    <n v="2.9"/>
    <n v="25"/>
    <x v="37"/>
    <n v="3"/>
    <n v="6"/>
    <n v="8.3000000000000007"/>
    <n v="7.8"/>
    <n v="24"/>
    <s v="United Kingdom"/>
    <s v="Junior Software Developer"/>
    <n v="3997"/>
    <x v="1"/>
    <n v="8.3000000000000007"/>
  </r>
  <r>
    <s v="U0021"/>
    <n v="24"/>
    <s v="Female"/>
    <s v="United Kingdom"/>
    <x v="0"/>
    <s v="High School"/>
    <s v="Junior Software Developer"/>
    <n v="4006"/>
    <s v="Microsoft Copilot"/>
    <x v="0"/>
    <n v="2.9"/>
    <n v="25"/>
    <x v="37"/>
    <n v="3"/>
    <n v="6"/>
    <n v="8.3000000000000007"/>
    <n v="7.8"/>
    <n v="24"/>
    <s v="United Kingdom"/>
    <s v="Junior Software Developer"/>
    <n v="4006"/>
    <x v="1"/>
    <n v="8.3000000000000007"/>
  </r>
  <r>
    <s v="U90544"/>
    <n v="21"/>
    <s v="Male"/>
    <s v="Canada"/>
    <x v="0"/>
    <s v="High School"/>
    <s v="Customer Service Representative"/>
    <n v="4009"/>
    <s v="Perplexity AI"/>
    <x v="3"/>
    <n v="1.7"/>
    <n v="0"/>
    <x v="32"/>
    <n v="4"/>
    <n v="7"/>
    <n v="3.4"/>
    <n v="6.7"/>
    <n v="21"/>
    <s v="Canada"/>
    <s v="Customer Service Representative"/>
    <n v="4009"/>
    <x v="8"/>
    <n v="3.4"/>
  </r>
  <r>
    <s v="U90088"/>
    <n v="24"/>
    <s v="Male"/>
    <s v="France"/>
    <x v="0"/>
    <s v="Bachelor's"/>
    <s v="DeveloperFull Stack Junior"/>
    <n v="4043"/>
    <s v="Microsoft Copilot"/>
    <x v="0"/>
    <n v="5.5"/>
    <n v="20"/>
    <x v="46"/>
    <n v="3"/>
    <n v="7"/>
    <n v="9.3000000000000007"/>
    <n v="6.1"/>
    <n v="24"/>
    <s v="France"/>
    <s v="DeveloperFull Stack Junior"/>
    <n v="4043"/>
    <x v="1"/>
    <n v="9.3000000000000007"/>
  </r>
  <r>
    <s v="U90026"/>
    <n v="32"/>
    <s v="Female"/>
    <s v="United States"/>
    <x v="0"/>
    <s v="High School"/>
    <s v="Data Entry Specialist"/>
    <n v="4049"/>
    <s v="Unknown"/>
    <x v="6"/>
    <n v="4.8"/>
    <n v="30"/>
    <x v="39"/>
    <n v="3"/>
    <n v="6"/>
    <n v="5.7"/>
    <n v="8.6999999999999993"/>
    <n v="32"/>
    <s v="United States"/>
    <s v="Data Entry Specialist"/>
    <n v="4049"/>
    <x v="7"/>
    <n v="5.7"/>
  </r>
  <r>
    <s v="U0115"/>
    <n v="55"/>
    <s v="Male"/>
    <s v="United States"/>
    <x v="0"/>
    <s v="Bachelor's"/>
    <s v="Business Analyst"/>
    <n v="4070"/>
    <s v="claude"/>
    <x v="8"/>
    <n v="2.7"/>
    <n v="20"/>
    <x v="33"/>
    <n v="4"/>
    <n v="7"/>
    <m/>
    <n v="10.7"/>
    <n v="55"/>
    <s v="United States"/>
    <s v="Business Analyst"/>
    <n v="4070"/>
    <x v="5"/>
    <n v="5.8880829015544043"/>
  </r>
  <r>
    <s v="U90695"/>
    <n v="28"/>
    <s v="Female"/>
    <s v="United Kingdom"/>
    <x v="0"/>
    <s v="Master's"/>
    <s v="Content Strategist"/>
    <n v="4087"/>
    <s v="Chat GPT"/>
    <x v="5"/>
    <n v="0.8"/>
    <n v="0"/>
    <x v="43"/>
    <n v="4"/>
    <n v="6"/>
    <n v="4.3"/>
    <n v="9"/>
    <n v="28"/>
    <s v="United Kingdom"/>
    <s v="Content Strategist"/>
    <n v="4087"/>
    <x v="0"/>
    <n v="4.3"/>
  </r>
  <r>
    <s v="U90458"/>
    <n v="31"/>
    <s v="Male"/>
    <s v="France"/>
    <x v="0"/>
    <s v="Bachelor's"/>
    <s v="DeveloperFull Stack"/>
    <n v="4094"/>
    <s v="Chat GPT"/>
    <x v="0"/>
    <n v="1.2"/>
    <n v="20"/>
    <x v="54"/>
    <n v="2"/>
    <n v="5"/>
    <n v="6.6"/>
    <n v="6.4"/>
    <n v="31"/>
    <s v="France"/>
    <s v="DeveloperFull Stack"/>
    <n v="4094"/>
    <x v="0"/>
    <n v="6.6"/>
  </r>
  <r>
    <s v="U0040"/>
    <m/>
    <s v="Male"/>
    <s v="United Kingdom"/>
    <x v="0"/>
    <s v="Bachelor's"/>
    <s v="UNKNOWN"/>
    <n v="4102"/>
    <s v=" Google Gemini"/>
    <x v="4"/>
    <n v="2.5"/>
    <n v="10"/>
    <x v="37"/>
    <n v="5"/>
    <n v="7"/>
    <n v="5.6"/>
    <n v="7.5"/>
    <n v="30.023333333333333"/>
    <s v="United Kingdom"/>
    <s v="UNKNOWN"/>
    <n v="4102"/>
    <x v="2"/>
    <n v="5.6"/>
  </r>
  <r>
    <s v="U90146"/>
    <n v="39"/>
    <s v="Male"/>
    <s v="Germany"/>
    <x v="0"/>
    <s v="Diploma"/>
    <s v="Software Developer"/>
    <n v="4104"/>
    <s v="Microsoft Copilot"/>
    <x v="0"/>
    <n v="2.9"/>
    <n v="20"/>
    <x v="60"/>
    <n v="4"/>
    <n v="6"/>
    <n v="8.4"/>
    <n v="6.8"/>
    <n v="39"/>
    <s v="Germany"/>
    <s v="Software Developer"/>
    <n v="4104"/>
    <x v="1"/>
    <n v="8.4"/>
  </r>
  <r>
    <s v="U90443"/>
    <n v="53"/>
    <s v="Male"/>
    <s v="United States"/>
    <x v="0"/>
    <s v="Bachelor's"/>
    <s v="Business Analyst"/>
    <n v="4139"/>
    <s v="claude"/>
    <x v="8"/>
    <n v="2.7"/>
    <n v="20"/>
    <x v="33"/>
    <n v="4"/>
    <n v="7"/>
    <m/>
    <n v="10.7"/>
    <n v="53"/>
    <s v="United States"/>
    <s v="Business Analyst"/>
    <n v="4139"/>
    <x v="5"/>
    <n v="5.8880829015544043"/>
  </r>
  <r>
    <s v="U90107"/>
    <n v="26"/>
    <s v="Female"/>
    <s v="United Kingdom"/>
    <x v="0"/>
    <s v="Master's"/>
    <s v="Content Strategist"/>
    <n v="4142"/>
    <s v="Chat GPT"/>
    <x v="5"/>
    <n v="0.8"/>
    <n v="0"/>
    <x v="43"/>
    <n v="4"/>
    <n v="6"/>
    <n v="4.3"/>
    <n v="9"/>
    <n v="26"/>
    <s v="United Kingdom"/>
    <s v="Content Strategist"/>
    <n v="4142"/>
    <x v="0"/>
    <n v="4.3"/>
  </r>
  <r>
    <s v="U0145"/>
    <n v="27"/>
    <s v="Female"/>
    <s v="United Kingdom"/>
    <x v="0"/>
    <s v="Master's"/>
    <s v="Content Strategist"/>
    <n v="4186"/>
    <s v="Chat GPT"/>
    <x v="5"/>
    <n v="0.8"/>
    <n v="0"/>
    <x v="43"/>
    <n v="4"/>
    <n v="6"/>
    <n v="4.3"/>
    <n v="9"/>
    <n v="27"/>
    <s v="United Kingdom"/>
    <s v="Content Strategist"/>
    <n v="4186"/>
    <x v="0"/>
    <n v="4.3"/>
  </r>
  <r>
    <s v="U90263"/>
    <n v="33"/>
    <s v="Male"/>
    <s v="Germany"/>
    <x v="0"/>
    <s v="High School"/>
    <s v="Data Analyst"/>
    <n v="4221"/>
    <s v="claude"/>
    <x v="6"/>
    <n v="1.3"/>
    <n v="20"/>
    <x v="71"/>
    <n v="4"/>
    <n v="4"/>
    <n v="0.5"/>
    <n v="6.2"/>
    <n v="33"/>
    <s v="Germany"/>
    <s v="Data Analyst"/>
    <n v="4221"/>
    <x v="5"/>
    <n v="0.5"/>
  </r>
  <r>
    <s v="U90667"/>
    <n v="33"/>
    <s v="Female"/>
    <s v="Canada"/>
    <x v="0"/>
    <s v="PhD"/>
    <s v="Senior Data Scientist"/>
    <n v="4242"/>
    <s v="Microsoft Copilot"/>
    <x v="6"/>
    <n v="4.9000000000000004"/>
    <n v="20"/>
    <x v="18"/>
    <n v="4"/>
    <n v="8"/>
    <n v="10.7"/>
    <n v="12.4"/>
    <n v="33"/>
    <s v="Canada"/>
    <s v="Senior Data Scientist"/>
    <n v="4242"/>
    <x v="1"/>
    <n v="10.7"/>
  </r>
  <r>
    <s v="U90493"/>
    <n v="29"/>
    <s v="Female"/>
    <s v="Canada"/>
    <x v="0"/>
    <s v="PhD"/>
    <s v="Senior Data Scientist"/>
    <n v="4301"/>
    <s v="Microsoft Copilot"/>
    <x v="6"/>
    <n v="4.9000000000000004"/>
    <n v="20"/>
    <x v="18"/>
    <n v="4"/>
    <n v="8"/>
    <n v="10.7"/>
    <n v="12.4"/>
    <n v="29"/>
    <s v="Canada"/>
    <s v="Senior Data Scientist"/>
    <n v="4301"/>
    <x v="1"/>
    <n v="10.7"/>
  </r>
  <r>
    <s v="U90540"/>
    <n v="53"/>
    <s v="Male"/>
    <s v="United States"/>
    <x v="0"/>
    <s v="Bachelor's"/>
    <s v="Business Analyst"/>
    <n v="4305"/>
    <s v="claude"/>
    <x v="8"/>
    <n v="2.7"/>
    <n v="20"/>
    <x v="33"/>
    <n v="4"/>
    <n v="7"/>
    <m/>
    <n v="10.7"/>
    <n v="53"/>
    <s v="United States"/>
    <s v="Business Analyst"/>
    <n v="4305"/>
    <x v="5"/>
    <n v="5.8880829015544043"/>
  </r>
  <r>
    <s v="U90363"/>
    <n v="57"/>
    <s v="Male"/>
    <s v="United States"/>
    <x v="0"/>
    <s v="Bachelor's"/>
    <s v="Business Analyst"/>
    <n v="4309"/>
    <s v="claude"/>
    <x v="8"/>
    <n v="2.7"/>
    <n v="20"/>
    <x v="33"/>
    <n v="4"/>
    <n v="7"/>
    <m/>
    <n v="10.7"/>
    <n v="57"/>
    <s v="United States"/>
    <s v="Business Analyst"/>
    <n v="4309"/>
    <x v="5"/>
    <n v="5.8880829015544043"/>
  </r>
  <r>
    <s v="U90626"/>
    <n v="32"/>
    <s v="Male"/>
    <s v="France"/>
    <x v="0"/>
    <s v="Bachelor's"/>
    <s v="DeveloperFull Stack"/>
    <n v="4331"/>
    <s v="Chat GPT"/>
    <x v="0"/>
    <n v="1.2"/>
    <n v="20"/>
    <x v="54"/>
    <n v="2"/>
    <n v="5"/>
    <n v="6.6"/>
    <n v="6.4"/>
    <n v="32"/>
    <s v="France"/>
    <s v="DeveloperFull Stack"/>
    <n v="4331"/>
    <x v="0"/>
    <n v="6.6"/>
  </r>
  <r>
    <s v="U90510"/>
    <n v="54"/>
    <s v="Male"/>
    <s v="United States"/>
    <x v="0"/>
    <s v="Bachelor's"/>
    <s v="Business Analyst"/>
    <n v="4432"/>
    <s v="claude"/>
    <x v="8"/>
    <n v="2.7"/>
    <n v="20"/>
    <x v="33"/>
    <n v="4"/>
    <n v="7"/>
    <m/>
    <n v="10.7"/>
    <n v="54"/>
    <s v="United States"/>
    <s v="Business Analyst"/>
    <n v="4432"/>
    <x v="5"/>
    <n v="5.8880829015544043"/>
  </r>
  <r>
    <s v="U0246"/>
    <n v="32"/>
    <s v="Male"/>
    <s v="France"/>
    <x v="0"/>
    <s v="Bachelor's"/>
    <s v="DeveloperFull Stack"/>
    <n v="4466"/>
    <s v="Chat GPT"/>
    <x v="0"/>
    <n v="1.2"/>
    <n v="20"/>
    <x v="54"/>
    <n v="2"/>
    <n v="5"/>
    <n v="6.6"/>
    <n v="6.4"/>
    <n v="32"/>
    <s v="France"/>
    <s v="DeveloperFull Stack"/>
    <n v="4466"/>
    <x v="0"/>
    <n v="6.6"/>
  </r>
  <r>
    <s v="U90354"/>
    <n v="53"/>
    <s v="Male"/>
    <s v="United States"/>
    <x v="0"/>
    <s v="Bachelor's"/>
    <s v="Business Analyst"/>
    <n v="4483"/>
    <s v="claude"/>
    <x v="8"/>
    <n v="2.7"/>
    <n v="20"/>
    <x v="33"/>
    <n v="4"/>
    <n v="7"/>
    <m/>
    <n v="10.7"/>
    <n v="53"/>
    <s v="United States"/>
    <s v="Business Analyst"/>
    <n v="4483"/>
    <x v="5"/>
    <n v="5.8880829015544043"/>
  </r>
  <r>
    <s v="U0058"/>
    <n v="32"/>
    <s v="Male"/>
    <s v="Germany"/>
    <x v="0"/>
    <s v="High School"/>
    <s v="Data Analyst"/>
    <n v="4499"/>
    <s v="claude"/>
    <x v="6"/>
    <n v="1.3"/>
    <n v="20"/>
    <x v="71"/>
    <n v="4"/>
    <n v="4"/>
    <n v="0.5"/>
    <n v="6.2"/>
    <n v="32"/>
    <s v="Germany"/>
    <s v="Data Analyst"/>
    <n v="4499"/>
    <x v="5"/>
    <n v="0.5"/>
  </r>
  <r>
    <s v="U90043"/>
    <n v="33"/>
    <s v="Female"/>
    <s v="Canada"/>
    <x v="0"/>
    <s v="PhD"/>
    <s v="Senior Data Scientist"/>
    <n v="4515"/>
    <s v="Microsoft Copilot"/>
    <x v="6"/>
    <n v="4.9000000000000004"/>
    <n v="20"/>
    <x v="18"/>
    <n v="4"/>
    <n v="8"/>
    <n v="10.7"/>
    <n v="12.4"/>
    <n v="33"/>
    <s v="Canada"/>
    <s v="Senior Data Scientist"/>
    <n v="4515"/>
    <x v="1"/>
    <n v="10.7"/>
  </r>
  <r>
    <s v="U90470"/>
    <n v="30"/>
    <s v="Male"/>
    <s v="United States"/>
    <x v="0"/>
    <s v="Bachelor's"/>
    <s v="Content Writer"/>
    <n v="4591"/>
    <s v="Chat GPT"/>
    <x v="5"/>
    <n v="1.6"/>
    <n v="0"/>
    <x v="43"/>
    <n v="4"/>
    <n v="5"/>
    <n v="5.2"/>
    <n v="6.7"/>
    <n v="30"/>
    <s v="United States"/>
    <s v="Content Writer"/>
    <n v="4591"/>
    <x v="0"/>
    <n v="5.2"/>
  </r>
  <r>
    <s v="U90000"/>
    <n v="28"/>
    <s v="Male"/>
    <s v="United Kingdom"/>
    <x v="0"/>
    <s v="Master's"/>
    <s v="Business Analyst"/>
    <n v="4649"/>
    <s v="Chat GPT"/>
    <x v="8"/>
    <n v="2"/>
    <n v="0"/>
    <x v="64"/>
    <n v="4"/>
    <n v="7"/>
    <n v="3.9"/>
    <n v="7.3"/>
    <n v="28"/>
    <s v="United Kingdom"/>
    <s v="Business Analyst"/>
    <n v="4649"/>
    <x v="0"/>
    <n v="3.9"/>
  </r>
  <r>
    <s v="U90448"/>
    <n v="33"/>
    <s v="Male"/>
    <s v="France"/>
    <x v="0"/>
    <s v="Bachelor's"/>
    <s v="DeveloperFull Stack"/>
    <n v="4705"/>
    <s v="Chat GPT"/>
    <x v="0"/>
    <n v="1.2"/>
    <n v="20"/>
    <x v="54"/>
    <n v="2"/>
    <n v="5"/>
    <n v="6.6"/>
    <n v="6.4"/>
    <n v="33"/>
    <s v="France"/>
    <s v="DeveloperFull Stack"/>
    <n v="4705"/>
    <x v="0"/>
    <n v="6.6"/>
  </r>
  <r>
    <s v="U90359"/>
    <n v="30"/>
    <s v="Male"/>
    <s v="United States"/>
    <x v="0"/>
    <s v="Bachelor's"/>
    <s v="Content Writer"/>
    <n v="4728"/>
    <s v="Chat GPT"/>
    <x v="5"/>
    <n v="1.6"/>
    <n v="0"/>
    <x v="43"/>
    <n v="4"/>
    <n v="5"/>
    <n v="5.2"/>
    <n v="6.7"/>
    <n v="30"/>
    <s v="United States"/>
    <s v="Content Writer"/>
    <n v="4728"/>
    <x v="0"/>
    <n v="5.2"/>
  </r>
  <r>
    <s v="U90371"/>
    <n v="30"/>
    <s v="Female"/>
    <s v="Canada"/>
    <x v="0"/>
    <s v="PhD"/>
    <s v="Senior Data Scientist"/>
    <n v="4768"/>
    <s v="Microsoft Copilot"/>
    <x v="6"/>
    <n v="4.9000000000000004"/>
    <n v="20"/>
    <x v="18"/>
    <n v="4"/>
    <n v="8"/>
    <n v="10.7"/>
    <n v="12.4"/>
    <n v="30"/>
    <s v="Canada"/>
    <s v="Senior Data Scientist"/>
    <n v="4768"/>
    <x v="1"/>
    <n v="10.7"/>
  </r>
  <r>
    <s v="U0083"/>
    <n v="31"/>
    <s v="Female"/>
    <s v="Canada"/>
    <x v="0"/>
    <s v="PhD"/>
    <s v="Senior Data Scientist"/>
    <n v="4815"/>
    <s v="Microsoft Copilot"/>
    <x v="6"/>
    <n v="4.9000000000000004"/>
    <n v="20"/>
    <x v="18"/>
    <n v="4"/>
    <n v="8"/>
    <n v="10.7"/>
    <n v="12.4"/>
    <n v="31"/>
    <s v="Canada"/>
    <s v="Senior Data Scientist"/>
    <n v="4815"/>
    <x v="1"/>
    <n v="10.7"/>
  </r>
  <r>
    <s v="U90638"/>
    <n v="47"/>
    <s v="Female"/>
    <s v="United Kingdom"/>
    <x v="0"/>
    <s v="Bachelor's"/>
    <s v="Customer Support Manager"/>
    <n v="4842"/>
    <s v="Chat GPT"/>
    <x v="3"/>
    <n v="0.9"/>
    <n v="25"/>
    <x v="34"/>
    <n v="5"/>
    <n v="6"/>
    <n v="3.9"/>
    <n v="5.9"/>
    <n v="47"/>
    <s v="United Kingdom"/>
    <s v="Customer Support Manager"/>
    <n v="4842"/>
    <x v="0"/>
    <n v="3.9"/>
  </r>
  <r>
    <s v="U90033"/>
    <n v="36"/>
    <s v="Female"/>
    <s v="United States"/>
    <x v="0"/>
    <s v="Master's"/>
    <s v="Content Strategy Manager"/>
    <n v="4935"/>
    <s v="Chat GPT"/>
    <x v="5"/>
    <n v="8"/>
    <n v="0"/>
    <x v="44"/>
    <n v="2"/>
    <n v="7"/>
    <n v="16.3"/>
    <n v="7.4"/>
    <n v="36"/>
    <s v="United States"/>
    <s v="Content Strategy Manager"/>
    <n v="4935"/>
    <x v="0"/>
    <n v="16.3"/>
  </r>
  <r>
    <s v="U90653"/>
    <n v="30"/>
    <s v="Male"/>
    <s v="Australia"/>
    <x v="0"/>
    <s v="Bachelor's"/>
    <s v="Customer Support Specialist"/>
    <n v="4940"/>
    <s v=" Google Gemini"/>
    <x v="3"/>
    <n v="4.5999999999999996"/>
    <n v="0"/>
    <x v="30"/>
    <n v="2"/>
    <n v="6"/>
    <n v="11.5"/>
    <n v="8.6999999999999993"/>
    <n v="30"/>
    <s v="Australia"/>
    <s v="Customer Support Specialist"/>
    <n v="4940"/>
    <x v="2"/>
    <n v="11.5"/>
  </r>
  <r>
    <s v="U0181"/>
    <n v="63"/>
    <s v="Female"/>
    <s v="Germany"/>
    <x v="0"/>
    <s v="Bachelor's"/>
    <s v="Content Manager"/>
    <n v="4964"/>
    <s v="Google Gemini"/>
    <x v="4"/>
    <n v="0.7"/>
    <n v="20"/>
    <x v="3"/>
    <n v="4"/>
    <n v="8"/>
    <n v="3.6"/>
    <n v="7.3"/>
    <n v="63"/>
    <s v="Germany"/>
    <s v="Content Manager"/>
    <n v="4964"/>
    <x v="2"/>
    <n v="3.6"/>
  </r>
  <r>
    <s v="U0190"/>
    <n v="31"/>
    <s v="Male"/>
    <s v="Germany"/>
    <x v="0"/>
    <s v="Bachelor's"/>
    <s v="Content Manager"/>
    <m/>
    <s v="Microsoft Copilot"/>
    <x v="4"/>
    <n v="3.4"/>
    <n v="0"/>
    <x v="10"/>
    <n v="2"/>
    <n v="5"/>
    <n v="6"/>
    <n v="7.5"/>
    <n v="31"/>
    <s v="Germany"/>
    <s v="Content Manager"/>
    <n v="4964"/>
    <x v="1"/>
    <n v="6"/>
  </r>
  <r>
    <s v="U90133"/>
    <n v="32"/>
    <s v="Male"/>
    <s v="Germany"/>
    <x v="0"/>
    <s v="Bachelor's"/>
    <s v="Content Manager"/>
    <m/>
    <s v="Microsoft Copilot"/>
    <x v="4"/>
    <n v="3.4"/>
    <n v="0"/>
    <x v="10"/>
    <n v="2"/>
    <n v="5"/>
    <n v="6"/>
    <n v="7.5"/>
    <n v="32"/>
    <s v="Germany"/>
    <s v="Content Manager"/>
    <n v="4964"/>
    <x v="1"/>
    <n v="6"/>
  </r>
  <r>
    <s v="U90609"/>
    <n v="30"/>
    <s v="Male"/>
    <s v="Germany"/>
    <x v="0"/>
    <s v="Bachelor's"/>
    <s v="Content Manager"/>
    <m/>
    <s v="Microsoft Copilot"/>
    <x v="4"/>
    <n v="3.4"/>
    <n v="0"/>
    <x v="10"/>
    <n v="2"/>
    <n v="5"/>
    <n v="6"/>
    <n v="7.5"/>
    <n v="30"/>
    <s v="Germany"/>
    <s v="Content Manager"/>
    <n v="4964"/>
    <x v="1"/>
    <n v="6"/>
  </r>
  <r>
    <s v="U90636"/>
    <n v="30"/>
    <s v="Male"/>
    <s v="Germany"/>
    <x v="0"/>
    <s v="High School"/>
    <s v="Data Analyst"/>
    <n v="5079"/>
    <s v="claude"/>
    <x v="6"/>
    <n v="1.3"/>
    <n v="20"/>
    <x v="71"/>
    <n v="4"/>
    <n v="4"/>
    <n v="0.5"/>
    <n v="6.2"/>
    <n v="30"/>
    <s v="Germany"/>
    <s v="Data Analyst"/>
    <n v="5079"/>
    <x v="5"/>
    <n v="0.5"/>
  </r>
  <r>
    <s v="U90170"/>
    <n v="23"/>
    <s v="Female"/>
    <s v="UNKNOWN"/>
    <x v="0"/>
    <s v="Bachelor's"/>
    <s v="Customer Support Specialist"/>
    <n v="5098"/>
    <s v="Perplexity AI"/>
    <x v="3"/>
    <n v="1.2"/>
    <n v="0"/>
    <x v="67"/>
    <n v="4"/>
    <n v="8"/>
    <n v="0.4"/>
    <n v="8.8000000000000007"/>
    <n v="23"/>
    <s v="Unknown"/>
    <s v="Customer Support Specialist"/>
    <n v="5098"/>
    <x v="8"/>
    <n v="0.4"/>
  </r>
  <r>
    <s v="U90339"/>
    <n v="30"/>
    <s v="Male"/>
    <s v="Australia"/>
    <x v="0"/>
    <s v="Bachelor's"/>
    <s v="Customer Support Specialist"/>
    <n v="5139"/>
    <s v=" Google Gemini"/>
    <x v="3"/>
    <n v="4.5999999999999996"/>
    <n v="0"/>
    <x v="30"/>
    <n v="2"/>
    <n v="6"/>
    <n v="11.5"/>
    <n v="8.6999999999999993"/>
    <n v="30"/>
    <s v="Australia"/>
    <s v="Customer Support Specialist"/>
    <n v="5139"/>
    <x v="2"/>
    <n v="11.5"/>
  </r>
  <r>
    <s v="U90184"/>
    <n v="31"/>
    <s v="Female"/>
    <s v="Canada"/>
    <x v="0"/>
    <s v="PhD"/>
    <s v="Senior Data Scientist"/>
    <n v="5145"/>
    <s v="Microsoft Copilot"/>
    <x v="6"/>
    <n v="4.9000000000000004"/>
    <n v="20"/>
    <x v="18"/>
    <n v="4"/>
    <n v="8"/>
    <n v="10.7"/>
    <n v="12.4"/>
    <n v="31"/>
    <s v="Canada"/>
    <s v="Senior Data Scientist"/>
    <n v="5145"/>
    <x v="1"/>
    <n v="10.7"/>
  </r>
  <r>
    <s v="U0075"/>
    <n v="29"/>
    <s v="Male"/>
    <s v="United States"/>
    <x v="0"/>
    <s v="Bachelor's"/>
    <s v="Content Writer"/>
    <n v="5260"/>
    <s v="Chat GPT"/>
    <x v="5"/>
    <n v="1.6"/>
    <n v="0"/>
    <x v="43"/>
    <n v="4"/>
    <n v="5"/>
    <n v="5.2"/>
    <n v="6.7"/>
    <n v="29"/>
    <s v="United States"/>
    <s v="Content Writer"/>
    <n v="5260"/>
    <x v="0"/>
    <n v="5.2"/>
  </r>
  <r>
    <s v="U0011"/>
    <n v="23"/>
    <s v="Female"/>
    <s v="UNKNOWN"/>
    <x v="0"/>
    <s v="Bachelor's"/>
    <s v="Customer Support Specialist"/>
    <n v="5268"/>
    <s v="Perplexity AI"/>
    <x v="3"/>
    <n v="1.2"/>
    <n v="0"/>
    <x v="67"/>
    <n v="4"/>
    <n v="8"/>
    <n v="0.4"/>
    <n v="8.8000000000000007"/>
    <n v="23"/>
    <s v="Unknown"/>
    <s v="Customer Support Specialist"/>
    <n v="5268"/>
    <x v="8"/>
    <n v="0.4"/>
  </r>
  <r>
    <s v="U90503"/>
    <n v="23"/>
    <s v="Female"/>
    <s v="Canada"/>
    <x v="0"/>
    <s v="Master's"/>
    <s v="AI Customer Support Specialist"/>
    <n v="5302"/>
    <s v=" Google Gemini"/>
    <x v="3"/>
    <n v="1.9"/>
    <n v="0"/>
    <x v="8"/>
    <n v="4"/>
    <n v="5"/>
    <n v="0.8"/>
    <n v="7.6"/>
    <n v="23"/>
    <s v="Canada"/>
    <s v="AI Customer Support Specialist"/>
    <n v="5302"/>
    <x v="2"/>
    <n v="0.8"/>
  </r>
  <r>
    <s v="U90089"/>
    <n v="49"/>
    <s v="Female"/>
    <s v="United Kingdom"/>
    <x v="0"/>
    <s v="Bachelor's"/>
    <s v="Customer Support Manager"/>
    <n v="5308"/>
    <s v="Chat GPT"/>
    <x v="3"/>
    <n v="0.9"/>
    <n v="25"/>
    <x v="34"/>
    <n v="5"/>
    <n v="6"/>
    <n v="3.9"/>
    <n v="5.9"/>
    <n v="49"/>
    <s v="United Kingdom"/>
    <s v="Customer Support Manager"/>
    <n v="5308"/>
    <x v="0"/>
    <n v="3.9"/>
  </r>
  <r>
    <s v="U0243"/>
    <n v="31"/>
    <s v="Male"/>
    <s v="Australia"/>
    <x v="0"/>
    <s v="Bachelor's"/>
    <s v="Customer Support Specialist"/>
    <n v="5355"/>
    <s v=" Google Gemini"/>
    <x v="3"/>
    <n v="4.5999999999999996"/>
    <n v="0"/>
    <x v="30"/>
    <n v="2"/>
    <n v="6"/>
    <n v="11.5"/>
    <n v="8.6999999999999993"/>
    <n v="31"/>
    <s v="Australia"/>
    <s v="Customer Support Specialist"/>
    <n v="5355"/>
    <x v="2"/>
    <n v="11.5"/>
  </r>
  <r>
    <s v="U0269"/>
    <n v="30"/>
    <s v="Male"/>
    <s v="United Kingdom"/>
    <x v="0"/>
    <s v="Master's"/>
    <s v="Business Analyst"/>
    <n v="5421"/>
    <s v="Chat GPT"/>
    <x v="8"/>
    <n v="2"/>
    <n v="0"/>
    <x v="64"/>
    <n v="4"/>
    <n v="7"/>
    <n v="3.9"/>
    <n v="7.3"/>
    <n v="30"/>
    <s v="United Kingdom"/>
    <s v="Business Analyst"/>
    <n v="5421"/>
    <x v="0"/>
    <n v="3.9"/>
  </r>
  <r>
    <s v="U90195"/>
    <n v="50"/>
    <s v="Female"/>
    <s v="United Kingdom"/>
    <x v="0"/>
    <s v="Bachelor's"/>
    <s v="Customer Support Manager"/>
    <n v="5550"/>
    <s v="Chat GPT"/>
    <x v="3"/>
    <n v="0.9"/>
    <n v="25"/>
    <x v="34"/>
    <n v="5"/>
    <n v="6"/>
    <n v="3.9"/>
    <n v="5.9"/>
    <n v="50"/>
    <s v="United Kingdom"/>
    <s v="Customer Support Manager"/>
    <n v="5550"/>
    <x v="0"/>
    <n v="3.9"/>
  </r>
  <r>
    <s v="U0106"/>
    <n v="48"/>
    <s v="Female"/>
    <s v="United Kingdom"/>
    <x v="0"/>
    <s v="Bachelor's"/>
    <s v="Customer Support Manager"/>
    <n v="5563"/>
    <s v="Chat GPT"/>
    <x v="3"/>
    <n v="0.9"/>
    <n v="25"/>
    <x v="34"/>
    <n v="5"/>
    <n v="6"/>
    <n v="3.9"/>
    <n v="5.9"/>
    <n v="48"/>
    <s v="United Kingdom"/>
    <s v="Customer Support Manager"/>
    <n v="5563"/>
    <x v="0"/>
    <n v="3.9"/>
  </r>
  <r>
    <s v="U90259"/>
    <n v="47"/>
    <s v="Male"/>
    <s v="Australia"/>
    <x v="0"/>
    <s v="Master's"/>
    <s v="Research Analyst"/>
    <n v="5612"/>
    <s v="Chat GPT"/>
    <x v="2"/>
    <n v="1.6"/>
    <n v="20"/>
    <x v="20"/>
    <n v="3"/>
    <n v="7"/>
    <n v="6.5"/>
    <n v="9.6999999999999993"/>
    <n v="47"/>
    <s v="Australia"/>
    <s v="Research Analyst"/>
    <n v="5612"/>
    <x v="0"/>
    <n v="6.5"/>
  </r>
  <r>
    <s v="U0036"/>
    <n v="34"/>
    <s v="Female"/>
    <s v="United States"/>
    <x v="0"/>
    <s v="Master's"/>
    <s v="Content Strategy Manager"/>
    <n v="5669"/>
    <s v="Chat GPT"/>
    <x v="5"/>
    <n v="8"/>
    <n v="0"/>
    <x v="44"/>
    <n v="2"/>
    <n v="7"/>
    <n v="16.3"/>
    <n v="7.4"/>
    <n v="34"/>
    <s v="United States"/>
    <s v="Content Strategy Manager"/>
    <n v="5669"/>
    <x v="0"/>
    <n v="16.3"/>
  </r>
  <r>
    <s v="U90185"/>
    <n v="25"/>
    <s v="Female"/>
    <s v="UNKNOWN"/>
    <x v="0"/>
    <s v="Bachelor's"/>
    <s v="Customer Support Specialist"/>
    <n v="5697"/>
    <s v="Perplexity AI"/>
    <x v="3"/>
    <n v="1.2"/>
    <n v="0"/>
    <x v="67"/>
    <n v="4"/>
    <n v="8"/>
    <n v="0.4"/>
    <n v="8.8000000000000007"/>
    <n v="25"/>
    <s v="Unknown"/>
    <s v="Customer Support Specialist"/>
    <n v="5697"/>
    <x v="8"/>
    <n v="0.4"/>
  </r>
  <r>
    <s v="U90574"/>
    <n v="29"/>
    <s v="Male"/>
    <s v="United States"/>
    <x v="0"/>
    <s v="Bachelor's"/>
    <s v="Content Writer"/>
    <n v="5775"/>
    <s v="Chat GPT"/>
    <x v="5"/>
    <n v="1.6"/>
    <n v="0"/>
    <x v="43"/>
    <n v="4"/>
    <n v="5"/>
    <n v="5.2"/>
    <n v="6.7"/>
    <n v="29"/>
    <s v="United States"/>
    <s v="Content Writer"/>
    <n v="5775"/>
    <x v="0"/>
    <n v="5.2"/>
  </r>
  <r>
    <s v="U90533"/>
    <n v="38"/>
    <s v="Male"/>
    <s v="United States"/>
    <x v="0"/>
    <s v="Diploma"/>
    <s v="Software Developer"/>
    <n v="5779"/>
    <s v="Chat GPT"/>
    <x v="0"/>
    <n v="2.8"/>
    <n v="0"/>
    <x v="53"/>
    <n v="4"/>
    <n v="7"/>
    <n v="6.2"/>
    <n v="8.1999999999999993"/>
    <n v="38"/>
    <s v="United States"/>
    <s v="Software Developer"/>
    <n v="5779"/>
    <x v="0"/>
    <n v="6.2"/>
  </r>
  <r>
    <s v="U0232"/>
    <n v="29"/>
    <s v="Male"/>
    <s v="France"/>
    <x v="0"/>
    <s v="Bachelor's"/>
    <s v="Data Analyst"/>
    <n v="5785"/>
    <s v="claude"/>
    <x v="6"/>
    <n v="1.7"/>
    <n v="0"/>
    <x v="26"/>
    <n v="4"/>
    <n v="7"/>
    <n v="3.7"/>
    <n v="6.4"/>
    <n v="29"/>
    <s v="France"/>
    <s v="Data Analyst"/>
    <n v="5785"/>
    <x v="5"/>
    <n v="3.7"/>
  </r>
  <r>
    <s v="U90159"/>
    <n v="27"/>
    <s v="Female"/>
    <s v="Canada"/>
    <x v="0"/>
    <s v="Master's"/>
    <s v="AI Customer Support Specialist"/>
    <n v="5849"/>
    <s v=" Google Gemini"/>
    <x v="3"/>
    <n v="1.9"/>
    <n v="0"/>
    <x v="8"/>
    <n v="4"/>
    <n v="5"/>
    <n v="0.8"/>
    <n v="7.6"/>
    <n v="27"/>
    <s v="Canada"/>
    <s v="AI Customer Support Specialist"/>
    <n v="5849"/>
    <x v="2"/>
    <n v="0.8"/>
  </r>
  <r>
    <s v="U90109"/>
    <n v="47"/>
    <s v="Female"/>
    <s v="United Kingdom"/>
    <x v="0"/>
    <s v="Bachelor's"/>
    <s v="Customer Support Manager"/>
    <n v="5872"/>
    <s v="Chat GPT"/>
    <x v="3"/>
    <n v="0.9"/>
    <n v="25"/>
    <x v="34"/>
    <n v="5"/>
    <n v="6"/>
    <n v="3.9"/>
    <n v="5.9"/>
    <n v="47"/>
    <s v="United Kingdom"/>
    <s v="Customer Support Manager"/>
    <n v="5872"/>
    <x v="0"/>
    <n v="3.9"/>
  </r>
  <r>
    <s v="U90228"/>
    <n v="37"/>
    <s v="Male"/>
    <s v="Australia"/>
    <x v="0"/>
    <s v="Bachelor's"/>
    <s v="Senior Software Developer"/>
    <n v="5878"/>
    <s v="Chat GPT"/>
    <x v="0"/>
    <n v="1.3"/>
    <n v="20"/>
    <x v="49"/>
    <n v="3"/>
    <n v="4"/>
    <n v="4.3"/>
    <n v="8.1"/>
    <n v="37"/>
    <s v="Australia"/>
    <s v="Senior Software Developer"/>
    <n v="5878"/>
    <x v="0"/>
    <n v="4.3"/>
  </r>
  <r>
    <s v="U0163"/>
    <n v="48"/>
    <s v="Male"/>
    <s v="Australia"/>
    <x v="0"/>
    <s v="Master's"/>
    <s v="Research Analyst"/>
    <n v="5903"/>
    <s v="Chat GPT"/>
    <x v="2"/>
    <n v="1.6"/>
    <n v="20"/>
    <x v="20"/>
    <n v="3"/>
    <n v="7"/>
    <n v="6.5"/>
    <n v="9.6999999999999993"/>
    <n v="48"/>
    <s v="Australia"/>
    <s v="Research Analyst"/>
    <n v="5903"/>
    <x v="0"/>
    <n v="6.5"/>
  </r>
  <r>
    <s v="U0131"/>
    <n v="35"/>
    <s v="Female"/>
    <s v="United States"/>
    <x v="0"/>
    <s v="Diploma"/>
    <s v="Administrative Assistant"/>
    <n v="5966"/>
    <s v="Chat GPT"/>
    <x v="8"/>
    <n v="4.9000000000000004"/>
    <n v="20"/>
    <x v="13"/>
    <n v="3"/>
    <n v="5"/>
    <n v="11.5"/>
    <n v="9.3000000000000007"/>
    <n v="35"/>
    <s v="United States"/>
    <s v="Administrative Assistant"/>
    <n v="5966"/>
    <x v="0"/>
    <n v="11.5"/>
  </r>
  <r>
    <s v="U90289"/>
    <n v="29"/>
    <s v="Male"/>
    <s v="France"/>
    <x v="0"/>
    <s v="Bachelor's"/>
    <s v="Data Analyst"/>
    <n v="5969"/>
    <s v="claude"/>
    <x v="6"/>
    <n v="1.7"/>
    <n v="0"/>
    <x v="26"/>
    <n v="4"/>
    <n v="7"/>
    <n v="3.7"/>
    <n v="6.4"/>
    <n v="29"/>
    <s v="France"/>
    <s v="Data Analyst"/>
    <n v="5969"/>
    <x v="5"/>
    <n v="3.7"/>
  </r>
  <r>
    <s v="U0159"/>
    <n v="23"/>
    <s v="Female"/>
    <s v="Germany"/>
    <x v="0"/>
    <s v="Master's"/>
    <s v="Project Manager"/>
    <n v="5976"/>
    <s v="Chat GPT"/>
    <x v="8"/>
    <n v="2"/>
    <n v="0"/>
    <x v="23"/>
    <n v="2"/>
    <n v="5"/>
    <n v="5.8"/>
    <n v="6.6"/>
    <n v="23"/>
    <s v="Germany"/>
    <s v="Project Manager"/>
    <n v="5976"/>
    <x v="0"/>
    <n v="5.8"/>
  </r>
  <r>
    <s v="U90421"/>
    <n v="49"/>
    <s v="Male"/>
    <s v="Australia"/>
    <x v="0"/>
    <s v="Master's"/>
    <s v="Research Analyst"/>
    <n v="5977"/>
    <s v="Chat GPT"/>
    <x v="2"/>
    <n v="1.6"/>
    <n v="20"/>
    <x v="20"/>
    <n v="3"/>
    <n v="7"/>
    <n v="6.5"/>
    <n v="9.6999999999999993"/>
    <n v="49"/>
    <s v="Australia"/>
    <s v="Research Analyst"/>
    <n v="5977"/>
    <x v="0"/>
    <n v="6.5"/>
  </r>
  <r>
    <s v="U90541"/>
    <n v="34"/>
    <s v="Male"/>
    <s v="United States"/>
    <x v="0"/>
    <s v="Diploma"/>
    <s v="Software Developer"/>
    <n v="5981"/>
    <s v="Chat GPT"/>
    <x v="0"/>
    <n v="2.8"/>
    <n v="0"/>
    <x v="53"/>
    <n v="4"/>
    <n v="7"/>
    <n v="6.2"/>
    <n v="8.1999999999999993"/>
    <n v="34"/>
    <s v="United States"/>
    <s v="Software Developer"/>
    <n v="5981"/>
    <x v="0"/>
    <n v="6.2"/>
  </r>
  <r>
    <s v="U90081"/>
    <n v="33"/>
    <s v="Female"/>
    <s v="United States"/>
    <x v="0"/>
    <s v="Master's"/>
    <s v="Content Strategy Manager"/>
    <n v="5982"/>
    <s v="Chat GPT"/>
    <x v="5"/>
    <n v="8"/>
    <n v="0"/>
    <x v="44"/>
    <n v="2"/>
    <n v="7"/>
    <n v="16.3"/>
    <n v="7.4"/>
    <n v="33"/>
    <s v="United States"/>
    <s v="Content Strategy Manager"/>
    <n v="5982"/>
    <x v="0"/>
    <n v="16.3"/>
  </r>
  <r>
    <s v="U90386"/>
    <n v="34"/>
    <s v="Female"/>
    <s v="Australia"/>
    <x v="0"/>
    <s v="Diploma"/>
    <s v="Marketing Communications Officer"/>
    <n v="5988"/>
    <s v="Chat GPT"/>
    <x v="5"/>
    <n v="1.9"/>
    <n v="0"/>
    <x v="53"/>
    <n v="4"/>
    <n v="7"/>
    <n v="6"/>
    <n v="11"/>
    <n v="34"/>
    <s v="Australia"/>
    <s v="Marketing Communications Officer"/>
    <n v="5988"/>
    <x v="0"/>
    <n v="6"/>
  </r>
  <r>
    <s v="U90465"/>
    <n v="29"/>
    <s v="Male"/>
    <s v="Australia"/>
    <x v="0"/>
    <s v="Bachelor's"/>
    <s v="Customer Support Specialist"/>
    <n v="6111"/>
    <s v=" Google Gemini"/>
    <x v="3"/>
    <n v="4.5999999999999996"/>
    <n v="0"/>
    <x v="30"/>
    <n v="2"/>
    <n v="6"/>
    <n v="11.5"/>
    <n v="8.6999999999999993"/>
    <n v="29"/>
    <s v="Australia"/>
    <s v="Customer Support Specialist"/>
    <n v="6111"/>
    <x v="2"/>
    <n v="11.5"/>
  </r>
  <r>
    <s v="U0161"/>
    <n v="25"/>
    <s v="Female"/>
    <s v="Canada"/>
    <x v="0"/>
    <s v="Master's"/>
    <s v="AI Customer Support Specialist"/>
    <n v="6171"/>
    <s v=" Google Gemini"/>
    <x v="3"/>
    <n v="1.9"/>
    <n v="0"/>
    <x v="8"/>
    <n v="4"/>
    <n v="5"/>
    <n v="0.8"/>
    <n v="7.6"/>
    <n v="25"/>
    <s v="Canada"/>
    <s v="AI Customer Support Specialist"/>
    <n v="6171"/>
    <x v="2"/>
    <n v="0.8"/>
  </r>
  <r>
    <s v="U0223"/>
    <n v="33"/>
    <s v="Female"/>
    <s v="Australia"/>
    <x v="0"/>
    <s v="Diploma"/>
    <s v="Marketing Communications Officer"/>
    <n v="6197"/>
    <s v="Chat GPT"/>
    <x v="5"/>
    <n v="1.9"/>
    <n v="0"/>
    <x v="53"/>
    <n v="4"/>
    <n v="7"/>
    <n v="6"/>
    <n v="11"/>
    <n v="33"/>
    <s v="Australia"/>
    <s v="Marketing Communications Officer"/>
    <n v="6197"/>
    <x v="0"/>
    <n v="6"/>
  </r>
  <r>
    <s v="U90050"/>
    <n v="37"/>
    <s v="Male"/>
    <s v="United States"/>
    <x v="0"/>
    <s v="Diploma"/>
    <s v="Software Developer"/>
    <n v="6211"/>
    <s v="Chat GPT"/>
    <x v="0"/>
    <n v="2.8"/>
    <n v="0"/>
    <x v="53"/>
    <n v="4"/>
    <n v="7"/>
    <n v="6.2"/>
    <n v="8.1999999999999993"/>
    <n v="37"/>
    <s v="United States"/>
    <s v="Software Developer"/>
    <n v="6211"/>
    <x v="0"/>
    <n v="6.2"/>
  </r>
  <r>
    <s v="U90632"/>
    <n v="26"/>
    <s v="Female"/>
    <s v="Germany"/>
    <x v="0"/>
    <s v="Master's"/>
    <s v="Senior Software Developer / Softwareentwicklerin"/>
    <n v="6231"/>
    <s v=" Google Gemini"/>
    <x v="0"/>
    <n v="4.0999999999999996"/>
    <n v="0"/>
    <x v="26"/>
    <n v="4"/>
    <n v="7"/>
    <n v="7.2"/>
    <n v="0"/>
    <n v="26"/>
    <s v="Germany"/>
    <s v="Senior Software Developer / Softwareentwicklerin"/>
    <n v="6231"/>
    <x v="2"/>
    <n v="7.2"/>
  </r>
  <r>
    <s v="U90585"/>
    <m/>
    <s v="Female"/>
    <s v="Canada"/>
    <x v="0"/>
    <s v="Bachelor's"/>
    <s v="Customer Support Specialist"/>
    <n v="6249"/>
    <s v="DeepSeek"/>
    <x v="3"/>
    <n v="9.6999999999999993"/>
    <n v="20"/>
    <x v="39"/>
    <n v="5"/>
    <n v="9"/>
    <m/>
    <n v="11.6"/>
    <n v="30.023333333333333"/>
    <s v="Canada"/>
    <s v="Customer Support Specialist"/>
    <n v="6249"/>
    <x v="4"/>
    <n v="10.763793103448272"/>
  </r>
  <r>
    <s v="U90584"/>
    <n v="64"/>
    <s v="Male"/>
    <s v="Australia"/>
    <x v="0"/>
    <s v="Bachelor's"/>
    <s v="Technical Writer"/>
    <n v="6267"/>
    <s v="Chat GPT"/>
    <x v="5"/>
    <n v="2.2999999999999998"/>
    <n v="0"/>
    <x v="10"/>
    <n v="3"/>
    <n v="5"/>
    <n v="2"/>
    <n v="5.9"/>
    <n v="64"/>
    <s v="Australia"/>
    <s v="Technical Writer"/>
    <n v="6267"/>
    <x v="0"/>
    <n v="2"/>
  </r>
  <r>
    <s v="U90592"/>
    <n v="27"/>
    <s v="Female"/>
    <s v="Canada"/>
    <x v="0"/>
    <s v="Master's"/>
    <s v="AI Customer Support Specialist"/>
    <n v="6294"/>
    <s v=" Google Gemini"/>
    <x v="3"/>
    <n v="1.9"/>
    <n v="0"/>
    <x v="8"/>
    <n v="4"/>
    <n v="5"/>
    <n v="0.8"/>
    <n v="7.6"/>
    <n v="27"/>
    <s v="Canada"/>
    <s v="AI Customer Support Specialist"/>
    <n v="6294"/>
    <x v="2"/>
    <n v="0.8"/>
  </r>
  <r>
    <s v="U90579"/>
    <n v="62"/>
    <s v="Male"/>
    <s v="Australia"/>
    <x v="0"/>
    <s v="Bachelor's"/>
    <s v="Technical Writer"/>
    <n v="6387"/>
    <s v="Chat GPT"/>
    <x v="5"/>
    <n v="2.2999999999999998"/>
    <n v="0"/>
    <x v="10"/>
    <n v="3"/>
    <n v="5"/>
    <n v="2"/>
    <n v="5.9"/>
    <n v="62"/>
    <s v="Australia"/>
    <s v="Technical Writer"/>
    <n v="6387"/>
    <x v="0"/>
    <n v="2"/>
  </r>
  <r>
    <s v="U0279"/>
    <n v="35"/>
    <s v="Male"/>
    <s v="Australia"/>
    <x v="0"/>
    <s v="Bachelor's"/>
    <s v="Senior Software Developer"/>
    <n v="6399"/>
    <s v="Chat GPT"/>
    <x v="0"/>
    <n v="1.3"/>
    <n v="20"/>
    <x v="49"/>
    <n v="3"/>
    <n v="4"/>
    <n v="4.3"/>
    <n v="8.1"/>
    <n v="35"/>
    <s v="Australia"/>
    <s v="Senior Software Developer"/>
    <n v="6399"/>
    <x v="0"/>
    <n v="4.3"/>
  </r>
  <r>
    <s v="U90477"/>
    <n v="33"/>
    <s v="Female"/>
    <s v="Australia"/>
    <x v="0"/>
    <s v="Diploma"/>
    <s v="Marketing Communications Officer"/>
    <n v="6424"/>
    <s v="Chat GPT"/>
    <x v="5"/>
    <n v="1.9"/>
    <n v="0"/>
    <x v="53"/>
    <n v="4"/>
    <n v="7"/>
    <n v="6"/>
    <n v="11"/>
    <n v="33"/>
    <s v="Australia"/>
    <s v="Marketing Communications Officer"/>
    <n v="6424"/>
    <x v="0"/>
    <n v="6"/>
  </r>
  <r>
    <s v="U0173"/>
    <n v="30"/>
    <s v="Male"/>
    <s v="United Kingdom"/>
    <x v="0"/>
    <s v="Bachelor's"/>
    <s v="Software Developer"/>
    <n v="6437"/>
    <s v=" Google Gemini"/>
    <x v="0"/>
    <n v="1.9"/>
    <n v="0"/>
    <x v="6"/>
    <n v="5"/>
    <n v="8"/>
    <n v="2.1"/>
    <n v="6.7"/>
    <n v="30"/>
    <s v="United Kingdom"/>
    <s v="Software Developer"/>
    <n v="6437"/>
    <x v="2"/>
    <n v="2.1"/>
  </r>
  <r>
    <s v="U90042"/>
    <n v="65"/>
    <s v="Female"/>
    <s v="Australia"/>
    <x v="0"/>
    <s v="Master's"/>
    <s v="Senior Content Strategist"/>
    <n v="6448"/>
    <s v="Chat GPT"/>
    <x v="4"/>
    <n v="2.2999999999999998"/>
    <n v="0"/>
    <x v="10"/>
    <n v="3"/>
    <n v="7"/>
    <n v="2.4"/>
    <n v="11.2"/>
    <n v="65"/>
    <s v="Australia"/>
    <s v="Senior Content Strategist"/>
    <n v="6448"/>
    <x v="0"/>
    <n v="2.4"/>
  </r>
  <r>
    <s v="U90351"/>
    <n v="35"/>
    <s v="Female"/>
    <s v="United States"/>
    <x v="0"/>
    <s v="Diploma"/>
    <s v="Administrative Assistant"/>
    <n v="6623"/>
    <s v="Chat GPT"/>
    <x v="8"/>
    <n v="4.9000000000000004"/>
    <n v="20"/>
    <x v="13"/>
    <n v="3"/>
    <n v="5"/>
    <n v="11.5"/>
    <n v="9.3000000000000007"/>
    <n v="35"/>
    <s v="United States"/>
    <s v="Administrative Assistant"/>
    <n v="6623"/>
    <x v="0"/>
    <n v="11.5"/>
  </r>
  <r>
    <s v="U90601"/>
    <n v="45"/>
    <s v="Female"/>
    <s v="United Kingdom"/>
    <x v="0"/>
    <s v="PhD"/>
    <s v="Senior Software Engineer / AI Systems Developer"/>
    <n v="6631"/>
    <s v="claude"/>
    <x v="0"/>
    <n v="0.5"/>
    <n v="0"/>
    <x v="72"/>
    <n v="2"/>
    <n v="3"/>
    <n v="2.7"/>
    <n v="10.4"/>
    <n v="45"/>
    <s v="United Kingdom"/>
    <s v="Senior Software Engineer / AI Systems Developer"/>
    <n v="6631"/>
    <x v="5"/>
    <n v="2.7"/>
  </r>
  <r>
    <s v="U0253"/>
    <m/>
    <s v="Female"/>
    <s v="Canada"/>
    <x v="0"/>
    <s v="Bachelor's"/>
    <s v="Customer Support Specialist"/>
    <n v="6705"/>
    <s v="DeepSeek"/>
    <x v="3"/>
    <n v="9.6999999999999993"/>
    <n v="20"/>
    <x v="39"/>
    <n v="5"/>
    <n v="9"/>
    <m/>
    <n v="11.6"/>
    <n v="30.023333333333333"/>
    <s v="Canada"/>
    <s v="Customer Support Specialist"/>
    <n v="6705"/>
    <x v="4"/>
    <n v="10.763793103448272"/>
  </r>
  <r>
    <s v="U90256"/>
    <n v="24"/>
    <s v="Female"/>
    <s v="Canada"/>
    <x v="0"/>
    <s v="Master's"/>
    <s v="AI Customer Support Specialist"/>
    <n v="6740"/>
    <s v=" Google Gemini"/>
    <x v="3"/>
    <n v="1.9"/>
    <n v="0"/>
    <x v="8"/>
    <n v="4"/>
    <n v="5"/>
    <n v="0.8"/>
    <n v="7.6"/>
    <n v="24"/>
    <s v="Canada"/>
    <s v="AI Customer Support Specialist"/>
    <n v="6740"/>
    <x v="2"/>
    <n v="0.8"/>
  </r>
  <r>
    <s v="U90431"/>
    <n v="46"/>
    <s v="Male"/>
    <s v="Australia"/>
    <x v="0"/>
    <s v="Master's"/>
    <s v="Research Analyst"/>
    <n v="6748"/>
    <s v="Chat GPT"/>
    <x v="2"/>
    <n v="1.6"/>
    <n v="20"/>
    <x v="20"/>
    <n v="3"/>
    <n v="7"/>
    <n v="6.5"/>
    <n v="9.6999999999999993"/>
    <n v="46"/>
    <s v="Australia"/>
    <s v="Research Analyst"/>
    <n v="6748"/>
    <x v="0"/>
    <n v="6.5"/>
  </r>
  <r>
    <s v="U0130"/>
    <n v="36"/>
    <s v="Male"/>
    <s v="United States"/>
    <x v="0"/>
    <s v="Diploma"/>
    <s v="Software Developer"/>
    <n v="6766"/>
    <s v="Chat GPT"/>
    <x v="0"/>
    <n v="2.8"/>
    <n v="0"/>
    <x v="53"/>
    <n v="4"/>
    <n v="7"/>
    <n v="6.2"/>
    <n v="8.1999999999999993"/>
    <n v="36"/>
    <s v="United States"/>
    <s v="Software Developer"/>
    <n v="6766"/>
    <x v="0"/>
    <n v="6.2"/>
  </r>
  <r>
    <s v="U0248"/>
    <n v="97"/>
    <s v="Female"/>
    <s v="Australia"/>
    <x v="0"/>
    <s v="Master's"/>
    <s v="Senior Content Strategist"/>
    <n v="6779"/>
    <s v="Chat GPT"/>
    <x v="4"/>
    <n v="2.2999999999999998"/>
    <n v="0"/>
    <x v="10"/>
    <n v="3"/>
    <n v="7"/>
    <n v="2.4"/>
    <n v="11.2"/>
    <n v="97"/>
    <s v="Australia"/>
    <s v="Senior Content Strategist"/>
    <n v="6779"/>
    <x v="0"/>
    <n v="2.4"/>
  </r>
  <r>
    <s v="U90531"/>
    <n v="33"/>
    <s v="Male"/>
    <s v="Australia"/>
    <x v="0"/>
    <s v="Bachelor's"/>
    <s v="Senior Software Developer"/>
    <n v="6802"/>
    <s v="Chat GPT"/>
    <x v="0"/>
    <n v="1.3"/>
    <n v="20"/>
    <x v="49"/>
    <n v="3"/>
    <n v="4"/>
    <n v="4.3"/>
    <n v="8.1"/>
    <n v="33"/>
    <s v="Australia"/>
    <s v="Senior Software Developer"/>
    <n v="6802"/>
    <x v="0"/>
    <n v="4.3"/>
  </r>
  <r>
    <s v="U0113"/>
    <n v="25"/>
    <s v="Female"/>
    <s v="Germany"/>
    <x v="0"/>
    <s v="Master's"/>
    <s v="Senior Software Developer / Softwareentwicklerin"/>
    <n v="6851"/>
    <s v=" Google Gemini"/>
    <x v="0"/>
    <n v="4.0999999999999996"/>
    <n v="0"/>
    <x v="26"/>
    <n v="4"/>
    <n v="7"/>
    <n v="7.2"/>
    <n v="0"/>
    <n v="25"/>
    <s v="Germany"/>
    <s v="Senior Software Developer / Softwareentwicklerin"/>
    <n v="6851"/>
    <x v="2"/>
    <n v="7.2"/>
  </r>
  <r>
    <s v="U90144"/>
    <n v="25"/>
    <s v="Female"/>
    <s v="Germany"/>
    <x v="0"/>
    <s v="Master's"/>
    <s v="Senior Software Developer"/>
    <n v="6859"/>
    <s v=" Google Gemini"/>
    <x v="0"/>
    <n v="4.0999999999999996"/>
    <n v="0"/>
    <x v="26"/>
    <n v="4"/>
    <n v="7"/>
    <n v="7.2"/>
    <n v="0"/>
    <n v="25"/>
    <s v="Germany"/>
    <s v="Senior Software Developer"/>
    <n v="6859"/>
    <x v="2"/>
    <n v="7.2"/>
  </r>
  <r>
    <s v="U90539"/>
    <n v="27"/>
    <s v="Female"/>
    <s v="Canada"/>
    <x v="0"/>
    <s v="Master's"/>
    <s v="AI Customer Support Specialist"/>
    <n v="6973"/>
    <s v=" Google Gemini"/>
    <x v="3"/>
    <n v="1.9"/>
    <n v="0"/>
    <x v="8"/>
    <n v="4"/>
    <n v="5"/>
    <n v="0.8"/>
    <n v="7.6"/>
    <n v="27"/>
    <s v="Canada"/>
    <s v="AI Customer Support Specialist"/>
    <n v="6973"/>
    <x v="2"/>
    <n v="0.8"/>
  </r>
  <r>
    <s v="U90214"/>
    <m/>
    <s v="Female"/>
    <s v="Canada"/>
    <x v="0"/>
    <s v="Bachelor's"/>
    <s v="Customer Support Specialist"/>
    <n v="7090"/>
    <s v="DeepSeek"/>
    <x v="3"/>
    <n v="9.6999999999999993"/>
    <n v="20"/>
    <x v="39"/>
    <n v="5"/>
    <n v="9"/>
    <m/>
    <n v="11.6"/>
    <n v="30.023333333333333"/>
    <s v="Canada"/>
    <s v="Customer Support Specialist"/>
    <n v="7090"/>
    <x v="4"/>
    <n v="10.763793103448272"/>
  </r>
  <r>
    <s v="U90113"/>
    <n v="35"/>
    <s v="Male"/>
    <s v="Australia"/>
    <x v="0"/>
    <s v="Bachelor's"/>
    <s v="Senior Software Developer"/>
    <n v="7096"/>
    <s v="Chat GPT"/>
    <x v="0"/>
    <n v="1.3"/>
    <n v="20"/>
    <x v="49"/>
    <n v="3"/>
    <n v="4"/>
    <n v="4.3"/>
    <n v="8.1"/>
    <n v="35"/>
    <s v="Australia"/>
    <s v="Senior Software Developer"/>
    <n v="7096"/>
    <x v="0"/>
    <n v="4.3"/>
  </r>
  <r>
    <s v="U0082"/>
    <n v="63"/>
    <s v="Male"/>
    <s v="Australia"/>
    <x v="0"/>
    <s v="Bachelor's"/>
    <s v="Technical Writer"/>
    <n v="7178"/>
    <s v="Chat GPT"/>
    <x v="5"/>
    <n v="2.2999999999999998"/>
    <n v="0"/>
    <x v="10"/>
    <n v="3"/>
    <n v="5"/>
    <n v="2"/>
    <n v="5.9"/>
    <n v="63"/>
    <s v="Australia"/>
    <s v="Technical Writer"/>
    <n v="7178"/>
    <x v="0"/>
    <n v="2"/>
  </r>
  <r>
    <s v="U90310"/>
    <n v="28"/>
    <s v="Male"/>
    <s v="United Kingdom"/>
    <x v="0"/>
    <s v="Bachelor's"/>
    <s v="Software Developer"/>
    <n v="7183"/>
    <s v=" Google Gemini"/>
    <x v="0"/>
    <n v="1.9"/>
    <n v="0"/>
    <x v="6"/>
    <n v="5"/>
    <n v="8"/>
    <n v="2.1"/>
    <n v="6.7"/>
    <n v="28"/>
    <s v="United Kingdom"/>
    <s v="Software Developer"/>
    <n v="7183"/>
    <x v="2"/>
    <n v="2.1"/>
  </r>
  <r>
    <s v="U90633"/>
    <n v="32"/>
    <s v="Male"/>
    <s v="United Kingdom"/>
    <x v="0"/>
    <s v="PhD"/>
    <s v="Senior Machine Learning Engineer"/>
    <n v="7277"/>
    <s v="Chat GPT"/>
    <x v="0"/>
    <n v="1.5"/>
    <n v="10"/>
    <x v="23"/>
    <n v="4"/>
    <n v="7"/>
    <n v="1.8"/>
    <n v="8.4"/>
    <n v="32"/>
    <s v="United Kingdom"/>
    <s v="Senior Machine Learning Engineer"/>
    <n v="7277"/>
    <x v="0"/>
    <n v="1.8"/>
  </r>
  <r>
    <s v="U90053"/>
    <n v="37"/>
    <s v="Male"/>
    <s v="Australia"/>
    <x v="0"/>
    <s v="Bachelor's"/>
    <s v="Senior Software Developer"/>
    <n v="7321"/>
    <s v="Chat GPT"/>
    <x v="0"/>
    <n v="1.3"/>
    <n v="20"/>
    <x v="49"/>
    <n v="3"/>
    <n v="4"/>
    <n v="4.3"/>
    <n v="8.1"/>
    <n v="37"/>
    <s v="Australia"/>
    <s v="Senior Software Developer"/>
    <n v="7321"/>
    <x v="0"/>
    <n v="4.3"/>
  </r>
  <r>
    <s v="U90553"/>
    <n v="33"/>
    <s v="Male"/>
    <s v="Australia"/>
    <x v="0"/>
    <s v="Bachelor's"/>
    <s v="Senior Software Developer"/>
    <n v="7348"/>
    <s v="Chat GPT"/>
    <x v="0"/>
    <n v="1.3"/>
    <n v="20"/>
    <x v="49"/>
    <n v="3"/>
    <n v="4"/>
    <n v="4.3"/>
    <n v="8.1"/>
    <n v="33"/>
    <s v="Australia"/>
    <s v="Senior Software Developer"/>
    <n v="7348"/>
    <x v="0"/>
    <n v="4.3"/>
  </r>
  <r>
    <s v="U90064"/>
    <m/>
    <s v="Female"/>
    <s v="Canada"/>
    <x v="0"/>
    <s v="Bachelor's"/>
    <s v="Customer Support Specialist"/>
    <n v="7430"/>
    <s v="DeepSeek"/>
    <x v="3"/>
    <n v="9.6999999999999993"/>
    <n v="20"/>
    <x v="39"/>
    <n v="5"/>
    <n v="9"/>
    <m/>
    <n v="11.6"/>
    <n v="30.023333333333333"/>
    <s v="Canada"/>
    <s v="Customer Support Specialist"/>
    <n v="7430"/>
    <x v="4"/>
    <n v="10.763793103448272"/>
  </r>
  <r>
    <s v="U90250"/>
    <m/>
    <s v="Female"/>
    <s v="Canada"/>
    <x v="0"/>
    <s v="Bachelor's"/>
    <s v="Customer Support Specialist"/>
    <n v="7444"/>
    <s v="DeepSeek"/>
    <x v="3"/>
    <n v="9.6999999999999993"/>
    <n v="20"/>
    <x v="39"/>
    <n v="5"/>
    <n v="9"/>
    <m/>
    <n v="11.6"/>
    <n v="30.023333333333333"/>
    <s v="Canada"/>
    <s v="Customer Support Specialist"/>
    <n v="7444"/>
    <x v="4"/>
    <n v="10.763793103448272"/>
  </r>
  <r>
    <s v="U90059"/>
    <m/>
    <s v="Female"/>
    <s v="United States"/>
    <x v="0"/>
    <s v="Bachelor's"/>
    <s v="UNKNOWN"/>
    <n v="7531"/>
    <s v="Microsoft Copilot"/>
    <x v="1"/>
    <n v="1.8"/>
    <n v="0"/>
    <x v="22"/>
    <n v="3"/>
    <n v="4"/>
    <m/>
    <n v="12.2"/>
    <n v="30.023333333333333"/>
    <s v="United States"/>
    <s v="UNKNOWN"/>
    <n v="7531"/>
    <x v="1"/>
    <n v="3.2436781609195395"/>
  </r>
  <r>
    <s v="U90682"/>
    <n v="35"/>
    <s v="Male"/>
    <s v="United Kingdom"/>
    <x v="0"/>
    <s v="PhD"/>
    <s v="Senior Machine Learning Engineer"/>
    <n v="7656"/>
    <s v="Chat GPT"/>
    <x v="0"/>
    <n v="1.5"/>
    <n v="10"/>
    <x v="23"/>
    <n v="4"/>
    <n v="7"/>
    <n v="1.8"/>
    <n v="8.4"/>
    <n v="35"/>
    <s v="United Kingdom"/>
    <s v="Senior Machine Learning Engineer"/>
    <n v="7656"/>
    <x v="0"/>
    <n v="1.8"/>
  </r>
  <r>
    <s v="U90232"/>
    <m/>
    <s v="Female"/>
    <s v="Canada"/>
    <x v="0"/>
    <s v="Bachelor's"/>
    <s v="Customer Support Specialist"/>
    <n v="7658"/>
    <s v="DeepSeek"/>
    <x v="3"/>
    <n v="9.6999999999999993"/>
    <n v="20"/>
    <x v="39"/>
    <n v="5"/>
    <n v="9"/>
    <m/>
    <n v="11.6"/>
    <n v="30.023333333333333"/>
    <s v="Canada"/>
    <s v="Customer Support Specialist"/>
    <n v="7658"/>
    <x v="4"/>
    <n v="10.763793103448272"/>
  </r>
  <r>
    <s v="U0204"/>
    <n v="47"/>
    <s v="Female"/>
    <s v="United Kingdom"/>
    <x v="0"/>
    <s v="PhD"/>
    <s v="Senior Software Engineer / AI Systems Developer"/>
    <n v="7690"/>
    <s v="claude"/>
    <x v="0"/>
    <n v="0.5"/>
    <n v="0"/>
    <x v="72"/>
    <n v="2"/>
    <n v="3"/>
    <n v="2.7"/>
    <n v="10.4"/>
    <n v="47"/>
    <s v="United Kingdom"/>
    <s v="Senior Software Engineer / AI Systems Developer"/>
    <n v="7690"/>
    <x v="5"/>
    <n v="2.7"/>
  </r>
  <r>
    <s v="U90551"/>
    <n v="65"/>
    <s v="Male"/>
    <s v="Australia"/>
    <x v="0"/>
    <s v="Bachelor's"/>
    <s v="Technical Writer"/>
    <n v="7732"/>
    <s v="Chat GPT"/>
    <x v="5"/>
    <n v="2.2999999999999998"/>
    <n v="0"/>
    <x v="10"/>
    <n v="3"/>
    <n v="5"/>
    <n v="2"/>
    <n v="5.9"/>
    <n v="65"/>
    <s v="Australia"/>
    <s v="Technical Writer"/>
    <n v="7732"/>
    <x v="0"/>
    <n v="2"/>
  </r>
  <r>
    <s v="U0144"/>
    <n v="32"/>
    <s v="Female"/>
    <s v="United States"/>
    <x v="0"/>
    <s v="Bachelor's"/>
    <s v="Software Developer"/>
    <n v="7739"/>
    <s v="Chat GPT"/>
    <x v="0"/>
    <n v="2.2000000000000002"/>
    <n v="0"/>
    <x v="56"/>
    <n v="3"/>
    <n v="6"/>
    <n v="5.6"/>
    <n v="5.0999999999999996"/>
    <n v="32"/>
    <s v="United States"/>
    <s v="Software Developer"/>
    <n v="7739"/>
    <x v="0"/>
    <n v="5.6"/>
  </r>
  <r>
    <s v="U90099"/>
    <n v="48"/>
    <s v="Female"/>
    <s v="United Kingdom"/>
    <x v="0"/>
    <s v="PhD"/>
    <s v="Senior Software Engineer / AI Systems Developer"/>
    <n v="8139"/>
    <s v="claude"/>
    <x v="0"/>
    <n v="0.5"/>
    <n v="0"/>
    <x v="72"/>
    <n v="2"/>
    <n v="3"/>
    <n v="2.7"/>
    <n v="10.4"/>
    <n v="48"/>
    <s v="United Kingdom"/>
    <s v="Senior Software Engineer / AI Systems Developer"/>
    <n v="8139"/>
    <x v="5"/>
    <n v="2.7"/>
  </r>
  <r>
    <s v="U0107"/>
    <n v="33"/>
    <s v="Male"/>
    <s v="United Kingdom"/>
    <x v="0"/>
    <s v="PhD"/>
    <s v="Senior Machine Learning Engineer"/>
    <n v="8205"/>
    <s v="Chat GPT"/>
    <x v="0"/>
    <n v="1.5"/>
    <n v="10"/>
    <x v="23"/>
    <n v="4"/>
    <n v="7"/>
    <n v="1.8"/>
    <n v="8.4"/>
    <n v="33"/>
    <s v="United Kingdom"/>
    <s v="Senior Machine Learning Engineer"/>
    <n v="8205"/>
    <x v="0"/>
    <n v="1.8"/>
  </r>
  <r>
    <s v="U0066"/>
    <m/>
    <s v="Female"/>
    <s v="United States"/>
    <x v="0"/>
    <s v="Bachelor's"/>
    <s v="UNKNOWN"/>
    <n v="8255"/>
    <s v="Microsoft Copilot"/>
    <x v="1"/>
    <n v="1.8"/>
    <n v="0"/>
    <x v="22"/>
    <n v="3"/>
    <n v="4"/>
    <m/>
    <n v="12.2"/>
    <n v="30.023333333333333"/>
    <s v="United States"/>
    <s v="UNKNOWN"/>
    <n v="8255"/>
    <x v="1"/>
    <n v="3.2436781609195395"/>
  </r>
  <r>
    <s v="U90262"/>
    <n v="35"/>
    <s v="Male"/>
    <s v="United Kingdom"/>
    <x v="0"/>
    <s v="PhD"/>
    <s v="Senior Machine Learning Engineer"/>
    <n v="8556"/>
    <s v="Chat GPT"/>
    <x v="0"/>
    <n v="1.5"/>
    <n v="10"/>
    <x v="23"/>
    <n v="4"/>
    <n v="7"/>
    <n v="1.8"/>
    <n v="8.4"/>
    <n v="35"/>
    <s v="United Kingdom"/>
    <s v="Senior Machine Learning Engineer"/>
    <n v="8556"/>
    <x v="0"/>
    <n v="1.8"/>
  </r>
  <r>
    <s v="U90018"/>
    <n v="47"/>
    <s v="Female"/>
    <s v="United Kingdom"/>
    <x v="0"/>
    <s v="PhD"/>
    <s v="Senior Software Engineer / AI Systems Developer"/>
    <n v="8663"/>
    <s v="claude"/>
    <x v="0"/>
    <n v="0.5"/>
    <n v="0"/>
    <x v="72"/>
    <n v="2"/>
    <n v="3"/>
    <n v="2.7"/>
    <n v="10.4"/>
    <n v="47"/>
    <s v="United Kingdom"/>
    <s v="Senior Software Engineer / AI Systems Developer"/>
    <n v="8663"/>
    <x v="5"/>
    <n v="2.7"/>
  </r>
  <r>
    <s v="U90498"/>
    <n v="31"/>
    <s v="Male"/>
    <s v="United States"/>
    <x v="0"/>
    <s v="Bachelor's"/>
    <s v="Customer Support Specialist"/>
    <n v="8682"/>
    <s v="Chat GPT"/>
    <x v="3"/>
    <n v="5.7"/>
    <n v="0"/>
    <x v="73"/>
    <n v="3"/>
    <n v="9"/>
    <n v="11.4"/>
    <n v="8.4"/>
    <n v="31"/>
    <s v="United States"/>
    <s v="Customer Support Specialist"/>
    <n v="8682"/>
    <x v="0"/>
    <n v="11.4"/>
  </r>
  <r>
    <s v="U0217"/>
    <n v="30"/>
    <s v="Male"/>
    <s v="United States"/>
    <x v="0"/>
    <s v="Bachelor's"/>
    <s v="Customer Support Specialist"/>
    <n v="8903"/>
    <s v="Chat GPT"/>
    <x v="3"/>
    <n v="5.7"/>
    <n v="0"/>
    <x v="73"/>
    <n v="3"/>
    <n v="9"/>
    <n v="11.4"/>
    <n v="8.4"/>
    <n v="30"/>
    <s v="United States"/>
    <s v="Customer Support Specialist"/>
    <n v="8903"/>
    <x v="0"/>
    <n v="11.4"/>
  </r>
  <r>
    <s v="U90629"/>
    <n v="35"/>
    <s v="Male"/>
    <s v="United Kingdom"/>
    <x v="0"/>
    <s v="PhD"/>
    <s v="Senior Machine Learning Engineer"/>
    <n v="8999"/>
    <s v="Chat GPT"/>
    <x v="0"/>
    <n v="1.5"/>
    <n v="10"/>
    <x v="23"/>
    <n v="4"/>
    <n v="7"/>
    <n v="1.8"/>
    <n v="8.4"/>
    <n v="35"/>
    <s v="United Kingdom"/>
    <s v="Senior Machine Learning Engineer"/>
    <n v="8999"/>
    <x v="0"/>
    <n v="1.8"/>
  </r>
  <r>
    <s v="U90677"/>
    <m/>
    <s v="Female"/>
    <s v="United States"/>
    <x v="0"/>
    <s v="Bachelor's"/>
    <s v="UNKNOWN"/>
    <n v="9302"/>
    <s v="Microsoft Copilot"/>
    <x v="0"/>
    <n v="1.8"/>
    <n v="0"/>
    <x v="22"/>
    <n v="3"/>
    <n v="4"/>
    <m/>
    <n v="12.2"/>
    <n v="30.023333333333333"/>
    <s v="United States"/>
    <s v="UNKNOWN"/>
    <n v="9302"/>
    <x v="1"/>
    <n v="3.2436781609195395"/>
  </r>
  <r>
    <s v="U90180"/>
    <n v="37"/>
    <s v="Female"/>
    <s v="United States"/>
    <x v="0"/>
    <s v="PhD"/>
    <s v="AI Customer Success Manager"/>
    <n v="9502"/>
    <s v="claude"/>
    <x v="4"/>
    <n v="1.7"/>
    <n v="0"/>
    <x v="25"/>
    <n v="4"/>
    <n v="5"/>
    <n v="7.1"/>
    <n v="7.6"/>
    <n v="37"/>
    <s v="United States"/>
    <s v="AI Customer Success Manager"/>
    <n v="9502"/>
    <x v="5"/>
    <n v="7.1"/>
  </r>
  <r>
    <s v="U90294"/>
    <m/>
    <s v="Male"/>
    <s v="United States"/>
    <x v="0"/>
    <s v="Master's"/>
    <s v="Content Strategist"/>
    <n v="9538"/>
    <s v=" Google Gemini"/>
    <x v="5"/>
    <n v="2.1"/>
    <n v="20"/>
    <x v="38"/>
    <n v="3"/>
    <n v="5"/>
    <n v="5.4"/>
    <n v="10.5"/>
    <n v="30.023333333333333"/>
    <s v="United States"/>
    <s v="Content Strategist"/>
    <n v="9538"/>
    <x v="2"/>
    <n v="5.4"/>
  </r>
  <r>
    <s v="U90202"/>
    <n v="29"/>
    <s v="Male"/>
    <s v="United States"/>
    <x v="0"/>
    <s v="Bachelor's"/>
    <s v="Customer Support Specialist"/>
    <n v="9700"/>
    <s v="Chat GPT"/>
    <x v="3"/>
    <n v="5.7"/>
    <n v="0"/>
    <x v="73"/>
    <n v="3"/>
    <n v="9"/>
    <n v="11.4"/>
    <n v="8.4"/>
    <n v="29"/>
    <s v="United States"/>
    <s v="Customer Support Specialist"/>
    <n v="9700"/>
    <x v="0"/>
    <n v="11.4"/>
  </r>
  <r>
    <s v="U90591"/>
    <n v="32"/>
    <s v="Male"/>
    <s v="United States"/>
    <x v="0"/>
    <s v="Bachelor's"/>
    <s v="Customer Support Specialist"/>
    <n v="9760"/>
    <s v="Chat GPT"/>
    <x v="3"/>
    <n v="5.7"/>
    <n v="0"/>
    <x v="73"/>
    <n v="3"/>
    <n v="9"/>
    <n v="11.4"/>
    <n v="8.4"/>
    <n v="32"/>
    <s v="United States"/>
    <s v="Customer Support Specialist"/>
    <n v="9760"/>
    <x v="0"/>
    <n v="11.4"/>
  </r>
  <r>
    <s v="U90012"/>
    <n v="37"/>
    <s v="Female"/>
    <s v="United States"/>
    <x v="0"/>
    <s v="PhD"/>
    <s v="AI Customer Success Manager"/>
    <n v="9925"/>
    <s v="claude"/>
    <x v="4"/>
    <n v="1.7"/>
    <n v="0"/>
    <x v="25"/>
    <n v="4"/>
    <n v="5"/>
    <n v="7.1"/>
    <n v="7.6"/>
    <n v="37"/>
    <s v="United States"/>
    <s v="AI Customer Success Manager"/>
    <n v="9925"/>
    <x v="5"/>
    <n v="7.1"/>
  </r>
  <r>
    <s v="U0030"/>
    <n v="36"/>
    <s v="Female"/>
    <s v="United States"/>
    <x v="0"/>
    <s v="PhD"/>
    <s v="AI Customer Success Manager"/>
    <n v="9938"/>
    <s v="claude"/>
    <x v="4"/>
    <n v="1.7"/>
    <n v="0"/>
    <x v="25"/>
    <n v="4"/>
    <n v="5"/>
    <n v="7.1"/>
    <n v="7.6"/>
    <n v="36"/>
    <s v="United States"/>
    <s v="AI Customer Success Manager"/>
    <n v="9938"/>
    <x v="5"/>
    <n v="7.1"/>
  </r>
  <r>
    <s v="U90489"/>
    <n v="30"/>
    <s v="Male"/>
    <s v="United States"/>
    <x v="0"/>
    <s v="Bachelor's"/>
    <s v="Customer Support Specialist"/>
    <n v="10015"/>
    <s v="Chat GPT"/>
    <x v="3"/>
    <n v="5.7"/>
    <n v="0"/>
    <x v="73"/>
    <n v="3"/>
    <n v="9"/>
    <n v="11.4"/>
    <n v="8.4"/>
    <n v="30"/>
    <s v="United States"/>
    <s v="Customer Support Specialist"/>
    <n v="10015"/>
    <x v="0"/>
    <n v="11.4"/>
  </r>
  <r>
    <s v="U0018"/>
    <m/>
    <s v="Male"/>
    <s v="United States"/>
    <x v="0"/>
    <s v="Master's"/>
    <s v="Content Strategist"/>
    <n v="10311"/>
    <s v=" Google Gemini"/>
    <x v="5"/>
    <n v="2.1"/>
    <n v="20"/>
    <x v="38"/>
    <n v="3"/>
    <n v="5"/>
    <n v="5.4"/>
    <n v="10.5"/>
    <n v="30.023333333333333"/>
    <s v="United States"/>
    <s v="Content Strategist"/>
    <n v="10311"/>
    <x v="2"/>
    <n v="5.4"/>
  </r>
  <r>
    <s v="U90126"/>
    <m/>
    <s v="Male"/>
    <s v="United States"/>
    <x v="0"/>
    <s v="Master's"/>
    <s v="Content Strategist"/>
    <n v="10375"/>
    <s v=" Google Gemini"/>
    <x v="5"/>
    <n v="2.1"/>
    <n v="20"/>
    <x v="38"/>
    <n v="3"/>
    <n v="5"/>
    <n v="5.4"/>
    <n v="10.5"/>
    <n v="30.023333333333333"/>
    <s v="United States"/>
    <s v="Content Strategist"/>
    <n v="10375"/>
    <x v="2"/>
    <n v="5.4"/>
  </r>
  <r>
    <s v="U90376"/>
    <n v="37"/>
    <s v="Female"/>
    <s v="United States"/>
    <x v="0"/>
    <s v="PhD"/>
    <s v="AI Customer Success Manager"/>
    <n v="10688"/>
    <s v="claude"/>
    <x v="4"/>
    <n v="1.7"/>
    <n v="0"/>
    <x v="25"/>
    <n v="4"/>
    <n v="5"/>
    <n v="7.1"/>
    <n v="7.6"/>
    <n v="37"/>
    <s v="United States"/>
    <s v="AI Customer Success Manager"/>
    <n v="10688"/>
    <x v="5"/>
    <n v="7.1"/>
  </r>
  <r>
    <s v="U90211"/>
    <n v="37"/>
    <s v="Female"/>
    <s v="United States"/>
    <x v="0"/>
    <s v="PhD"/>
    <s v="AI Customer Success Manager"/>
    <n v="11268"/>
    <s v="claude"/>
    <x v="4"/>
    <n v="1.7"/>
    <n v="0"/>
    <x v="25"/>
    <n v="4"/>
    <n v="5"/>
    <n v="7.1"/>
    <n v="7.6"/>
    <n v="37"/>
    <s v="United States"/>
    <s v="AI Customer Success Manager"/>
    <n v="11268"/>
    <x v="5"/>
    <n v="7.1"/>
  </r>
  <r>
    <s v="U90622"/>
    <n v="16"/>
    <s v="Male"/>
    <s v="India"/>
    <x v="1"/>
    <s v="Undergraduate"/>
    <s v="Electronics and Communication Engineering Student"/>
    <n v="247607"/>
    <s v="Chat GPT"/>
    <x v="2"/>
    <n v="1.7"/>
    <n v="0"/>
    <x v="25"/>
    <n v="4"/>
    <n v="7"/>
    <n v="5"/>
    <n v="7"/>
    <n v="16"/>
    <s v="India"/>
    <s v="Electronics and Communication Engineering Student"/>
    <n v="247607"/>
    <x v="0"/>
    <n v="5"/>
  </r>
  <r>
    <s v="U0160"/>
    <n v="17"/>
    <s v="Male"/>
    <s v="India"/>
    <x v="1"/>
    <s v="Undergraduate"/>
    <s v="Electronics and Communication Engineering Student"/>
    <n v="250000"/>
    <s v="Chat GPT"/>
    <x v="2"/>
    <n v="1.7"/>
    <n v="0"/>
    <x v="25"/>
    <n v="4"/>
    <n v="7"/>
    <n v="5"/>
    <n v="7"/>
    <n v="17"/>
    <s v="India"/>
    <s v="Electronics and Communication Engineering Student"/>
    <n v="250000"/>
    <x v="0"/>
    <n v="5"/>
  </r>
  <r>
    <s v="U90173"/>
    <n v="17"/>
    <s v="Male"/>
    <s v="India"/>
    <x v="1"/>
    <s v="Undergraduate"/>
    <s v="Electronics and Communication Engineering Student"/>
    <n v="251756"/>
    <s v="Chat GPT"/>
    <x v="2"/>
    <n v="1.7"/>
    <n v="0"/>
    <x v="25"/>
    <n v="4"/>
    <n v="7"/>
    <n v="5"/>
    <n v="7"/>
    <n v="17"/>
    <s v="India"/>
    <s v="Electronics and Communication Engineering Student"/>
    <n v="251756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I TOOL">
  <location ref="D25:E3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axis="axisRow" showAll="0">
      <items count="10">
        <item x="0"/>
        <item x="5"/>
        <item x="4"/>
        <item x="2"/>
        <item x="3"/>
        <item x="6"/>
        <item x="1"/>
        <item x="8"/>
        <item x="7"/>
        <item t="default"/>
      </items>
    </pivotField>
    <pivotField numFmtId="165"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Max of Satisfaction_Score" fld="14" subtotal="max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I TOOL">
  <location ref="H14:I2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axis="axisRow" showAll="0">
      <items count="10">
        <item x="0"/>
        <item x="5"/>
        <item x="4"/>
        <item x="2"/>
        <item x="3"/>
        <item x="6"/>
        <item x="1"/>
        <item x="8"/>
        <item h="1" x="7"/>
        <item t="default"/>
      </items>
    </pivotField>
    <pivotField numFmtId="165" showAl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ax of Satisfaction_Score" fld="14" subtotal="max" baseField="2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L PURPOSE">
  <location ref="E14:F23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4"/>
        <item x="3"/>
        <item x="6"/>
        <item x="8"/>
        <item x="2"/>
        <item x="1"/>
        <item h="1" x="7"/>
        <item x="5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dataFields count="1">
    <dataField name="Count of User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A3" firstHeaderRow="1" firstDataRow="1" firstDataCol="0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numFmtId="165" showAll="0"/>
  </pivotFields>
  <rowItems count="1">
    <i/>
  </rowItems>
  <colItems count="1">
    <i/>
  </colItems>
  <dataFields count="1">
    <dataField name="TOTAL NUMBER OF USERS" fld="0" subtotal="count" baseField="0" baseItem="2"/>
  </dataFields>
  <formats count="1">
    <format dxfId="2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I TOOL">
  <location ref="J5:J9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Page" showAll="0">
      <items count="75">
        <item x="7"/>
        <item x="70"/>
        <item x="22"/>
        <item x="40"/>
        <item x="72"/>
        <item x="36"/>
        <item x="48"/>
        <item x="67"/>
        <item x="47"/>
        <item x="45"/>
        <item x="71"/>
        <item x="17"/>
        <item x="35"/>
        <item x="54"/>
        <item x="49"/>
        <item x="9"/>
        <item x="21"/>
        <item x="16"/>
        <item x="31"/>
        <item x="27"/>
        <item x="8"/>
        <item x="4"/>
        <item x="43"/>
        <item x="0"/>
        <item x="34"/>
        <item x="38"/>
        <item x="3"/>
        <item x="59"/>
        <item x="2"/>
        <item x="55"/>
        <item x="24"/>
        <item x="10"/>
        <item x="6"/>
        <item x="23"/>
        <item x="56"/>
        <item x="20"/>
        <item x="64"/>
        <item x="53"/>
        <item x="1"/>
        <item x="28"/>
        <item x="13"/>
        <item x="25"/>
        <item x="69"/>
        <item x="26"/>
        <item x="37"/>
        <item x="41"/>
        <item x="42"/>
        <item x="15"/>
        <item x="11"/>
        <item x="61"/>
        <item x="33"/>
        <item x="19"/>
        <item x="32"/>
        <item x="5"/>
        <item x="44"/>
        <item x="63"/>
        <item x="51"/>
        <item x="46"/>
        <item x="39"/>
        <item x="60"/>
        <item x="65"/>
        <item x="14"/>
        <item x="12"/>
        <item x="50"/>
        <item x="18"/>
        <item x="52"/>
        <item x="30"/>
        <item x="57"/>
        <item x="29"/>
        <item x="58"/>
        <item x="62"/>
        <item x="68"/>
        <item x="73"/>
        <item x="66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10">
        <item x="0"/>
        <item x="5"/>
        <item x="4"/>
        <item x="2"/>
        <item x="3"/>
        <item x="6"/>
        <item x="1"/>
        <item x="8"/>
        <item x="7"/>
        <item t="default"/>
      </items>
    </pivotField>
    <pivotField numFmtId="165" showAll="0"/>
  </pivotFields>
  <rowFields count="1">
    <field x="21"/>
  </rowFields>
  <rowItems count="4">
    <i>
      <x/>
    </i>
    <i>
      <x v="3"/>
    </i>
    <i>
      <x v="7"/>
    </i>
    <i t="grand">
      <x/>
    </i>
  </rowItems>
  <colItems count="1">
    <i/>
  </colItems>
  <pageFields count="1">
    <pageField fld="12" item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rowHeaderCaption="AI TOOL">
  <location ref="E2:F1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numFmtId="1" showAll="0"/>
    <pivotField showAll="0"/>
    <pivotField showAll="0"/>
    <pivotField showAll="0"/>
    <pivotField axis="axisRow" showAll="0">
      <items count="10">
        <item x="0"/>
        <item x="5"/>
        <item x="4"/>
        <item x="2"/>
        <item x="3"/>
        <item x="6"/>
        <item x="1"/>
        <item x="8"/>
        <item h="1" x="7"/>
        <item t="default"/>
      </items>
    </pivotField>
    <pivotField numFmtId="165" showAl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 Time_Saved_Hours_Per_Week" fld="15" subtotal="average" baseField="2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14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fession">
  <location ref="A11:B14" firstHeaderRow="1" firstDataRow="1" firstDataCol="1"/>
  <pivotFields count="23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numFmtId="165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Monthly income" fld="20" subtotal="average" baseField="4" baseItem="0"/>
  </dataFields>
  <formats count="1">
    <format dxfId="3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W989" totalsRowShown="0">
  <autoFilter ref="A1:W989"/>
  <sortState ref="A2:W989">
    <sortCondition ref="U1:U989"/>
  </sortState>
  <tableColumns count="23">
    <tableColumn id="1" name="User_ID"/>
    <tableColumn id="2" name="Age"/>
    <tableColumn id="3" name="Gender"/>
    <tableColumn id="4" name="Country"/>
    <tableColumn id="5" name="User_Type"/>
    <tableColumn id="6" name="Education_Level"/>
    <tableColumn id="7" name="Profession"/>
    <tableColumn id="8" name="Monthly_Income"/>
    <tableColumn id="9" name="AI_Tool"/>
    <tableColumn id="10" name="AI_Purpose" dataDxfId="28"/>
    <tableColumn id="11" name="AI_Usage_Hours_Per_Day" dataDxfId="27"/>
    <tableColumn id="13" name="Monthly_AI_Cost" dataDxfId="26"/>
    <tableColumn id="14" name="Productivity_Score" dataDxfId="25"/>
    <tableColumn id="15" name="Accuracy_Rating"/>
    <tableColumn id="16" name="Satisfaction_Score"/>
    <tableColumn id="17" name="Time_Saved_Hours_Per_Week"/>
    <tableColumn id="18" name="Work_or_Study_Hours_Per_Day"/>
    <tableColumn id="20" name="Age Imputed" dataDxfId="33">
      <calculatedColumnFormula>IF(ISBLANK(Table1[[#This Row],[Age]]),AVERAGE(Table1[Age]),Table1[[#This Row],[Age]])</calculatedColumnFormula>
    </tableColumn>
    <tableColumn id="21" name="Country Imputed" dataDxfId="32">
      <calculatedColumnFormula>PROPER(Table1[[#This Row],[Country]])</calculatedColumnFormula>
    </tableColumn>
    <tableColumn id="19" name="Profession imputed" dataDxfId="12">
      <calculatedColumnFormula>TRIM(Table1[[#This Row],[Profession]])</calculatedColumnFormula>
    </tableColumn>
    <tableColumn id="22" name="Monthly income imputed" dataDxfId="10"/>
    <tableColumn id="12" name="AI_Tool imputed" dataDxfId="11">
      <calculatedColumnFormula>PROPER(TRIM(Table1[AI_Tool]))</calculatedColumnFormula>
    </tableColumn>
    <tableColumn id="23" name="Time_Saved_Hours_Per_Week2 imputed" dataDxfId="31">
      <calculatedColumnFormula>IF(ISBLANK(Table1[[#This Row],[Time_Saved_Hours_Per_Week]]),AVERAGEIF(Table1[Satisfaction_Score],Table1[[#This Row],[Satisfaction_Score]],Table1[Time_Saved_Hours_Per_Week]),Table1[[#This Row],[Time_Saved_Hours_Per_Week]])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9"/>
  <sheetViews>
    <sheetView tabSelected="1" workbookViewId="0">
      <selection activeCell="E992" sqref="E992"/>
    </sheetView>
  </sheetViews>
  <sheetFormatPr defaultRowHeight="15" x14ac:dyDescent="0.25"/>
  <cols>
    <col min="1" max="1" width="10.5703125" bestFit="1" customWidth="1"/>
    <col min="3" max="3" width="10" bestFit="1" customWidth="1"/>
    <col min="4" max="4" width="15.42578125" customWidth="1"/>
    <col min="5" max="5" width="12.85546875" bestFit="1" customWidth="1"/>
    <col min="6" max="6" width="16.85546875" customWidth="1"/>
    <col min="7" max="7" width="27" customWidth="1"/>
    <col min="8" max="8" width="25" customWidth="1"/>
    <col min="9" max="9" width="16.5703125" bestFit="1" customWidth="1"/>
    <col min="10" max="10" width="17.42578125" style="6" bestFit="1" customWidth="1"/>
    <col min="11" max="11" width="27.140625" style="15" bestFit="1" customWidth="1"/>
    <col min="12" max="12" width="19" style="5" bestFit="1" customWidth="1"/>
    <col min="13" max="13" width="20.5703125" style="15" bestFit="1" customWidth="1"/>
    <col min="14" max="14" width="18.28515625" bestFit="1" customWidth="1"/>
    <col min="15" max="15" width="20.140625" bestFit="1" customWidth="1"/>
    <col min="16" max="16" width="31.42578125" bestFit="1" customWidth="1"/>
    <col min="17" max="17" width="33" bestFit="1" customWidth="1"/>
    <col min="18" max="18" width="19.140625" style="2" customWidth="1"/>
    <col min="19" max="19" width="18.5703125" customWidth="1"/>
    <col min="20" max="20" width="49.85546875" customWidth="1"/>
    <col min="21" max="21" width="35.42578125" style="5" customWidth="1"/>
    <col min="22" max="22" width="19.7109375" customWidth="1"/>
    <col min="23" max="23" width="24.85546875" style="8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s="15" t="s">
        <v>10</v>
      </c>
      <c r="L1" s="5" t="s">
        <v>11</v>
      </c>
      <c r="M1" s="15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5" t="s">
        <v>20</v>
      </c>
      <c r="V1" t="s">
        <v>1177</v>
      </c>
      <c r="W1" s="8" t="s">
        <v>1178</v>
      </c>
    </row>
    <row r="2" spans="1:23" x14ac:dyDescent="0.25">
      <c r="A2" t="s">
        <v>28</v>
      </c>
      <c r="B2">
        <v>43</v>
      </c>
      <c r="C2" t="s">
        <v>29</v>
      </c>
      <c r="D2" t="s">
        <v>30</v>
      </c>
      <c r="E2" t="s">
        <v>24</v>
      </c>
      <c r="F2" t="s">
        <v>31</v>
      </c>
      <c r="G2" t="s">
        <v>32</v>
      </c>
      <c r="H2">
        <v>0</v>
      </c>
      <c r="I2" t="s">
        <v>271</v>
      </c>
      <c r="J2" s="6" t="s">
        <v>33</v>
      </c>
      <c r="K2" s="15">
        <v>0.6</v>
      </c>
      <c r="L2" s="5">
        <v>20</v>
      </c>
      <c r="M2" s="15">
        <v>4</v>
      </c>
      <c r="N2">
        <v>2</v>
      </c>
      <c r="O2">
        <v>5</v>
      </c>
      <c r="P2">
        <v>0</v>
      </c>
      <c r="Q2">
        <v>10.1</v>
      </c>
      <c r="R2" s="2">
        <f>IF(ISBLANK(Table1[[#This Row],[Age]]),AVERAGE(Table1[Age]),Table1[[#This Row],[Age]])</f>
        <v>43</v>
      </c>
      <c r="S2" t="str">
        <f>PROPER(Table1[[#This Row],[Country]])</f>
        <v>Brazil</v>
      </c>
      <c r="T2" t="str">
        <f>TRIM(Table1[[#This Row],[Profession]])</f>
        <v>Software Senior</v>
      </c>
      <c r="U2" s="5">
        <f>IF(ISBLANK(H2),AVERAGEIF(Table1[Profession imputed],T2,Table1[Monthly_Income]),H2)</f>
        <v>0</v>
      </c>
      <c r="V2" s="6" t="str">
        <f>PROPER(TRIM(Table1[AI_Tool]))</f>
        <v>Chat Gpt</v>
      </c>
      <c r="W2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" spans="1:23" x14ac:dyDescent="0.25">
      <c r="A3" t="s">
        <v>122</v>
      </c>
      <c r="B3">
        <v>25</v>
      </c>
      <c r="C3" t="s">
        <v>29</v>
      </c>
      <c r="D3" t="s">
        <v>92</v>
      </c>
      <c r="E3" t="s">
        <v>111</v>
      </c>
      <c r="F3" t="s">
        <v>31</v>
      </c>
      <c r="G3" t="s">
        <v>123</v>
      </c>
      <c r="H3">
        <v>0</v>
      </c>
      <c r="I3" t="s">
        <v>271</v>
      </c>
      <c r="J3" s="6" t="s">
        <v>124</v>
      </c>
      <c r="K3" s="15">
        <v>1.9</v>
      </c>
      <c r="L3" s="5">
        <v>10</v>
      </c>
      <c r="M3" s="15">
        <v>5.5</v>
      </c>
      <c r="N3">
        <v>3</v>
      </c>
      <c r="O3">
        <v>5</v>
      </c>
      <c r="P3">
        <v>2.9</v>
      </c>
      <c r="Q3">
        <v>2.1</v>
      </c>
      <c r="R3" s="2">
        <f>IF(ISBLANK(Table1[[#This Row],[Age]]),AVERAGE(Table1[Age]),Table1[[#This Row],[Age]])</f>
        <v>25</v>
      </c>
      <c r="S3" t="str">
        <f>PROPER(Table1[[#This Row],[Country]])</f>
        <v>Canada</v>
      </c>
      <c r="T3" t="str">
        <f>TRIM(Table1[[#This Row],[Profession]])</f>
        <v>Artificial Intelligence Research Student</v>
      </c>
      <c r="U3" s="5">
        <f>IF(ISBLANK(H3),AVERAGEIF(Table1[[#This Row],[Profession imputed]],T3,Table1[Monthly_Income]),H3)</f>
        <v>0</v>
      </c>
      <c r="V3" s="6" t="str">
        <f>PROPER(TRIM(Table1[AI_Tool]))</f>
        <v>Chat Gpt</v>
      </c>
      <c r="W3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4" spans="1:23" x14ac:dyDescent="0.25">
      <c r="A4" t="s">
        <v>125</v>
      </c>
      <c r="B4">
        <v>24</v>
      </c>
      <c r="C4" t="s">
        <v>29</v>
      </c>
      <c r="D4" t="s">
        <v>92</v>
      </c>
      <c r="E4" t="s">
        <v>111</v>
      </c>
      <c r="F4" t="s">
        <v>31</v>
      </c>
      <c r="G4" t="s">
        <v>123</v>
      </c>
      <c r="H4">
        <v>0</v>
      </c>
      <c r="I4" t="s">
        <v>271</v>
      </c>
      <c r="J4" s="6" t="s">
        <v>124</v>
      </c>
      <c r="K4" s="15">
        <v>1.9</v>
      </c>
      <c r="L4" s="5">
        <v>10</v>
      </c>
      <c r="M4" s="15">
        <v>5.5</v>
      </c>
      <c r="N4">
        <v>3</v>
      </c>
      <c r="O4">
        <v>5</v>
      </c>
      <c r="P4">
        <v>2.9</v>
      </c>
      <c r="Q4">
        <v>2.1</v>
      </c>
      <c r="R4" s="2">
        <f>IF(ISBLANK(Table1[[#This Row],[Age]]),AVERAGE(Table1[Age]),Table1[[#This Row],[Age]])</f>
        <v>24</v>
      </c>
      <c r="S4" t="str">
        <f>PROPER(Table1[[#This Row],[Country]])</f>
        <v>Canada</v>
      </c>
      <c r="T4" t="str">
        <f>TRIM(Table1[[#This Row],[Profession]])</f>
        <v>Artificial Intelligence Research Student</v>
      </c>
      <c r="U4" s="5">
        <f>IF(ISBLANK(H4),AVERAGEIF(Table1[[#This Row],[Profession imputed]],T4,Table1[Monthly_Income]),H4)</f>
        <v>0</v>
      </c>
      <c r="V4" s="6" t="str">
        <f>PROPER(TRIM(Table1[AI_Tool]))</f>
        <v>Chat Gpt</v>
      </c>
      <c r="W4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5" spans="1:23" x14ac:dyDescent="0.25">
      <c r="A5" t="s">
        <v>126</v>
      </c>
      <c r="B5">
        <v>24</v>
      </c>
      <c r="C5" t="s">
        <v>29</v>
      </c>
      <c r="D5" t="s">
        <v>92</v>
      </c>
      <c r="E5" t="s">
        <v>111</v>
      </c>
      <c r="F5" t="s">
        <v>31</v>
      </c>
      <c r="G5" t="s">
        <v>123</v>
      </c>
      <c r="H5">
        <v>0</v>
      </c>
      <c r="I5" t="s">
        <v>271</v>
      </c>
      <c r="J5" s="6" t="s">
        <v>124</v>
      </c>
      <c r="K5" s="15">
        <v>1.9</v>
      </c>
      <c r="L5" s="5">
        <v>10</v>
      </c>
      <c r="M5" s="15">
        <v>5.5</v>
      </c>
      <c r="N5">
        <v>3</v>
      </c>
      <c r="O5">
        <v>5</v>
      </c>
      <c r="P5">
        <v>2.9</v>
      </c>
      <c r="Q5">
        <v>2.1</v>
      </c>
      <c r="R5" s="2">
        <f>IF(ISBLANK(Table1[[#This Row],[Age]]),AVERAGE(Table1[Age]),Table1[[#This Row],[Age]])</f>
        <v>24</v>
      </c>
      <c r="S5" t="str">
        <f>PROPER(Table1[[#This Row],[Country]])</f>
        <v>Canada</v>
      </c>
      <c r="T5" t="str">
        <f>TRIM(Table1[[#This Row],[Profession]])</f>
        <v>Artificial Intelligence Research Student</v>
      </c>
      <c r="U5" s="5">
        <f>IF(ISBLANK(H5),AVERAGEIF(Table1[[#This Row],[Profession imputed]],T5,Table1[Monthly_Income]),H5)</f>
        <v>0</v>
      </c>
      <c r="V5" s="6" t="str">
        <f>PROPER(TRIM(Table1[AI_Tool]))</f>
        <v>Chat Gpt</v>
      </c>
      <c r="W5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6" spans="1:23" x14ac:dyDescent="0.25">
      <c r="A6" t="s">
        <v>127</v>
      </c>
      <c r="B6">
        <v>26</v>
      </c>
      <c r="C6" t="s">
        <v>29</v>
      </c>
      <c r="D6" t="s">
        <v>92</v>
      </c>
      <c r="E6" t="s">
        <v>111</v>
      </c>
      <c r="F6" t="s">
        <v>31</v>
      </c>
      <c r="G6" t="s">
        <v>123</v>
      </c>
      <c r="H6">
        <v>0</v>
      </c>
      <c r="I6" t="s">
        <v>271</v>
      </c>
      <c r="J6" s="6" t="s">
        <v>124</v>
      </c>
      <c r="K6" s="15">
        <v>1.9</v>
      </c>
      <c r="L6" s="5">
        <v>10</v>
      </c>
      <c r="M6" s="15">
        <v>5.5</v>
      </c>
      <c r="N6">
        <v>3</v>
      </c>
      <c r="O6">
        <v>5</v>
      </c>
      <c r="P6">
        <v>2.9</v>
      </c>
      <c r="Q6">
        <v>2.1</v>
      </c>
      <c r="R6" s="2">
        <f>IF(ISBLANK(Table1[[#This Row],[Age]]),AVERAGE(Table1[Age]),Table1[[#This Row],[Age]])</f>
        <v>26</v>
      </c>
      <c r="S6" t="str">
        <f>PROPER(Table1[[#This Row],[Country]])</f>
        <v>Canada</v>
      </c>
      <c r="T6" t="str">
        <f>TRIM(Table1[[#This Row],[Profession]])</f>
        <v>Artificial Intelligence Research Student</v>
      </c>
      <c r="U6" s="5">
        <f>IF(ISBLANK(H6),AVERAGEIF(Table1[[#This Row],[Profession imputed]],T6,Table1[Monthly_Income]),H6)</f>
        <v>0</v>
      </c>
      <c r="V6" s="6" t="str">
        <f>PROPER(TRIM(Table1[AI_Tool]))</f>
        <v>Chat Gpt</v>
      </c>
      <c r="W6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7" spans="1:23" x14ac:dyDescent="0.25">
      <c r="A7" t="s">
        <v>138</v>
      </c>
      <c r="B7">
        <v>23</v>
      </c>
      <c r="C7" t="s">
        <v>22</v>
      </c>
      <c r="D7" t="s">
        <v>44</v>
      </c>
      <c r="E7" t="s">
        <v>111</v>
      </c>
      <c r="F7" t="s">
        <v>50</v>
      </c>
      <c r="G7" t="s">
        <v>133</v>
      </c>
      <c r="H7">
        <v>0</v>
      </c>
      <c r="I7" t="s">
        <v>139</v>
      </c>
      <c r="J7" s="6" t="s">
        <v>124</v>
      </c>
      <c r="K7" s="15">
        <v>1.6</v>
      </c>
      <c r="L7" s="5">
        <v>0</v>
      </c>
      <c r="M7" s="15">
        <v>4.5</v>
      </c>
      <c r="N7">
        <v>3</v>
      </c>
      <c r="O7">
        <v>6</v>
      </c>
      <c r="P7">
        <v>4.2</v>
      </c>
      <c r="Q7">
        <v>7</v>
      </c>
      <c r="R7" s="2">
        <f>IF(ISBLANK(Table1[[#This Row],[Age]]),AVERAGE(Table1[Age]),Table1[[#This Row],[Age]])</f>
        <v>23</v>
      </c>
      <c r="S7" t="str">
        <f>PROPER(Table1[[#This Row],[Country]])</f>
        <v>United States</v>
      </c>
      <c r="T7" t="str">
        <f>TRIM(Table1[[#This Row],[Profession]])</f>
        <v>Biology Student</v>
      </c>
      <c r="U7" s="5">
        <f>IF(ISBLANK(H7),AVERAGEIF(Table1[[#This Row],[Profession imputed]],T7,Table1[Monthly_Income]),H7)</f>
        <v>0</v>
      </c>
      <c r="V7" s="6" t="str">
        <f>PROPER(TRIM(Table1[AI_Tool]))</f>
        <v>Microsoft Copilot</v>
      </c>
      <c r="W7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8" spans="1:23" x14ac:dyDescent="0.25">
      <c r="A8" t="s">
        <v>141</v>
      </c>
      <c r="B8">
        <v>23</v>
      </c>
      <c r="C8" t="s">
        <v>22</v>
      </c>
      <c r="D8" t="s">
        <v>57</v>
      </c>
      <c r="E8" t="s">
        <v>111</v>
      </c>
      <c r="F8" t="s">
        <v>50</v>
      </c>
      <c r="G8" t="s">
        <v>133</v>
      </c>
      <c r="H8">
        <v>0</v>
      </c>
      <c r="I8" t="s">
        <v>1186</v>
      </c>
      <c r="J8" s="6" t="s">
        <v>124</v>
      </c>
      <c r="K8" s="15">
        <v>0.8</v>
      </c>
      <c r="L8" s="5">
        <v>20</v>
      </c>
      <c r="M8" s="15">
        <v>4.3</v>
      </c>
      <c r="N8">
        <v>4</v>
      </c>
      <c r="O8">
        <v>5</v>
      </c>
      <c r="P8">
        <v>2.9</v>
      </c>
      <c r="Q8">
        <v>8.6</v>
      </c>
      <c r="R8" s="2">
        <f>IF(ISBLANK(Table1[[#This Row],[Age]]),AVERAGE(Table1[Age]),Table1[[#This Row],[Age]])</f>
        <v>23</v>
      </c>
      <c r="S8" t="str">
        <f>PROPER(Table1[[#This Row],[Country]])</f>
        <v>Pakistan</v>
      </c>
      <c r="T8" t="str">
        <f>TRIM(Table1[[#This Row],[Profession]])</f>
        <v>Biology Student</v>
      </c>
      <c r="U8" s="5">
        <f>IF(ISBLANK(H8),AVERAGEIF(Table1[[#This Row],[Profession imputed]],T8,Table1[Monthly_Income]),H8)</f>
        <v>0</v>
      </c>
      <c r="V8" s="6" t="str">
        <f>PROPER(TRIM(Table1[AI_Tool]))</f>
        <v>Google Gemini</v>
      </c>
      <c r="W8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9" spans="1:23" x14ac:dyDescent="0.25">
      <c r="A9" t="s">
        <v>144</v>
      </c>
      <c r="B9">
        <v>23</v>
      </c>
      <c r="C9" t="s">
        <v>22</v>
      </c>
      <c r="D9" t="s">
        <v>30</v>
      </c>
      <c r="E9" t="s">
        <v>111</v>
      </c>
      <c r="F9" t="s">
        <v>50</v>
      </c>
      <c r="G9" t="s">
        <v>133</v>
      </c>
      <c r="H9">
        <v>0</v>
      </c>
      <c r="I9" t="s">
        <v>271</v>
      </c>
      <c r="J9" s="6" t="s">
        <v>124</v>
      </c>
      <c r="K9" s="15">
        <v>0</v>
      </c>
      <c r="L9" s="5">
        <v>0</v>
      </c>
      <c r="M9" s="15">
        <v>3.8</v>
      </c>
      <c r="N9">
        <v>2</v>
      </c>
      <c r="O9">
        <v>6</v>
      </c>
      <c r="P9">
        <v>0.1</v>
      </c>
      <c r="Q9">
        <v>2.6</v>
      </c>
      <c r="R9" s="2">
        <f>IF(ISBLANK(Table1[[#This Row],[Age]]),AVERAGE(Table1[Age]),Table1[[#This Row],[Age]])</f>
        <v>23</v>
      </c>
      <c r="S9" t="str">
        <f>PROPER(Table1[[#This Row],[Country]])</f>
        <v>Brazil</v>
      </c>
      <c r="T9" t="str">
        <f>TRIM(Table1[[#This Row],[Profession]])</f>
        <v>Biology Student</v>
      </c>
      <c r="U9" s="5">
        <f>IF(ISBLANK(H9),AVERAGEIF(Table1[[#This Row],[Profession imputed]],T9,Table1[Monthly_Income]),H9)</f>
        <v>0</v>
      </c>
      <c r="V9" s="6" t="str">
        <f>PROPER(TRIM(Table1[AI_Tool]))</f>
        <v>Chat Gpt</v>
      </c>
      <c r="W9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10" spans="1:23" x14ac:dyDescent="0.25">
      <c r="A10" t="s">
        <v>146</v>
      </c>
      <c r="B10">
        <v>25</v>
      </c>
      <c r="C10" t="s">
        <v>22</v>
      </c>
      <c r="D10" t="s">
        <v>57</v>
      </c>
      <c r="E10" t="s">
        <v>111</v>
      </c>
      <c r="F10" t="s">
        <v>50</v>
      </c>
      <c r="G10" t="s">
        <v>133</v>
      </c>
      <c r="H10">
        <v>0</v>
      </c>
      <c r="I10" t="s">
        <v>1186</v>
      </c>
      <c r="J10" s="6" t="s">
        <v>124</v>
      </c>
      <c r="K10" s="15">
        <v>0.8</v>
      </c>
      <c r="L10" s="5">
        <v>20</v>
      </c>
      <c r="M10" s="15">
        <v>4.3</v>
      </c>
      <c r="N10">
        <v>4</v>
      </c>
      <c r="O10">
        <v>5</v>
      </c>
      <c r="P10">
        <v>2.9</v>
      </c>
      <c r="Q10">
        <v>8.6</v>
      </c>
      <c r="R10" s="2">
        <f>IF(ISBLANK(Table1[[#This Row],[Age]]),AVERAGE(Table1[Age]),Table1[[#This Row],[Age]])</f>
        <v>25</v>
      </c>
      <c r="S10" t="str">
        <f>PROPER(Table1[[#This Row],[Country]])</f>
        <v>Pakistan</v>
      </c>
      <c r="T10" t="str">
        <f>TRIM(Table1[[#This Row],[Profession]])</f>
        <v>Biology Student</v>
      </c>
      <c r="U10" s="5">
        <f>IF(ISBLANK(H10),AVERAGEIF(Table1[[#This Row],[Profession imputed]],T10,Table1[Monthly_Income]),H10)</f>
        <v>0</v>
      </c>
      <c r="V10" s="6" t="str">
        <f>PROPER(TRIM(Table1[AI_Tool]))</f>
        <v>Google Gemini</v>
      </c>
      <c r="W10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11" spans="1:23" x14ac:dyDescent="0.25">
      <c r="A11" t="s">
        <v>148</v>
      </c>
      <c r="B11">
        <v>25</v>
      </c>
      <c r="C11" t="s">
        <v>22</v>
      </c>
      <c r="D11" t="s">
        <v>44</v>
      </c>
      <c r="E11" t="s">
        <v>111</v>
      </c>
      <c r="F11" t="s">
        <v>50</v>
      </c>
      <c r="G11" t="s">
        <v>133</v>
      </c>
      <c r="H11">
        <v>0</v>
      </c>
      <c r="I11" t="s">
        <v>139</v>
      </c>
      <c r="J11" s="6" t="s">
        <v>124</v>
      </c>
      <c r="K11" s="15">
        <v>1.6</v>
      </c>
      <c r="L11" s="5">
        <v>0</v>
      </c>
      <c r="M11" s="15">
        <v>4.5</v>
      </c>
      <c r="N11">
        <v>3</v>
      </c>
      <c r="O11">
        <v>6</v>
      </c>
      <c r="P11">
        <v>4.2</v>
      </c>
      <c r="Q11">
        <v>7</v>
      </c>
      <c r="R11" s="2">
        <f>IF(ISBLANK(Table1[[#This Row],[Age]]),AVERAGE(Table1[Age]),Table1[[#This Row],[Age]])</f>
        <v>25</v>
      </c>
      <c r="S11" t="str">
        <f>PROPER(Table1[[#This Row],[Country]])</f>
        <v>United States</v>
      </c>
      <c r="T11" t="str">
        <f>TRIM(Table1[[#This Row],[Profession]])</f>
        <v>Biology Student</v>
      </c>
      <c r="U11" s="5">
        <f>IF(ISBLANK(H11),AVERAGEIF(Table1[[#This Row],[Profession imputed]],T11,Table1[Monthly_Income]),H11)</f>
        <v>0</v>
      </c>
      <c r="V11" s="6" t="str">
        <f>PROPER(TRIM(Table1[AI_Tool]))</f>
        <v>Microsoft Copilot</v>
      </c>
      <c r="W11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12" spans="1:23" x14ac:dyDescent="0.25">
      <c r="A12" t="s">
        <v>150</v>
      </c>
      <c r="B12">
        <v>22</v>
      </c>
      <c r="C12" t="s">
        <v>22</v>
      </c>
      <c r="D12" t="s">
        <v>30</v>
      </c>
      <c r="E12" t="s">
        <v>111</v>
      </c>
      <c r="F12" t="s">
        <v>50</v>
      </c>
      <c r="G12" t="s">
        <v>133</v>
      </c>
      <c r="H12">
        <v>0</v>
      </c>
      <c r="I12" t="s">
        <v>271</v>
      </c>
      <c r="J12" s="6" t="s">
        <v>124</v>
      </c>
      <c r="K12" s="15">
        <v>0</v>
      </c>
      <c r="L12" s="5">
        <v>0</v>
      </c>
      <c r="M12" s="15">
        <v>3.8</v>
      </c>
      <c r="N12">
        <v>2</v>
      </c>
      <c r="O12">
        <v>6</v>
      </c>
      <c r="P12">
        <v>0.1</v>
      </c>
      <c r="Q12">
        <v>2.6</v>
      </c>
      <c r="R12" s="2">
        <f>IF(ISBLANK(Table1[[#This Row],[Age]]),AVERAGE(Table1[Age]),Table1[[#This Row],[Age]])</f>
        <v>22</v>
      </c>
      <c r="S12" t="str">
        <f>PROPER(Table1[[#This Row],[Country]])</f>
        <v>Brazil</v>
      </c>
      <c r="T12" t="str">
        <f>TRIM(Table1[[#This Row],[Profession]])</f>
        <v>Biology Student</v>
      </c>
      <c r="U12" s="5">
        <f>IF(ISBLANK(H12),AVERAGEIF(Table1[[#This Row],[Profession imputed]],T12,Table1[Monthly_Income]),H12)</f>
        <v>0</v>
      </c>
      <c r="V12" s="6" t="str">
        <f>PROPER(TRIM(Table1[AI_Tool]))</f>
        <v>Chat Gpt</v>
      </c>
      <c r="W12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13" spans="1:23" x14ac:dyDescent="0.25">
      <c r="A13" t="s">
        <v>154</v>
      </c>
      <c r="B13">
        <v>22</v>
      </c>
      <c r="C13" t="s">
        <v>22</v>
      </c>
      <c r="D13" t="s">
        <v>44</v>
      </c>
      <c r="E13" t="s">
        <v>111</v>
      </c>
      <c r="F13" t="s">
        <v>50</v>
      </c>
      <c r="G13" t="s">
        <v>133</v>
      </c>
      <c r="H13">
        <v>0</v>
      </c>
      <c r="I13" t="s">
        <v>139</v>
      </c>
      <c r="J13" s="6" t="s">
        <v>124</v>
      </c>
      <c r="K13" s="15">
        <v>1.6</v>
      </c>
      <c r="L13" s="5">
        <v>0</v>
      </c>
      <c r="M13" s="15">
        <v>4.5</v>
      </c>
      <c r="N13">
        <v>3</v>
      </c>
      <c r="O13">
        <v>6</v>
      </c>
      <c r="P13">
        <v>4.2</v>
      </c>
      <c r="Q13">
        <v>7</v>
      </c>
      <c r="R13" s="2">
        <f>IF(ISBLANK(Table1[[#This Row],[Age]]),AVERAGE(Table1[Age]),Table1[[#This Row],[Age]])</f>
        <v>22</v>
      </c>
      <c r="S13" t="str">
        <f>PROPER(Table1[[#This Row],[Country]])</f>
        <v>United States</v>
      </c>
      <c r="T13" t="str">
        <f>TRIM(Table1[[#This Row],[Profession]])</f>
        <v>Biology Student</v>
      </c>
      <c r="U13" s="5">
        <f>IF(ISBLANK(H13),AVERAGEIF(Table1[[#This Row],[Profession imputed]],T13,Table1[Monthly_Income]),H13)</f>
        <v>0</v>
      </c>
      <c r="V13" s="6" t="str">
        <f>PROPER(TRIM(Table1[AI_Tool]))</f>
        <v>Microsoft Copilot</v>
      </c>
      <c r="W13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14" spans="1:23" x14ac:dyDescent="0.25">
      <c r="A14" t="s">
        <v>156</v>
      </c>
      <c r="B14">
        <v>22</v>
      </c>
      <c r="C14" t="s">
        <v>22</v>
      </c>
      <c r="D14" t="s">
        <v>30</v>
      </c>
      <c r="E14" t="s">
        <v>111</v>
      </c>
      <c r="F14" t="s">
        <v>50</v>
      </c>
      <c r="G14" t="s">
        <v>133</v>
      </c>
      <c r="H14">
        <v>0</v>
      </c>
      <c r="I14" t="s">
        <v>271</v>
      </c>
      <c r="J14" s="6" t="s">
        <v>124</v>
      </c>
      <c r="K14" s="15">
        <v>0</v>
      </c>
      <c r="L14" s="5">
        <v>0</v>
      </c>
      <c r="M14" s="15">
        <v>3.8</v>
      </c>
      <c r="N14">
        <v>2</v>
      </c>
      <c r="O14">
        <v>6</v>
      </c>
      <c r="P14">
        <v>0.1</v>
      </c>
      <c r="Q14">
        <v>2.6</v>
      </c>
      <c r="R14" s="2">
        <f>IF(ISBLANK(Table1[[#This Row],[Age]]),AVERAGE(Table1[Age]),Table1[[#This Row],[Age]])</f>
        <v>22</v>
      </c>
      <c r="S14" t="str">
        <f>PROPER(Table1[[#This Row],[Country]])</f>
        <v>Brazil</v>
      </c>
      <c r="T14" t="str">
        <f>TRIM(Table1[[#This Row],[Profession]])</f>
        <v>Biology Student</v>
      </c>
      <c r="U14" s="5">
        <f>IF(ISBLANK(H14),AVERAGEIF(Table1[[#This Row],[Profession imputed]],T14,Table1[Monthly_Income]),H14)</f>
        <v>0</v>
      </c>
      <c r="V14" s="6" t="str">
        <f>PROPER(TRIM(Table1[AI_Tool]))</f>
        <v>Chat Gpt</v>
      </c>
      <c r="W14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15" spans="1:23" x14ac:dyDescent="0.25">
      <c r="A15" t="s">
        <v>157</v>
      </c>
      <c r="B15">
        <v>25</v>
      </c>
      <c r="C15" t="s">
        <v>22</v>
      </c>
      <c r="D15" t="s">
        <v>44</v>
      </c>
      <c r="E15" t="s">
        <v>111</v>
      </c>
      <c r="F15" t="s">
        <v>50</v>
      </c>
      <c r="G15" t="s">
        <v>133</v>
      </c>
      <c r="H15">
        <v>0</v>
      </c>
      <c r="I15" t="s">
        <v>139</v>
      </c>
      <c r="J15" s="6" t="s">
        <v>124</v>
      </c>
      <c r="K15" s="15">
        <v>1.6</v>
      </c>
      <c r="L15" s="5">
        <v>0</v>
      </c>
      <c r="M15" s="15">
        <v>4.5</v>
      </c>
      <c r="N15">
        <v>3</v>
      </c>
      <c r="O15">
        <v>6</v>
      </c>
      <c r="P15">
        <v>4.2</v>
      </c>
      <c r="Q15">
        <v>7</v>
      </c>
      <c r="R15" s="2">
        <f>IF(ISBLANK(Table1[[#This Row],[Age]]),AVERAGE(Table1[Age]),Table1[[#This Row],[Age]])</f>
        <v>25</v>
      </c>
      <c r="S15" t="str">
        <f>PROPER(Table1[[#This Row],[Country]])</f>
        <v>United States</v>
      </c>
      <c r="T15" t="str">
        <f>TRIM(Table1[[#This Row],[Profession]])</f>
        <v>Biology Student</v>
      </c>
      <c r="U15" s="5">
        <f>IF(ISBLANK(H15),AVERAGEIF(Table1[[#This Row],[Profession imputed]],T15,Table1[Monthly_Income]),H15)</f>
        <v>0</v>
      </c>
      <c r="V15" s="6" t="str">
        <f>PROPER(TRIM(Table1[AI_Tool]))</f>
        <v>Microsoft Copilot</v>
      </c>
      <c r="W15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16" spans="1:23" x14ac:dyDescent="0.25">
      <c r="A16" t="s">
        <v>160</v>
      </c>
      <c r="B16">
        <v>21</v>
      </c>
      <c r="C16" t="s">
        <v>22</v>
      </c>
      <c r="D16" t="s">
        <v>44</v>
      </c>
      <c r="E16" t="s">
        <v>111</v>
      </c>
      <c r="F16" t="s">
        <v>50</v>
      </c>
      <c r="G16" t="s">
        <v>133</v>
      </c>
      <c r="H16">
        <v>0</v>
      </c>
      <c r="I16" t="s">
        <v>139</v>
      </c>
      <c r="J16" s="6" t="s">
        <v>124</v>
      </c>
      <c r="K16" s="15">
        <v>1.6</v>
      </c>
      <c r="L16" s="5">
        <v>0</v>
      </c>
      <c r="M16" s="15">
        <v>4.5</v>
      </c>
      <c r="N16">
        <v>3</v>
      </c>
      <c r="O16">
        <v>6</v>
      </c>
      <c r="P16">
        <v>4.2</v>
      </c>
      <c r="Q16">
        <v>7</v>
      </c>
      <c r="R16" s="2">
        <f>IF(ISBLANK(Table1[[#This Row],[Age]]),AVERAGE(Table1[Age]),Table1[[#This Row],[Age]])</f>
        <v>21</v>
      </c>
      <c r="S16" t="str">
        <f>PROPER(Table1[[#This Row],[Country]])</f>
        <v>United States</v>
      </c>
      <c r="T16" t="str">
        <f>TRIM(Table1[[#This Row],[Profession]])</f>
        <v>Biology Student</v>
      </c>
      <c r="U16" s="5">
        <f>IF(ISBLANK(H16),AVERAGEIF(Table1[[#This Row],[Profession imputed]],T16,Table1[Monthly_Income]),H16)</f>
        <v>0</v>
      </c>
      <c r="V16" s="6" t="str">
        <f>PROPER(TRIM(Table1[AI_Tool]))</f>
        <v>Microsoft Copilot</v>
      </c>
      <c r="W16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17" spans="1:23" x14ac:dyDescent="0.25">
      <c r="A17" t="s">
        <v>161</v>
      </c>
      <c r="B17">
        <v>21</v>
      </c>
      <c r="C17" t="s">
        <v>22</v>
      </c>
      <c r="D17" t="s">
        <v>30</v>
      </c>
      <c r="E17" t="s">
        <v>111</v>
      </c>
      <c r="F17" t="s">
        <v>50</v>
      </c>
      <c r="G17" t="s">
        <v>133</v>
      </c>
      <c r="H17">
        <v>0</v>
      </c>
      <c r="I17" t="s">
        <v>271</v>
      </c>
      <c r="J17" s="6" t="s">
        <v>124</v>
      </c>
      <c r="K17" s="15">
        <v>0</v>
      </c>
      <c r="L17" s="5">
        <v>0</v>
      </c>
      <c r="M17" s="15">
        <v>3.8</v>
      </c>
      <c r="N17">
        <v>2</v>
      </c>
      <c r="O17">
        <v>6</v>
      </c>
      <c r="P17">
        <v>0.1</v>
      </c>
      <c r="Q17">
        <v>2.6</v>
      </c>
      <c r="R17" s="2">
        <f>IF(ISBLANK(Table1[[#This Row],[Age]]),AVERAGE(Table1[Age]),Table1[[#This Row],[Age]])</f>
        <v>21</v>
      </c>
      <c r="S17" t="str">
        <f>PROPER(Table1[[#This Row],[Country]])</f>
        <v>Brazil</v>
      </c>
      <c r="T17" t="str">
        <f>TRIM(Table1[[#This Row],[Profession]])</f>
        <v>Biology Student</v>
      </c>
      <c r="U17" s="5">
        <f>IF(ISBLANK(H17),AVERAGEIF(Table1[[#This Row],[Profession imputed]],T17,Table1[Monthly_Income]),H17)</f>
        <v>0</v>
      </c>
      <c r="V17" s="6" t="str">
        <f>PROPER(TRIM(Table1[AI_Tool]))</f>
        <v>Chat Gpt</v>
      </c>
      <c r="W17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18" spans="1:23" x14ac:dyDescent="0.25">
      <c r="A18" t="s">
        <v>167</v>
      </c>
      <c r="B18">
        <v>21</v>
      </c>
      <c r="C18" t="s">
        <v>22</v>
      </c>
      <c r="D18" t="s">
        <v>30</v>
      </c>
      <c r="E18" t="s">
        <v>111</v>
      </c>
      <c r="F18" t="s">
        <v>50</v>
      </c>
      <c r="G18" t="s">
        <v>133</v>
      </c>
      <c r="H18">
        <v>0</v>
      </c>
      <c r="I18" t="s">
        <v>271</v>
      </c>
      <c r="J18" s="6" t="s">
        <v>124</v>
      </c>
      <c r="K18" s="15">
        <v>0</v>
      </c>
      <c r="L18" s="5">
        <v>0</v>
      </c>
      <c r="M18" s="15">
        <v>3.8</v>
      </c>
      <c r="N18">
        <v>2</v>
      </c>
      <c r="O18">
        <v>6</v>
      </c>
      <c r="P18">
        <v>0.1</v>
      </c>
      <c r="Q18">
        <v>2.6</v>
      </c>
      <c r="R18" s="2">
        <f>IF(ISBLANK(Table1[[#This Row],[Age]]),AVERAGE(Table1[Age]),Table1[[#This Row],[Age]])</f>
        <v>21</v>
      </c>
      <c r="S18" t="str">
        <f>PROPER(Table1[[#This Row],[Country]])</f>
        <v>Brazil</v>
      </c>
      <c r="T18" t="str">
        <f>TRIM(Table1[[#This Row],[Profession]])</f>
        <v>Biology Student</v>
      </c>
      <c r="U18" s="5">
        <f>IF(ISBLANK(H18),AVERAGEIF(Table1[[#This Row],[Profession imputed]],T18,Table1[Monthly_Income]),H18)</f>
        <v>0</v>
      </c>
      <c r="V18" s="6" t="str">
        <f>PROPER(TRIM(Table1[AI_Tool]))</f>
        <v>Chat Gpt</v>
      </c>
      <c r="W18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19" spans="1:23" x14ac:dyDescent="0.25">
      <c r="A19" t="s">
        <v>170</v>
      </c>
      <c r="B19">
        <v>25</v>
      </c>
      <c r="C19" t="s">
        <v>22</v>
      </c>
      <c r="D19" t="s">
        <v>44</v>
      </c>
      <c r="E19" t="s">
        <v>111</v>
      </c>
      <c r="F19" t="s">
        <v>50</v>
      </c>
      <c r="G19" t="s">
        <v>133</v>
      </c>
      <c r="H19">
        <v>0</v>
      </c>
      <c r="I19" t="s">
        <v>139</v>
      </c>
      <c r="J19" s="6" t="s">
        <v>124</v>
      </c>
      <c r="K19" s="15">
        <v>1.6</v>
      </c>
      <c r="L19" s="5">
        <v>0</v>
      </c>
      <c r="M19" s="15">
        <v>4.5</v>
      </c>
      <c r="N19">
        <v>3</v>
      </c>
      <c r="O19">
        <v>6</v>
      </c>
      <c r="P19">
        <v>4.2</v>
      </c>
      <c r="Q19">
        <v>7</v>
      </c>
      <c r="R19" s="2">
        <f>IF(ISBLANK(Table1[[#This Row],[Age]]),AVERAGE(Table1[Age]),Table1[[#This Row],[Age]])</f>
        <v>25</v>
      </c>
      <c r="S19" t="str">
        <f>PROPER(Table1[[#This Row],[Country]])</f>
        <v>United States</v>
      </c>
      <c r="T19" t="str">
        <f>TRIM(Table1[[#This Row],[Profession]])</f>
        <v>Biology Student</v>
      </c>
      <c r="U19" s="5">
        <f>IF(ISBLANK(H19),AVERAGEIF(Table1[Profession imputed],T19,Table1[Monthly_Income]),H19)</f>
        <v>0</v>
      </c>
      <c r="V19" s="6" t="str">
        <f>PROPER(TRIM(Table1[AI_Tool]))</f>
        <v>Microsoft Copilot</v>
      </c>
      <c r="W19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20" spans="1:23" x14ac:dyDescent="0.25">
      <c r="A20" t="s">
        <v>172</v>
      </c>
      <c r="B20">
        <v>23</v>
      </c>
      <c r="C20" t="s">
        <v>22</v>
      </c>
      <c r="D20" t="s">
        <v>30</v>
      </c>
      <c r="E20" t="s">
        <v>111</v>
      </c>
      <c r="F20" t="s">
        <v>50</v>
      </c>
      <c r="G20" t="s">
        <v>133</v>
      </c>
      <c r="H20">
        <v>0</v>
      </c>
      <c r="I20" t="s">
        <v>271</v>
      </c>
      <c r="J20" s="6" t="s">
        <v>124</v>
      </c>
      <c r="K20" s="15">
        <v>0</v>
      </c>
      <c r="L20" s="5">
        <v>0</v>
      </c>
      <c r="M20" s="15">
        <v>3.8</v>
      </c>
      <c r="N20">
        <v>2</v>
      </c>
      <c r="O20">
        <v>6</v>
      </c>
      <c r="P20">
        <v>0.1</v>
      </c>
      <c r="Q20">
        <v>2.6</v>
      </c>
      <c r="R20" s="2">
        <f>IF(ISBLANK(Table1[[#This Row],[Age]]),AVERAGE(Table1[Age]),Table1[[#This Row],[Age]])</f>
        <v>23</v>
      </c>
      <c r="S20" t="str">
        <f>PROPER(Table1[[#This Row],[Country]])</f>
        <v>Brazil</v>
      </c>
      <c r="T20" t="str">
        <f>TRIM(Table1[[#This Row],[Profession]])</f>
        <v>Biology Student</v>
      </c>
      <c r="U20" s="5">
        <f>IF(ISBLANK(H20),AVERAGEIF(Table1[Profession imputed],T20,Table1[Monthly_Income]),H20)</f>
        <v>0</v>
      </c>
      <c r="V20" s="6" t="str">
        <f>PROPER(TRIM(Table1[AI_Tool]))</f>
        <v>Chat Gpt</v>
      </c>
      <c r="W20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21" spans="1:23" x14ac:dyDescent="0.25">
      <c r="A21" t="s">
        <v>175</v>
      </c>
      <c r="B21">
        <v>21</v>
      </c>
      <c r="C21" t="s">
        <v>22</v>
      </c>
      <c r="D21" t="s">
        <v>57</v>
      </c>
      <c r="E21" t="s">
        <v>111</v>
      </c>
      <c r="F21" t="s">
        <v>50</v>
      </c>
      <c r="G21" t="s">
        <v>133</v>
      </c>
      <c r="H21">
        <v>0</v>
      </c>
      <c r="I21" t="s">
        <v>1186</v>
      </c>
      <c r="J21" s="6" t="s">
        <v>124</v>
      </c>
      <c r="K21" s="15">
        <v>0.8</v>
      </c>
      <c r="L21" s="5">
        <v>20</v>
      </c>
      <c r="M21" s="15">
        <v>4.3</v>
      </c>
      <c r="N21">
        <v>4</v>
      </c>
      <c r="O21">
        <v>5</v>
      </c>
      <c r="P21">
        <v>2.9</v>
      </c>
      <c r="Q21">
        <v>8.6</v>
      </c>
      <c r="R21" s="2">
        <f>IF(ISBLANK(Table1[[#This Row],[Age]]),AVERAGE(Table1[Age]),Table1[[#This Row],[Age]])</f>
        <v>21</v>
      </c>
      <c r="S21" t="str">
        <f>PROPER(Table1[[#This Row],[Country]])</f>
        <v>Pakistan</v>
      </c>
      <c r="T21" t="str">
        <f>TRIM(Table1[[#This Row],[Profession]])</f>
        <v>Biology Student</v>
      </c>
      <c r="U21" s="5">
        <f>IF(ISBLANK(H21),AVERAGEIF(Table1[Profession imputed],T21,Table1[Monthly_Income]),H21)</f>
        <v>0</v>
      </c>
      <c r="V21" s="6" t="str">
        <f>PROPER(TRIM(Table1[AI_Tool]))</f>
        <v>Google Gemini</v>
      </c>
      <c r="W21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22" spans="1:23" x14ac:dyDescent="0.25">
      <c r="A22" t="s">
        <v>212</v>
      </c>
      <c r="C22" t="s">
        <v>29</v>
      </c>
      <c r="D22" t="s">
        <v>189</v>
      </c>
      <c r="E22" t="s">
        <v>111</v>
      </c>
      <c r="F22" t="s">
        <v>132</v>
      </c>
      <c r="G22" t="s">
        <v>213</v>
      </c>
      <c r="H22">
        <v>0</v>
      </c>
      <c r="I22" t="s">
        <v>271</v>
      </c>
      <c r="J22" s="6" t="s">
        <v>130</v>
      </c>
      <c r="K22" s="15">
        <v>5.4</v>
      </c>
      <c r="L22" s="5">
        <v>0</v>
      </c>
      <c r="M22" s="15">
        <v>7.2</v>
      </c>
      <c r="N22">
        <v>4</v>
      </c>
      <c r="O22">
        <v>8</v>
      </c>
      <c r="P22">
        <v>10.7</v>
      </c>
      <c r="Q22">
        <v>4.8</v>
      </c>
      <c r="R22" s="2">
        <f>IF(ISBLANK(Table1[[#This Row],[Age]]),AVERAGE(Table1[Age]),Table1[[#This Row],[Age]])</f>
        <v>30.023333333333333</v>
      </c>
      <c r="S22" t="str">
        <f>PROPER(Table1[[#This Row],[Country]])</f>
        <v>Australia</v>
      </c>
      <c r="T22" t="str">
        <f>TRIM(Table1[[#This Row],[Profession]])</f>
        <v>Business Administration Student</v>
      </c>
      <c r="U22" s="5">
        <f>IF(ISBLANK(H22),AVERAGEIF(Table1[Profession imputed],T22,Table1[Monthly_Income]),H22)</f>
        <v>0</v>
      </c>
      <c r="V22" s="6" t="str">
        <f>PROPER(TRIM(Table1[AI_Tool]))</f>
        <v>Chat Gpt</v>
      </c>
      <c r="W22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23" spans="1:23" x14ac:dyDescent="0.25">
      <c r="A23" t="s">
        <v>219</v>
      </c>
      <c r="B23">
        <v>22</v>
      </c>
      <c r="C23" t="s">
        <v>29</v>
      </c>
      <c r="D23" t="s">
        <v>92</v>
      </c>
      <c r="E23" t="s">
        <v>111</v>
      </c>
      <c r="F23" t="s">
        <v>50</v>
      </c>
      <c r="G23" t="s">
        <v>213</v>
      </c>
      <c r="H23">
        <v>0</v>
      </c>
      <c r="I23" t="s">
        <v>1186</v>
      </c>
      <c r="J23" s="6" t="s">
        <v>124</v>
      </c>
      <c r="K23" s="15">
        <v>2</v>
      </c>
      <c r="L23" s="5">
        <v>0</v>
      </c>
      <c r="M23" s="15">
        <v>4.9000000000000004</v>
      </c>
      <c r="N23">
        <v>3</v>
      </c>
      <c r="O23">
        <v>6</v>
      </c>
      <c r="P23">
        <v>4.3</v>
      </c>
      <c r="Q23">
        <v>8.3000000000000007</v>
      </c>
      <c r="R23" s="2">
        <f>IF(ISBLANK(Table1[[#This Row],[Age]]),AVERAGE(Table1[Age]),Table1[[#This Row],[Age]])</f>
        <v>22</v>
      </c>
      <c r="S23" t="str">
        <f>PROPER(Table1[[#This Row],[Country]])</f>
        <v>Canada</v>
      </c>
      <c r="T23" t="str">
        <f>TRIM(Table1[[#This Row],[Profession]])</f>
        <v>Business Administration Student</v>
      </c>
      <c r="U23" s="5">
        <f>IF(ISBLANK(H23),AVERAGEIF(Table1[Profession imputed],T23,Table1[Monthly_Income]),H23)</f>
        <v>0</v>
      </c>
      <c r="V23" s="6" t="str">
        <f>PROPER(TRIM(Table1[AI_Tool]))</f>
        <v>Google Gemini</v>
      </c>
      <c r="W23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4" spans="1:23" x14ac:dyDescent="0.25">
      <c r="A24" t="s">
        <v>220</v>
      </c>
      <c r="B24">
        <v>23</v>
      </c>
      <c r="C24" t="s">
        <v>29</v>
      </c>
      <c r="D24" t="s">
        <v>92</v>
      </c>
      <c r="E24" t="s">
        <v>111</v>
      </c>
      <c r="F24" t="s">
        <v>50</v>
      </c>
      <c r="G24" t="s">
        <v>213</v>
      </c>
      <c r="H24">
        <v>0</v>
      </c>
      <c r="I24" t="s">
        <v>1186</v>
      </c>
      <c r="J24" s="6" t="s">
        <v>124</v>
      </c>
      <c r="K24" s="15">
        <v>2</v>
      </c>
      <c r="L24" s="5">
        <v>0</v>
      </c>
      <c r="M24" s="15">
        <v>4.9000000000000004</v>
      </c>
      <c r="N24">
        <v>3</v>
      </c>
      <c r="O24">
        <v>6</v>
      </c>
      <c r="P24">
        <v>4.3</v>
      </c>
      <c r="Q24">
        <v>8.3000000000000007</v>
      </c>
      <c r="R24" s="2">
        <f>IF(ISBLANK(Table1[[#This Row],[Age]]),AVERAGE(Table1[Age]),Table1[[#This Row],[Age]])</f>
        <v>23</v>
      </c>
      <c r="S24" t="str">
        <f>PROPER(Table1[[#This Row],[Country]])</f>
        <v>Canada</v>
      </c>
      <c r="T24" t="str">
        <f>TRIM(Table1[[#This Row],[Profession]])</f>
        <v>Business Administration Student</v>
      </c>
      <c r="U24" s="5">
        <f>IF(ISBLANK(H24),AVERAGEIF(Table1[Profession imputed],T24,Table1[Monthly_Income]),H24)</f>
        <v>0</v>
      </c>
      <c r="V24" s="6" t="str">
        <f>PROPER(TRIM(Table1[AI_Tool]))</f>
        <v>Google Gemini</v>
      </c>
      <c r="W24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5" spans="1:23" x14ac:dyDescent="0.25">
      <c r="A25" t="s">
        <v>221</v>
      </c>
      <c r="B25">
        <v>22</v>
      </c>
      <c r="C25" t="s">
        <v>29</v>
      </c>
      <c r="D25" t="s">
        <v>92</v>
      </c>
      <c r="E25" t="s">
        <v>111</v>
      </c>
      <c r="F25" t="s">
        <v>50</v>
      </c>
      <c r="G25" t="s">
        <v>213</v>
      </c>
      <c r="H25">
        <v>0</v>
      </c>
      <c r="I25" t="s">
        <v>1186</v>
      </c>
      <c r="J25" s="6" t="s">
        <v>124</v>
      </c>
      <c r="K25" s="15">
        <v>2</v>
      </c>
      <c r="L25" s="5">
        <v>0</v>
      </c>
      <c r="M25" s="15">
        <v>4.9000000000000004</v>
      </c>
      <c r="N25">
        <v>3</v>
      </c>
      <c r="O25">
        <v>6</v>
      </c>
      <c r="P25">
        <v>4.3</v>
      </c>
      <c r="Q25">
        <v>8.3000000000000007</v>
      </c>
      <c r="R25" s="2">
        <f>IF(ISBLANK(Table1[[#This Row],[Age]]),AVERAGE(Table1[Age]),Table1[[#This Row],[Age]])</f>
        <v>22</v>
      </c>
      <c r="S25" t="str">
        <f>PROPER(Table1[[#This Row],[Country]])</f>
        <v>Canada</v>
      </c>
      <c r="T25" t="str">
        <f>TRIM(Table1[[#This Row],[Profession]])</f>
        <v>Business Administration Student</v>
      </c>
      <c r="U25" s="5">
        <f>IF(ISBLANK(H25),AVERAGEIF(Table1[Profession imputed],T25,Table1[Monthly_Income]),H25)</f>
        <v>0</v>
      </c>
      <c r="V25" s="6" t="str">
        <f>PROPER(TRIM(Table1[AI_Tool]))</f>
        <v>Google Gemini</v>
      </c>
      <c r="W25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6" spans="1:23" x14ac:dyDescent="0.25">
      <c r="A26" t="s">
        <v>232</v>
      </c>
      <c r="C26" t="s">
        <v>29</v>
      </c>
      <c r="D26" t="s">
        <v>189</v>
      </c>
      <c r="E26" t="s">
        <v>111</v>
      </c>
      <c r="F26" t="s">
        <v>218</v>
      </c>
      <c r="G26" t="s">
        <v>213</v>
      </c>
      <c r="H26">
        <v>0</v>
      </c>
      <c r="I26" t="s">
        <v>271</v>
      </c>
      <c r="J26" s="6" t="s">
        <v>130</v>
      </c>
      <c r="K26" s="15">
        <v>5.4</v>
      </c>
      <c r="L26" s="5">
        <v>0</v>
      </c>
      <c r="M26" s="15">
        <v>7.2</v>
      </c>
      <c r="N26">
        <v>4</v>
      </c>
      <c r="O26">
        <v>8</v>
      </c>
      <c r="P26">
        <v>10.7</v>
      </c>
      <c r="Q26">
        <v>4.8</v>
      </c>
      <c r="R26" s="2">
        <f>IF(ISBLANK(Table1[[#This Row],[Age]]),AVERAGE(Table1[Age]),Table1[[#This Row],[Age]])</f>
        <v>30.023333333333333</v>
      </c>
      <c r="S26" t="str">
        <f>PROPER(Table1[[#This Row],[Country]])</f>
        <v>Australia</v>
      </c>
      <c r="T26" t="str">
        <f>TRIM(Table1[[#This Row],[Profession]])</f>
        <v>Business Administration Student</v>
      </c>
      <c r="U26" s="5">
        <f>IF(ISBLANK(H26),AVERAGEIF(Table1[Profession imputed],T26,Table1[Monthly_Income]),H26)</f>
        <v>0</v>
      </c>
      <c r="V26" s="6" t="str">
        <f>PROPER(TRIM(Table1[AI_Tool]))</f>
        <v>Chat Gpt</v>
      </c>
      <c r="W26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27" spans="1:23" x14ac:dyDescent="0.25">
      <c r="A27" t="s">
        <v>233</v>
      </c>
      <c r="C27" t="s">
        <v>29</v>
      </c>
      <c r="D27" t="s">
        <v>189</v>
      </c>
      <c r="E27" t="s">
        <v>111</v>
      </c>
      <c r="F27" t="s">
        <v>218</v>
      </c>
      <c r="G27" t="s">
        <v>213</v>
      </c>
      <c r="H27">
        <v>0</v>
      </c>
      <c r="I27" t="s">
        <v>271</v>
      </c>
      <c r="J27" s="6" t="s">
        <v>130</v>
      </c>
      <c r="K27" s="15">
        <v>5.4</v>
      </c>
      <c r="L27" s="5">
        <v>0</v>
      </c>
      <c r="M27" s="15">
        <v>7.2</v>
      </c>
      <c r="N27">
        <v>4</v>
      </c>
      <c r="O27">
        <v>8</v>
      </c>
      <c r="P27">
        <v>10.7</v>
      </c>
      <c r="Q27">
        <v>4.8</v>
      </c>
      <c r="R27" s="2">
        <f>IF(ISBLANK(Table1[[#This Row],[Age]]),AVERAGE(Table1[Age]),Table1[[#This Row],[Age]])</f>
        <v>30.023333333333333</v>
      </c>
      <c r="S27" t="str">
        <f>PROPER(Table1[[#This Row],[Country]])</f>
        <v>Australia</v>
      </c>
      <c r="T27" t="str">
        <f>TRIM(Table1[[#This Row],[Profession]])</f>
        <v>Business Administration Student</v>
      </c>
      <c r="U27" s="5">
        <f>IF(ISBLANK(H27),AVERAGEIF(Table1[Profession imputed],T27,Table1[Monthly_Income]),H27)</f>
        <v>0</v>
      </c>
      <c r="V27" s="6" t="str">
        <f>PROPER(TRIM(Table1[AI_Tool]))</f>
        <v>Chat Gpt</v>
      </c>
      <c r="W27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28" spans="1:23" x14ac:dyDescent="0.25">
      <c r="A28" t="s">
        <v>234</v>
      </c>
      <c r="B28">
        <v>21</v>
      </c>
      <c r="C28" t="s">
        <v>29</v>
      </c>
      <c r="D28" t="s">
        <v>92</v>
      </c>
      <c r="E28" t="s">
        <v>111</v>
      </c>
      <c r="F28" t="s">
        <v>50</v>
      </c>
      <c r="G28" t="s">
        <v>213</v>
      </c>
      <c r="H28">
        <v>0</v>
      </c>
      <c r="I28" t="s">
        <v>1186</v>
      </c>
      <c r="J28" s="6" t="s">
        <v>124</v>
      </c>
      <c r="K28" s="15">
        <v>2</v>
      </c>
      <c r="L28" s="5">
        <v>0</v>
      </c>
      <c r="M28" s="15">
        <v>4.9000000000000004</v>
      </c>
      <c r="N28">
        <v>3</v>
      </c>
      <c r="O28">
        <v>6</v>
      </c>
      <c r="P28">
        <v>4.3</v>
      </c>
      <c r="Q28">
        <v>8.3000000000000007</v>
      </c>
      <c r="R28" s="2">
        <f>IF(ISBLANK(Table1[[#This Row],[Age]]),AVERAGE(Table1[Age]),Table1[[#This Row],[Age]])</f>
        <v>21</v>
      </c>
      <c r="S28" t="str">
        <f>PROPER(Table1[[#This Row],[Country]])</f>
        <v>Canada</v>
      </c>
      <c r="T28" t="str">
        <f>TRIM(Table1[[#This Row],[Profession]])</f>
        <v>Business Administration Student</v>
      </c>
      <c r="U28" s="5">
        <f>IF(ISBLANK(H28),AVERAGEIF(Table1[Profession imputed],T28,Table1[Monthly_Income]),H28)</f>
        <v>0</v>
      </c>
      <c r="V28" s="6" t="str">
        <f>PROPER(TRIM(Table1[AI_Tool]))</f>
        <v>Google Gemini</v>
      </c>
      <c r="W28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9" spans="1:23" x14ac:dyDescent="0.25">
      <c r="A29" t="s">
        <v>264</v>
      </c>
      <c r="B29">
        <v>26</v>
      </c>
      <c r="C29" t="s">
        <v>29</v>
      </c>
      <c r="D29" t="s">
        <v>35</v>
      </c>
      <c r="E29" t="s">
        <v>111</v>
      </c>
      <c r="F29" t="s">
        <v>31</v>
      </c>
      <c r="G29" t="s">
        <v>265</v>
      </c>
      <c r="H29">
        <v>0</v>
      </c>
      <c r="I29" t="s">
        <v>1186</v>
      </c>
      <c r="J29" s="6" t="s">
        <v>33</v>
      </c>
      <c r="K29" s="15">
        <v>0.8</v>
      </c>
      <c r="L29" s="5">
        <v>0</v>
      </c>
      <c r="M29" s="15">
        <v>0</v>
      </c>
      <c r="N29">
        <v>2</v>
      </c>
      <c r="O29">
        <v>3</v>
      </c>
      <c r="P29">
        <v>0</v>
      </c>
      <c r="Q29">
        <v>3.7</v>
      </c>
      <c r="R29" s="2">
        <f>IF(ISBLANK(Table1[[#This Row],[Age]]),AVERAGE(Table1[Age]),Table1[[#This Row],[Age]])</f>
        <v>26</v>
      </c>
      <c r="S29" t="str">
        <f>PROPER(Table1[[#This Row],[Country]])</f>
        <v>Philippines</v>
      </c>
      <c r="T29" t="str">
        <f>TRIM(Table1[[#This Row],[Profession]])</f>
        <v>Computer Science PhD Student</v>
      </c>
      <c r="U29" s="5">
        <f>IF(ISBLANK(H29),AVERAGEIF(Table1[Profession imputed],T29,Table1[Monthly_Income]),H29)</f>
        <v>0</v>
      </c>
      <c r="V29" s="6" t="str">
        <f>PROPER(TRIM(Table1[AI_Tool]))</f>
        <v>Google Gemini</v>
      </c>
      <c r="W29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0" spans="1:23" x14ac:dyDescent="0.25">
      <c r="A30" t="s">
        <v>266</v>
      </c>
      <c r="B30">
        <v>28</v>
      </c>
      <c r="C30" t="s">
        <v>29</v>
      </c>
      <c r="D30" t="s">
        <v>35</v>
      </c>
      <c r="E30" t="s">
        <v>111</v>
      </c>
      <c r="F30" t="s">
        <v>31</v>
      </c>
      <c r="G30" t="s">
        <v>265</v>
      </c>
      <c r="H30">
        <v>0</v>
      </c>
      <c r="I30" t="s">
        <v>1186</v>
      </c>
      <c r="J30" s="6" t="s">
        <v>33</v>
      </c>
      <c r="K30" s="15">
        <v>0.8</v>
      </c>
      <c r="L30" s="5">
        <v>0</v>
      </c>
      <c r="M30" s="15">
        <v>0</v>
      </c>
      <c r="N30">
        <v>2</v>
      </c>
      <c r="O30">
        <v>3</v>
      </c>
      <c r="P30">
        <v>0</v>
      </c>
      <c r="Q30">
        <v>3.7</v>
      </c>
      <c r="R30" s="2">
        <f>IF(ISBLANK(Table1[[#This Row],[Age]]),AVERAGE(Table1[Age]),Table1[[#This Row],[Age]])</f>
        <v>28</v>
      </c>
      <c r="S30" t="str">
        <f>PROPER(Table1[[#This Row],[Country]])</f>
        <v>Philippines</v>
      </c>
      <c r="T30" t="str">
        <f>TRIM(Table1[[#This Row],[Profession]])</f>
        <v>Computer Science PhD Student</v>
      </c>
      <c r="U30" s="5">
        <f>IF(ISBLANK(H30),AVERAGEIF(Table1[Profession imputed],T30,Table1[Monthly_Income]),H30)</f>
        <v>0</v>
      </c>
      <c r="V30" s="6" t="str">
        <f>PROPER(TRIM(Table1[AI_Tool]))</f>
        <v>Google Gemini</v>
      </c>
      <c r="W30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1" spans="1:23" x14ac:dyDescent="0.25">
      <c r="A31" t="s">
        <v>267</v>
      </c>
      <c r="B31">
        <v>26</v>
      </c>
      <c r="C31" t="s">
        <v>29</v>
      </c>
      <c r="D31" t="s">
        <v>35</v>
      </c>
      <c r="E31" t="s">
        <v>111</v>
      </c>
      <c r="F31" t="s">
        <v>31</v>
      </c>
      <c r="G31" t="s">
        <v>265</v>
      </c>
      <c r="H31">
        <v>0</v>
      </c>
      <c r="I31" t="s">
        <v>1186</v>
      </c>
      <c r="J31" s="6" t="s">
        <v>33</v>
      </c>
      <c r="K31" s="15">
        <v>0.8</v>
      </c>
      <c r="L31" s="5">
        <v>0</v>
      </c>
      <c r="M31" s="15">
        <v>0</v>
      </c>
      <c r="N31">
        <v>2</v>
      </c>
      <c r="O31">
        <v>3</v>
      </c>
      <c r="P31">
        <v>0</v>
      </c>
      <c r="Q31">
        <v>3.7</v>
      </c>
      <c r="R31" s="2">
        <f>IF(ISBLANK(Table1[[#This Row],[Age]]),AVERAGE(Table1[Age]),Table1[[#This Row],[Age]])</f>
        <v>26</v>
      </c>
      <c r="S31" t="str">
        <f>PROPER(Table1[[#This Row],[Country]])</f>
        <v>Philippines</v>
      </c>
      <c r="T31" t="str">
        <f>TRIM(Table1[[#This Row],[Profession]])</f>
        <v>Computer Science PhD Student</v>
      </c>
      <c r="U31" s="5">
        <f>IF(ISBLANK(H31),AVERAGEIF(Table1[Profession imputed],T31,Table1[Monthly_Income]),H31)</f>
        <v>0</v>
      </c>
      <c r="V31" s="6" t="str">
        <f>PROPER(TRIM(Table1[AI_Tool]))</f>
        <v>Google Gemini</v>
      </c>
      <c r="W31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2" spans="1:23" x14ac:dyDescent="0.25">
      <c r="A32" t="s">
        <v>268</v>
      </c>
      <c r="B32">
        <v>26</v>
      </c>
      <c r="C32" t="s">
        <v>29</v>
      </c>
      <c r="D32" t="s">
        <v>35</v>
      </c>
      <c r="E32" t="s">
        <v>111</v>
      </c>
      <c r="F32" t="s">
        <v>31</v>
      </c>
      <c r="G32" t="s">
        <v>265</v>
      </c>
      <c r="H32">
        <v>0</v>
      </c>
      <c r="I32" t="s">
        <v>1186</v>
      </c>
      <c r="J32" s="6" t="s">
        <v>33</v>
      </c>
      <c r="K32" s="15">
        <v>0.8</v>
      </c>
      <c r="L32" s="5">
        <v>0</v>
      </c>
      <c r="M32" s="15">
        <v>0</v>
      </c>
      <c r="N32">
        <v>2</v>
      </c>
      <c r="O32">
        <v>3</v>
      </c>
      <c r="P32">
        <v>0</v>
      </c>
      <c r="Q32">
        <v>3.7</v>
      </c>
      <c r="R32" s="2">
        <f>IF(ISBLANK(Table1[[#This Row],[Age]]),AVERAGE(Table1[Age]),Table1[[#This Row],[Age]])</f>
        <v>26</v>
      </c>
      <c r="S32" t="str">
        <f>PROPER(Table1[[#This Row],[Country]])</f>
        <v>Philippines</v>
      </c>
      <c r="T32" t="str">
        <f>TRIM(Table1[[#This Row],[Profession]])</f>
        <v>Computer Science PhD Student</v>
      </c>
      <c r="U32" s="5">
        <f>IF(ISBLANK(H32),AVERAGEIF(Table1[Profession imputed],T32,Table1[Monthly_Income]),H32)</f>
        <v>0</v>
      </c>
      <c r="V32" s="6" t="str">
        <f>PROPER(TRIM(Table1[AI_Tool]))</f>
        <v>Google Gemini</v>
      </c>
      <c r="W32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3" spans="1:23" x14ac:dyDescent="0.25">
      <c r="A33" t="s">
        <v>272</v>
      </c>
      <c r="B33">
        <v>29</v>
      </c>
      <c r="C33" t="s">
        <v>22</v>
      </c>
      <c r="D33" t="s">
        <v>117</v>
      </c>
      <c r="E33" t="s">
        <v>111</v>
      </c>
      <c r="F33" t="s">
        <v>50</v>
      </c>
      <c r="G33" t="s">
        <v>270</v>
      </c>
      <c r="H33">
        <v>0</v>
      </c>
      <c r="I33" t="s">
        <v>37</v>
      </c>
      <c r="J33" s="6" t="s">
        <v>33</v>
      </c>
      <c r="K33" s="15">
        <v>2.6</v>
      </c>
      <c r="L33" s="5">
        <v>10</v>
      </c>
      <c r="M33" s="15">
        <v>3.7</v>
      </c>
      <c r="N33">
        <v>4</v>
      </c>
      <c r="O33">
        <v>7</v>
      </c>
      <c r="P33">
        <v>4.8</v>
      </c>
      <c r="Q33">
        <v>6.2</v>
      </c>
      <c r="R33" s="2">
        <f>IF(ISBLANK(Table1[[#This Row],[Age]]),AVERAGE(Table1[Age]),Table1[[#This Row],[Age]])</f>
        <v>29</v>
      </c>
      <c r="S33" t="str">
        <f>PROPER(Table1[[#This Row],[Country]])</f>
        <v>United Kingdom</v>
      </c>
      <c r="T33" t="str">
        <f>TRIM(Table1[[#This Row],[Profession]])</f>
        <v>Computer Science Student</v>
      </c>
      <c r="U33" s="5">
        <f>IF(ISBLANK(H33),AVERAGEIF(Table1[Profession imputed],T33,Table1[Monthly_Income]),H33)</f>
        <v>0</v>
      </c>
      <c r="V33" s="6" t="str">
        <f>PROPER(TRIM(Table1[AI_Tool]))</f>
        <v>Grammarly</v>
      </c>
      <c r="W33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4" spans="1:23" x14ac:dyDescent="0.25">
      <c r="A34" t="s">
        <v>275</v>
      </c>
      <c r="B34">
        <v>26</v>
      </c>
      <c r="C34" t="s">
        <v>22</v>
      </c>
      <c r="D34" t="s">
        <v>89</v>
      </c>
      <c r="E34" t="s">
        <v>111</v>
      </c>
      <c r="F34" t="s">
        <v>50</v>
      </c>
      <c r="G34" t="s">
        <v>270</v>
      </c>
      <c r="H34">
        <v>0</v>
      </c>
      <c r="I34" t="s">
        <v>271</v>
      </c>
      <c r="J34" s="6" t="s">
        <v>33</v>
      </c>
      <c r="K34" s="15">
        <v>0.6</v>
      </c>
      <c r="L34" s="5">
        <v>0</v>
      </c>
      <c r="M34" s="15">
        <v>3.2</v>
      </c>
      <c r="N34">
        <v>2</v>
      </c>
      <c r="O34">
        <v>5</v>
      </c>
      <c r="P34">
        <v>2.2000000000000002</v>
      </c>
      <c r="Q34">
        <v>8.8000000000000007</v>
      </c>
      <c r="R34" s="2">
        <f>IF(ISBLANK(Table1[[#This Row],[Age]]),AVERAGE(Table1[Age]),Table1[[#This Row],[Age]])</f>
        <v>26</v>
      </c>
      <c r="S34" t="str">
        <f>PROPER(Table1[[#This Row],[Country]])</f>
        <v>Nigeria</v>
      </c>
      <c r="T34" t="str">
        <f>TRIM(Table1[[#This Row],[Profession]])</f>
        <v>Computer Science Student</v>
      </c>
      <c r="U34" s="5">
        <f>IF(ISBLANK(H34),AVERAGEIF(Table1[Profession imputed],T34,Table1[Monthly_Income]),H34)</f>
        <v>0</v>
      </c>
      <c r="V34" s="6" t="str">
        <f>PROPER(TRIM(Table1[AI_Tool]))</f>
        <v>Chat Gpt</v>
      </c>
      <c r="W34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35" spans="1:23" x14ac:dyDescent="0.25">
      <c r="A35" t="s">
        <v>278</v>
      </c>
      <c r="B35">
        <v>20</v>
      </c>
      <c r="C35" t="s">
        <v>29</v>
      </c>
      <c r="D35" t="s">
        <v>117</v>
      </c>
      <c r="E35" t="s">
        <v>111</v>
      </c>
      <c r="F35" t="s">
        <v>132</v>
      </c>
      <c r="G35" t="s">
        <v>270</v>
      </c>
      <c r="H35">
        <v>0</v>
      </c>
      <c r="I35" t="s">
        <v>271</v>
      </c>
      <c r="J35" s="6" t="s">
        <v>33</v>
      </c>
      <c r="K35" s="15">
        <v>1.3</v>
      </c>
      <c r="L35" s="5">
        <v>0</v>
      </c>
      <c r="M35" s="15">
        <v>4.8</v>
      </c>
      <c r="N35">
        <v>4</v>
      </c>
      <c r="O35">
        <v>7</v>
      </c>
      <c r="P35">
        <v>2.9</v>
      </c>
      <c r="Q35">
        <v>8.1</v>
      </c>
      <c r="R35" s="2">
        <f>IF(ISBLANK(Table1[[#This Row],[Age]]),AVERAGE(Table1[Age]),Table1[[#This Row],[Age]])</f>
        <v>20</v>
      </c>
      <c r="S35" t="str">
        <f>PROPER(Table1[[#This Row],[Country]])</f>
        <v>United Kingdom</v>
      </c>
      <c r="T35" t="str">
        <f>TRIM(Table1[[#This Row],[Profession]])</f>
        <v>Computer Science Student</v>
      </c>
      <c r="U35" s="5">
        <f>IF(ISBLANK(H35),AVERAGEIF(Table1[Profession imputed],T35,Table1[Monthly_Income]),H35)</f>
        <v>0</v>
      </c>
      <c r="V35" s="6" t="str">
        <f>PROPER(TRIM(Table1[AI_Tool]))</f>
        <v>Chat Gpt</v>
      </c>
      <c r="W35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36" spans="1:23" x14ac:dyDescent="0.25">
      <c r="A36" t="s">
        <v>283</v>
      </c>
      <c r="B36">
        <v>21</v>
      </c>
      <c r="C36" t="s">
        <v>22</v>
      </c>
      <c r="D36" t="s">
        <v>57</v>
      </c>
      <c r="E36" t="s">
        <v>111</v>
      </c>
      <c r="F36" t="s">
        <v>132</v>
      </c>
      <c r="G36" t="s">
        <v>270</v>
      </c>
      <c r="H36">
        <v>0</v>
      </c>
      <c r="I36" t="s">
        <v>282</v>
      </c>
      <c r="J36" s="6" t="s">
        <v>33</v>
      </c>
      <c r="K36" s="15">
        <v>2.9</v>
      </c>
      <c r="L36" s="5">
        <v>20</v>
      </c>
      <c r="M36" s="15">
        <v>6.6</v>
      </c>
      <c r="N36">
        <v>2</v>
      </c>
      <c r="O36">
        <v>4</v>
      </c>
      <c r="Q36">
        <v>5.5</v>
      </c>
      <c r="R36" s="2">
        <f>IF(ISBLANK(Table1[[#This Row],[Age]]),AVERAGE(Table1[Age]),Table1[[#This Row],[Age]])</f>
        <v>21</v>
      </c>
      <c r="S36" t="str">
        <f>PROPER(Table1[[#This Row],[Country]])</f>
        <v>Pakistan</v>
      </c>
      <c r="T36" t="str">
        <f>TRIM(Table1[[#This Row],[Profession]])</f>
        <v>Computer Science Student</v>
      </c>
      <c r="U36" s="5">
        <f>IF(ISBLANK(H36),AVERAGEIF(Table1[Profession imputed],T36,Table1[Monthly_Income]),H36)</f>
        <v>0</v>
      </c>
      <c r="V36" s="6" t="str">
        <f>PROPER(TRIM(Table1[AI_Tool]))</f>
        <v>Deepseek</v>
      </c>
      <c r="W36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37" spans="1:23" x14ac:dyDescent="0.25">
      <c r="A37" t="s">
        <v>285</v>
      </c>
      <c r="B37">
        <v>22</v>
      </c>
      <c r="C37" t="s">
        <v>29</v>
      </c>
      <c r="D37" t="s">
        <v>44</v>
      </c>
      <c r="E37" t="s">
        <v>111</v>
      </c>
      <c r="F37" t="s">
        <v>50</v>
      </c>
      <c r="G37" t="s">
        <v>270</v>
      </c>
      <c r="H37">
        <v>0</v>
      </c>
      <c r="I37" t="s">
        <v>139</v>
      </c>
      <c r="J37" s="6" t="s">
        <v>33</v>
      </c>
      <c r="K37" s="15">
        <v>5.5</v>
      </c>
      <c r="L37" s="5">
        <v>0</v>
      </c>
      <c r="M37" s="15">
        <v>8.3000000000000007</v>
      </c>
      <c r="N37">
        <v>3</v>
      </c>
      <c r="O37">
        <v>8</v>
      </c>
      <c r="P37">
        <v>10.9</v>
      </c>
      <c r="Q37">
        <v>7.4</v>
      </c>
      <c r="R37" s="2">
        <f>IF(ISBLANK(Table1[[#This Row],[Age]]),AVERAGE(Table1[Age]),Table1[[#This Row],[Age]])</f>
        <v>22</v>
      </c>
      <c r="S37" t="str">
        <f>PROPER(Table1[[#This Row],[Country]])</f>
        <v>United States</v>
      </c>
      <c r="T37" t="str">
        <f>TRIM(Table1[[#This Row],[Profession]])</f>
        <v>Computer Science Student</v>
      </c>
      <c r="U37" s="5">
        <f>IF(ISBLANK(H37),AVERAGEIF(Table1[Profession imputed],T37,Table1[Monthly_Income]),H37)</f>
        <v>0</v>
      </c>
      <c r="V37" s="6" t="str">
        <f>PROPER(TRIM(Table1[AI_Tool]))</f>
        <v>Microsoft Copilot</v>
      </c>
      <c r="W37" s="8">
        <f>IF(ISBLANK(Table1[[#This Row],[Time_Saved_Hours_Per_Week]]),AVERAGEIF(Table1[Satisfaction_Score],Table1[[#This Row],[Satisfaction_Score]],Table1[Time_Saved_Hours_Per_Week]),Table1[[#This Row],[Time_Saved_Hours_Per_Week]])</f>
        <v>10.9</v>
      </c>
    </row>
    <row r="38" spans="1:23" x14ac:dyDescent="0.25">
      <c r="A38" t="s">
        <v>290</v>
      </c>
      <c r="B38">
        <v>32</v>
      </c>
      <c r="C38" t="s">
        <v>29</v>
      </c>
      <c r="D38" t="s">
        <v>92</v>
      </c>
      <c r="E38" t="s">
        <v>111</v>
      </c>
      <c r="F38" t="s">
        <v>50</v>
      </c>
      <c r="G38" t="s">
        <v>270</v>
      </c>
      <c r="H38">
        <v>0</v>
      </c>
      <c r="I38" t="s">
        <v>113</v>
      </c>
      <c r="J38" s="6" t="s">
        <v>33</v>
      </c>
      <c r="K38" s="15">
        <v>3.9</v>
      </c>
      <c r="L38" s="5">
        <v>0</v>
      </c>
      <c r="M38" s="15">
        <v>5.7</v>
      </c>
      <c r="N38">
        <v>3</v>
      </c>
      <c r="O38">
        <v>6</v>
      </c>
      <c r="P38">
        <v>7.3</v>
      </c>
      <c r="Q38">
        <v>4.8</v>
      </c>
      <c r="R38" s="2">
        <f>IF(ISBLANK(Table1[[#This Row],[Age]]),AVERAGE(Table1[Age]),Table1[[#This Row],[Age]])</f>
        <v>32</v>
      </c>
      <c r="S38" t="str">
        <f>PROPER(Table1[[#This Row],[Country]])</f>
        <v>Canada</v>
      </c>
      <c r="T38" t="str">
        <f>TRIM(Table1[[#This Row],[Profession]])</f>
        <v>Computer Science Student</v>
      </c>
      <c r="U38" s="5">
        <f>IF(ISBLANK(H38),AVERAGEIF(Table1[Profession imputed],T38,Table1[Monthly_Income]),H38)</f>
        <v>0</v>
      </c>
      <c r="V38" s="6" t="str">
        <f>PROPER(TRIM(Table1[AI_Tool]))</f>
        <v>Claude</v>
      </c>
      <c r="W38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39" spans="1:23" x14ac:dyDescent="0.25">
      <c r="A39" t="s">
        <v>291</v>
      </c>
      <c r="B39">
        <v>28</v>
      </c>
      <c r="C39" t="s">
        <v>22</v>
      </c>
      <c r="D39" t="s">
        <v>117</v>
      </c>
      <c r="E39" t="s">
        <v>111</v>
      </c>
      <c r="F39" t="s">
        <v>50</v>
      </c>
      <c r="G39" t="s">
        <v>270</v>
      </c>
      <c r="H39">
        <v>0</v>
      </c>
      <c r="I39" t="s">
        <v>37</v>
      </c>
      <c r="J39" s="6" t="s">
        <v>33</v>
      </c>
      <c r="K39" s="15">
        <v>2.6</v>
      </c>
      <c r="L39" s="5">
        <v>10</v>
      </c>
      <c r="M39" s="15">
        <v>3.7</v>
      </c>
      <c r="N39">
        <v>4</v>
      </c>
      <c r="O39">
        <v>7</v>
      </c>
      <c r="P39">
        <v>4.8</v>
      </c>
      <c r="Q39">
        <v>6.2</v>
      </c>
      <c r="R39" s="2">
        <f>IF(ISBLANK(Table1[[#This Row],[Age]]),AVERAGE(Table1[Age]),Table1[[#This Row],[Age]])</f>
        <v>28</v>
      </c>
      <c r="S39" t="str">
        <f>PROPER(Table1[[#This Row],[Country]])</f>
        <v>United Kingdom</v>
      </c>
      <c r="T39" t="str">
        <f>TRIM(Table1[[#This Row],[Profession]])</f>
        <v>Computer Science Student</v>
      </c>
      <c r="U39" s="5">
        <f>IF(ISBLANK(H39),AVERAGEIF(Table1[Profession imputed],T39,Table1[Monthly_Income]),H39)</f>
        <v>0</v>
      </c>
      <c r="V39" s="6" t="str">
        <f>PROPER(TRIM(Table1[AI_Tool]))</f>
        <v>Grammarly</v>
      </c>
      <c r="W39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40" spans="1:23" x14ac:dyDescent="0.25">
      <c r="A40" t="s">
        <v>293</v>
      </c>
      <c r="B40">
        <v>22</v>
      </c>
      <c r="C40" t="s">
        <v>29</v>
      </c>
      <c r="D40" t="s">
        <v>117</v>
      </c>
      <c r="E40" t="s">
        <v>111</v>
      </c>
      <c r="F40" t="s">
        <v>132</v>
      </c>
      <c r="G40" t="s">
        <v>270</v>
      </c>
      <c r="H40">
        <v>0</v>
      </c>
      <c r="I40" t="s">
        <v>271</v>
      </c>
      <c r="J40" s="6" t="s">
        <v>33</v>
      </c>
      <c r="K40" s="15">
        <v>1.3</v>
      </c>
      <c r="L40" s="5">
        <v>0</v>
      </c>
      <c r="M40" s="15">
        <v>4.8</v>
      </c>
      <c r="N40">
        <v>4</v>
      </c>
      <c r="O40">
        <v>7</v>
      </c>
      <c r="P40">
        <v>2.9</v>
      </c>
      <c r="Q40">
        <v>8.1</v>
      </c>
      <c r="R40" s="2">
        <f>IF(ISBLANK(Table1[[#This Row],[Age]]),AVERAGE(Table1[Age]),Table1[[#This Row],[Age]])</f>
        <v>22</v>
      </c>
      <c r="S40" t="str">
        <f>PROPER(Table1[[#This Row],[Country]])</f>
        <v>United Kingdom</v>
      </c>
      <c r="T40" t="str">
        <f>TRIM(Table1[[#This Row],[Profession]])</f>
        <v>Computer Science Student</v>
      </c>
      <c r="U40" s="5">
        <f>IF(ISBLANK(H40),AVERAGEIF(Table1[Profession imputed],T40,Table1[Monthly_Income]),H40)</f>
        <v>0</v>
      </c>
      <c r="V40" s="6" t="str">
        <f>PROPER(TRIM(Table1[AI_Tool]))</f>
        <v>Chat Gpt</v>
      </c>
      <c r="W40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41" spans="1:23" x14ac:dyDescent="0.25">
      <c r="A41" t="s">
        <v>295</v>
      </c>
      <c r="B41">
        <v>33</v>
      </c>
      <c r="C41" t="s">
        <v>29</v>
      </c>
      <c r="D41" t="s">
        <v>92</v>
      </c>
      <c r="E41" t="s">
        <v>111</v>
      </c>
      <c r="F41" t="s">
        <v>50</v>
      </c>
      <c r="G41" t="s">
        <v>270</v>
      </c>
      <c r="H41">
        <v>0</v>
      </c>
      <c r="I41" t="s">
        <v>113</v>
      </c>
      <c r="J41" s="6" t="s">
        <v>33</v>
      </c>
      <c r="K41" s="15">
        <v>3.9</v>
      </c>
      <c r="L41" s="5">
        <v>0</v>
      </c>
      <c r="M41" s="15">
        <v>5.7</v>
      </c>
      <c r="N41">
        <v>3</v>
      </c>
      <c r="O41">
        <v>6</v>
      </c>
      <c r="P41">
        <v>7.3</v>
      </c>
      <c r="Q41">
        <v>4.8</v>
      </c>
      <c r="R41" s="2">
        <f>IF(ISBLANK(Table1[[#This Row],[Age]]),AVERAGE(Table1[Age]),Table1[[#This Row],[Age]])</f>
        <v>33</v>
      </c>
      <c r="S41" t="str">
        <f>PROPER(Table1[[#This Row],[Country]])</f>
        <v>Canada</v>
      </c>
      <c r="T41" t="str">
        <f>TRIM(Table1[[#This Row],[Profession]])</f>
        <v>Computer Science Student</v>
      </c>
      <c r="U41" s="5">
        <f>IF(ISBLANK(H41),AVERAGEIF(Table1[Profession imputed],T41,Table1[Monthly_Income]),H41)</f>
        <v>0</v>
      </c>
      <c r="V41" s="6" t="str">
        <f>PROPER(TRIM(Table1[AI_Tool]))</f>
        <v>Claude</v>
      </c>
      <c r="W41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42" spans="1:23" x14ac:dyDescent="0.25">
      <c r="A42" t="s">
        <v>296</v>
      </c>
      <c r="B42">
        <v>34</v>
      </c>
      <c r="C42" t="s">
        <v>29</v>
      </c>
      <c r="D42" t="s">
        <v>92</v>
      </c>
      <c r="E42" t="s">
        <v>111</v>
      </c>
      <c r="F42" t="s">
        <v>50</v>
      </c>
      <c r="G42" t="s">
        <v>270</v>
      </c>
      <c r="H42">
        <v>0</v>
      </c>
      <c r="I42" t="s">
        <v>113</v>
      </c>
      <c r="J42" s="6" t="s">
        <v>33</v>
      </c>
      <c r="K42" s="15">
        <v>3.9</v>
      </c>
      <c r="L42" s="5">
        <v>0</v>
      </c>
      <c r="M42" s="15">
        <v>5.7</v>
      </c>
      <c r="N42">
        <v>3</v>
      </c>
      <c r="O42">
        <v>6</v>
      </c>
      <c r="P42">
        <v>7.3</v>
      </c>
      <c r="Q42">
        <v>4.8</v>
      </c>
      <c r="R42" s="2">
        <f>IF(ISBLANK(Table1[[#This Row],[Age]]),AVERAGE(Table1[Age]),Table1[[#This Row],[Age]])</f>
        <v>34</v>
      </c>
      <c r="S42" t="str">
        <f>PROPER(Table1[[#This Row],[Country]])</f>
        <v>Canada</v>
      </c>
      <c r="T42" t="str">
        <f>TRIM(Table1[[#This Row],[Profession]])</f>
        <v>Computer Science Student</v>
      </c>
      <c r="U42" s="5">
        <f>IF(ISBLANK(H42),AVERAGEIF(Table1[Profession imputed],T42,Table1[Monthly_Income]),H42)</f>
        <v>0</v>
      </c>
      <c r="V42" s="6" t="str">
        <f>PROPER(TRIM(Table1[AI_Tool]))</f>
        <v>Claude</v>
      </c>
      <c r="W42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43" spans="1:23" x14ac:dyDescent="0.25">
      <c r="A43" t="s">
        <v>297</v>
      </c>
      <c r="B43">
        <v>21</v>
      </c>
      <c r="C43" t="s">
        <v>29</v>
      </c>
      <c r="D43" t="s">
        <v>44</v>
      </c>
      <c r="E43" t="s">
        <v>111</v>
      </c>
      <c r="F43" t="s">
        <v>50</v>
      </c>
      <c r="G43" t="s">
        <v>270</v>
      </c>
      <c r="H43">
        <v>0</v>
      </c>
      <c r="I43" t="s">
        <v>139</v>
      </c>
      <c r="J43" s="6" t="s">
        <v>33</v>
      </c>
      <c r="K43" s="15">
        <v>5.5</v>
      </c>
      <c r="L43" s="5">
        <v>0</v>
      </c>
      <c r="M43" s="15">
        <v>8.3000000000000007</v>
      </c>
      <c r="N43">
        <v>3</v>
      </c>
      <c r="O43">
        <v>8</v>
      </c>
      <c r="P43">
        <v>10.9</v>
      </c>
      <c r="Q43">
        <v>7.4</v>
      </c>
      <c r="R43" s="2">
        <f>IF(ISBLANK(Table1[[#This Row],[Age]]),AVERAGE(Table1[Age]),Table1[[#This Row],[Age]])</f>
        <v>21</v>
      </c>
      <c r="S43" t="str">
        <f>PROPER(Table1[[#This Row],[Country]])</f>
        <v>United States</v>
      </c>
      <c r="T43" t="str">
        <f>TRIM(Table1[[#This Row],[Profession]])</f>
        <v>Computer Science Student</v>
      </c>
      <c r="U43" s="5">
        <f>IF(ISBLANK(H43),AVERAGEIF(Table1[Profession imputed],T43,Table1[Monthly_Income]),H43)</f>
        <v>0</v>
      </c>
      <c r="V43" s="6" t="str">
        <f>PROPER(TRIM(Table1[AI_Tool]))</f>
        <v>Microsoft Copilot</v>
      </c>
      <c r="W43" s="8">
        <f>IF(ISBLANK(Table1[[#This Row],[Time_Saved_Hours_Per_Week]]),AVERAGEIF(Table1[Satisfaction_Score],Table1[[#This Row],[Satisfaction_Score]],Table1[Time_Saved_Hours_Per_Week]),Table1[[#This Row],[Time_Saved_Hours_Per_Week]])</f>
        <v>10.9</v>
      </c>
    </row>
    <row r="44" spans="1:23" x14ac:dyDescent="0.25">
      <c r="A44" t="s">
        <v>299</v>
      </c>
      <c r="B44">
        <v>22</v>
      </c>
      <c r="C44" t="s">
        <v>29</v>
      </c>
      <c r="D44" t="s">
        <v>44</v>
      </c>
      <c r="E44" t="s">
        <v>111</v>
      </c>
      <c r="F44" t="s">
        <v>50</v>
      </c>
      <c r="G44" t="s">
        <v>270</v>
      </c>
      <c r="H44">
        <v>0</v>
      </c>
      <c r="I44" t="s">
        <v>139</v>
      </c>
      <c r="J44" s="6" t="s">
        <v>33</v>
      </c>
      <c r="K44" s="15">
        <v>5.5</v>
      </c>
      <c r="L44" s="5">
        <v>0</v>
      </c>
      <c r="M44" s="15">
        <v>8.3000000000000007</v>
      </c>
      <c r="N44">
        <v>3</v>
      </c>
      <c r="O44">
        <v>8</v>
      </c>
      <c r="P44">
        <v>10.9</v>
      </c>
      <c r="Q44">
        <v>7.4</v>
      </c>
      <c r="R44" s="2">
        <f>IF(ISBLANK(Table1[[#This Row],[Age]]),AVERAGE(Table1[Age]),Table1[[#This Row],[Age]])</f>
        <v>22</v>
      </c>
      <c r="S44" t="str">
        <f>PROPER(Table1[[#This Row],[Country]])</f>
        <v>United States</v>
      </c>
      <c r="T44" t="str">
        <f>TRIM(Table1[[#This Row],[Profession]])</f>
        <v>Computer Science Student</v>
      </c>
      <c r="U44" s="5">
        <f>IF(ISBLANK(H44),AVERAGEIF(Table1[Profession imputed],T44,Table1[Monthly_Income]),H44)</f>
        <v>0</v>
      </c>
      <c r="V44" s="6" t="str">
        <f>PROPER(TRIM(Table1[AI_Tool]))</f>
        <v>Microsoft Copilot</v>
      </c>
      <c r="W44" s="8">
        <f>IF(ISBLANK(Table1[[#This Row],[Time_Saved_Hours_Per_Week]]),AVERAGEIF(Table1[Satisfaction_Score],Table1[[#This Row],[Satisfaction_Score]],Table1[Time_Saved_Hours_Per_Week]),Table1[[#This Row],[Time_Saved_Hours_Per_Week]])</f>
        <v>10.9</v>
      </c>
    </row>
    <row r="45" spans="1:23" x14ac:dyDescent="0.25">
      <c r="A45" t="s">
        <v>303</v>
      </c>
      <c r="B45">
        <v>21</v>
      </c>
      <c r="C45" t="s">
        <v>22</v>
      </c>
      <c r="D45" t="s">
        <v>57</v>
      </c>
      <c r="E45" t="s">
        <v>111</v>
      </c>
      <c r="F45" t="s">
        <v>132</v>
      </c>
      <c r="G45" t="s">
        <v>270</v>
      </c>
      <c r="H45">
        <v>0</v>
      </c>
      <c r="I45" t="s">
        <v>282</v>
      </c>
      <c r="J45" s="6" t="s">
        <v>33</v>
      </c>
      <c r="K45" s="15">
        <v>2.9</v>
      </c>
      <c r="L45" s="5">
        <v>20</v>
      </c>
      <c r="M45" s="15">
        <v>6.6</v>
      </c>
      <c r="N45">
        <v>2</v>
      </c>
      <c r="O45">
        <v>4</v>
      </c>
      <c r="Q45">
        <v>5.5</v>
      </c>
      <c r="R45" s="2">
        <f>IF(ISBLANK(Table1[[#This Row],[Age]]),AVERAGE(Table1[Age]),Table1[[#This Row],[Age]])</f>
        <v>21</v>
      </c>
      <c r="S45" t="str">
        <f>PROPER(Table1[[#This Row],[Country]])</f>
        <v>Pakistan</v>
      </c>
      <c r="T45" t="str">
        <f>TRIM(Table1[[#This Row],[Profession]])</f>
        <v>Computer Science Student</v>
      </c>
      <c r="U45" s="5">
        <f>IF(ISBLANK(H45),AVERAGEIF(Table1[Profession imputed],T45,Table1[Monthly_Income]),H45)</f>
        <v>0</v>
      </c>
      <c r="V45" s="6" t="str">
        <f>PROPER(TRIM(Table1[AI_Tool]))</f>
        <v>Deepseek</v>
      </c>
      <c r="W45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46" spans="1:23" x14ac:dyDescent="0.25">
      <c r="A46" t="s">
        <v>307</v>
      </c>
      <c r="B46">
        <v>19</v>
      </c>
      <c r="C46" t="s">
        <v>22</v>
      </c>
      <c r="D46" t="s">
        <v>57</v>
      </c>
      <c r="E46" t="s">
        <v>111</v>
      </c>
      <c r="F46" t="s">
        <v>132</v>
      </c>
      <c r="G46" t="s">
        <v>270</v>
      </c>
      <c r="H46">
        <v>0</v>
      </c>
      <c r="I46" t="s">
        <v>282</v>
      </c>
      <c r="J46" s="6" t="s">
        <v>33</v>
      </c>
      <c r="K46" s="15">
        <v>2.9</v>
      </c>
      <c r="L46" s="5">
        <v>20</v>
      </c>
      <c r="M46" s="15">
        <v>6.6</v>
      </c>
      <c r="N46">
        <v>2</v>
      </c>
      <c r="O46">
        <v>4</v>
      </c>
      <c r="Q46">
        <v>5.5</v>
      </c>
      <c r="R46" s="2">
        <f>IF(ISBLANK(Table1[[#This Row],[Age]]),AVERAGE(Table1[Age]),Table1[[#This Row],[Age]])</f>
        <v>19</v>
      </c>
      <c r="S46" t="str">
        <f>PROPER(Table1[[#This Row],[Country]])</f>
        <v>Pakistan</v>
      </c>
      <c r="T46" t="str">
        <f>TRIM(Table1[[#This Row],[Profession]])</f>
        <v>Computer Science Student</v>
      </c>
      <c r="U46" s="5">
        <f>IF(ISBLANK(H46),AVERAGEIF(Table1[Profession imputed],T46,Table1[Monthly_Income]),H46)</f>
        <v>0</v>
      </c>
      <c r="V46" s="6" t="str">
        <f>PROPER(TRIM(Table1[AI_Tool]))</f>
        <v>Deepseek</v>
      </c>
      <c r="W46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47" spans="1:23" x14ac:dyDescent="0.25">
      <c r="A47" t="s">
        <v>314</v>
      </c>
      <c r="B47">
        <v>22</v>
      </c>
      <c r="C47" t="s">
        <v>29</v>
      </c>
      <c r="D47" t="s">
        <v>117</v>
      </c>
      <c r="E47" t="s">
        <v>111</v>
      </c>
      <c r="F47" t="s">
        <v>132</v>
      </c>
      <c r="G47" t="s">
        <v>270</v>
      </c>
      <c r="H47">
        <v>0</v>
      </c>
      <c r="I47" t="s">
        <v>271</v>
      </c>
      <c r="J47" s="6" t="s">
        <v>33</v>
      </c>
      <c r="K47" s="15">
        <v>1.3</v>
      </c>
      <c r="L47" s="5">
        <v>0</v>
      </c>
      <c r="M47" s="15">
        <v>4.8</v>
      </c>
      <c r="N47">
        <v>4</v>
      </c>
      <c r="O47">
        <v>7</v>
      </c>
      <c r="P47">
        <v>2.9</v>
      </c>
      <c r="Q47">
        <v>8.1</v>
      </c>
      <c r="R47" s="2">
        <f>IF(ISBLANK(Table1[[#This Row],[Age]]),AVERAGE(Table1[Age]),Table1[[#This Row],[Age]])</f>
        <v>22</v>
      </c>
      <c r="S47" t="str">
        <f>PROPER(Table1[[#This Row],[Country]])</f>
        <v>United Kingdom</v>
      </c>
      <c r="T47" t="str">
        <f>TRIM(Table1[[#This Row],[Profession]])</f>
        <v>Computer Science Student</v>
      </c>
      <c r="U47" s="5">
        <f>IF(ISBLANK(H47),AVERAGEIF(Table1[Profession imputed],T47,Table1[Monthly_Income]),H47)</f>
        <v>0</v>
      </c>
      <c r="V47" s="6" t="str">
        <f>PROPER(TRIM(Table1[AI_Tool]))</f>
        <v>Chat Gpt</v>
      </c>
      <c r="W47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48" spans="1:23" x14ac:dyDescent="0.25">
      <c r="A48" t="s">
        <v>317</v>
      </c>
      <c r="B48">
        <v>30</v>
      </c>
      <c r="C48" t="s">
        <v>29</v>
      </c>
      <c r="D48" t="s">
        <v>92</v>
      </c>
      <c r="E48" t="s">
        <v>111</v>
      </c>
      <c r="F48" t="s">
        <v>50</v>
      </c>
      <c r="G48" t="s">
        <v>270</v>
      </c>
      <c r="H48">
        <v>0</v>
      </c>
      <c r="I48" t="s">
        <v>113</v>
      </c>
      <c r="J48" s="6" t="s">
        <v>33</v>
      </c>
      <c r="K48" s="15">
        <v>3.9</v>
      </c>
      <c r="L48" s="5">
        <v>0</v>
      </c>
      <c r="M48" s="15">
        <v>5.7</v>
      </c>
      <c r="N48">
        <v>3</v>
      </c>
      <c r="O48">
        <v>6</v>
      </c>
      <c r="P48">
        <v>7.3</v>
      </c>
      <c r="Q48">
        <v>4.8</v>
      </c>
      <c r="R48" s="2">
        <f>IF(ISBLANK(Table1[[#This Row],[Age]]),AVERAGE(Table1[Age]),Table1[[#This Row],[Age]])</f>
        <v>30</v>
      </c>
      <c r="S48" t="str">
        <f>PROPER(Table1[[#This Row],[Country]])</f>
        <v>Canada</v>
      </c>
      <c r="T48" t="str">
        <f>TRIM(Table1[[#This Row],[Profession]])</f>
        <v>Computer Science Student</v>
      </c>
      <c r="U48" s="5">
        <f>IF(ISBLANK(H48),AVERAGEIF(Table1[Profession imputed],T48,Table1[Monthly_Income]),H48)</f>
        <v>0</v>
      </c>
      <c r="V48" s="6" t="str">
        <f>PROPER(TRIM(Table1[AI_Tool]))</f>
        <v>Claude</v>
      </c>
      <c r="W48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49" spans="1:23" x14ac:dyDescent="0.25">
      <c r="A49" t="s">
        <v>319</v>
      </c>
      <c r="B49">
        <v>32</v>
      </c>
      <c r="C49" t="s">
        <v>29</v>
      </c>
      <c r="D49" t="s">
        <v>92</v>
      </c>
      <c r="E49" t="s">
        <v>111</v>
      </c>
      <c r="F49" t="s">
        <v>50</v>
      </c>
      <c r="G49" t="s">
        <v>270</v>
      </c>
      <c r="H49">
        <v>0</v>
      </c>
      <c r="I49" t="s">
        <v>113</v>
      </c>
      <c r="J49" s="6" t="s">
        <v>33</v>
      </c>
      <c r="K49" s="15">
        <v>3.9</v>
      </c>
      <c r="L49" s="5">
        <v>0</v>
      </c>
      <c r="M49" s="15">
        <v>5.7</v>
      </c>
      <c r="N49">
        <v>3</v>
      </c>
      <c r="O49">
        <v>6</v>
      </c>
      <c r="P49">
        <v>7.3</v>
      </c>
      <c r="Q49">
        <v>4.8</v>
      </c>
      <c r="R49" s="2">
        <f>IF(ISBLANK(Table1[[#This Row],[Age]]),AVERAGE(Table1[Age]),Table1[[#This Row],[Age]])</f>
        <v>32</v>
      </c>
      <c r="S49" t="str">
        <f>PROPER(Table1[[#This Row],[Country]])</f>
        <v>Canada</v>
      </c>
      <c r="T49" t="str">
        <f>TRIM(Table1[[#This Row],[Profession]])</f>
        <v>Computer Science Student</v>
      </c>
      <c r="U49" s="5">
        <f>IF(ISBLANK(H49),AVERAGEIF(Table1[Profession imputed],T49,Table1[Monthly_Income]),H49)</f>
        <v>0</v>
      </c>
      <c r="V49" s="6" t="str">
        <f>PROPER(TRIM(Table1[AI_Tool]))</f>
        <v>Claude</v>
      </c>
      <c r="W49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50" spans="1:23" x14ac:dyDescent="0.25">
      <c r="A50" t="s">
        <v>320</v>
      </c>
      <c r="B50">
        <v>28</v>
      </c>
      <c r="C50" t="s">
        <v>22</v>
      </c>
      <c r="D50" t="s">
        <v>117</v>
      </c>
      <c r="E50" t="s">
        <v>111</v>
      </c>
      <c r="F50" t="s">
        <v>50</v>
      </c>
      <c r="G50" t="s">
        <v>270</v>
      </c>
      <c r="H50">
        <v>0</v>
      </c>
      <c r="I50" t="s">
        <v>37</v>
      </c>
      <c r="J50" s="6" t="s">
        <v>33</v>
      </c>
      <c r="K50" s="15">
        <v>2.6</v>
      </c>
      <c r="L50" s="5">
        <v>10</v>
      </c>
      <c r="M50" s="15">
        <v>3.7</v>
      </c>
      <c r="N50">
        <v>4</v>
      </c>
      <c r="O50">
        <v>7</v>
      </c>
      <c r="P50">
        <v>4.8</v>
      </c>
      <c r="Q50">
        <v>6.2</v>
      </c>
      <c r="R50" s="2">
        <f>IF(ISBLANK(Table1[[#This Row],[Age]]),AVERAGE(Table1[Age]),Table1[[#This Row],[Age]])</f>
        <v>28</v>
      </c>
      <c r="S50" t="str">
        <f>PROPER(Table1[[#This Row],[Country]])</f>
        <v>United Kingdom</v>
      </c>
      <c r="T50" t="str">
        <f>TRIM(Table1[[#This Row],[Profession]])</f>
        <v>Computer Science Student</v>
      </c>
      <c r="U50" s="5">
        <f>IF(ISBLANK(H50),AVERAGEIF(Table1[Profession imputed],T50,Table1[Monthly_Income]),H50)</f>
        <v>0</v>
      </c>
      <c r="V50" s="6" t="str">
        <f>PROPER(TRIM(Table1[AI_Tool]))</f>
        <v>Grammarly</v>
      </c>
      <c r="W50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1" spans="1:23" x14ac:dyDescent="0.25">
      <c r="A51" t="s">
        <v>321</v>
      </c>
      <c r="B51">
        <v>27</v>
      </c>
      <c r="C51" t="s">
        <v>22</v>
      </c>
      <c r="D51" t="s">
        <v>117</v>
      </c>
      <c r="E51" t="s">
        <v>111</v>
      </c>
      <c r="F51" t="s">
        <v>50</v>
      </c>
      <c r="G51" t="s">
        <v>270</v>
      </c>
      <c r="H51">
        <v>0</v>
      </c>
      <c r="I51" t="s">
        <v>37</v>
      </c>
      <c r="J51" s="6" t="s">
        <v>33</v>
      </c>
      <c r="K51" s="15">
        <v>2.6</v>
      </c>
      <c r="L51" s="5">
        <v>10</v>
      </c>
      <c r="M51" s="15">
        <v>3.7</v>
      </c>
      <c r="N51">
        <v>4</v>
      </c>
      <c r="O51">
        <v>7</v>
      </c>
      <c r="P51">
        <v>4.8</v>
      </c>
      <c r="Q51">
        <v>6.2</v>
      </c>
      <c r="R51" s="2">
        <f>IF(ISBLANK(Table1[[#This Row],[Age]]),AVERAGE(Table1[Age]),Table1[[#This Row],[Age]])</f>
        <v>27</v>
      </c>
      <c r="S51" t="str">
        <f>PROPER(Table1[[#This Row],[Country]])</f>
        <v>United Kingdom</v>
      </c>
      <c r="T51" t="str">
        <f>TRIM(Table1[[#This Row],[Profession]])</f>
        <v>Computer Science Student</v>
      </c>
      <c r="U51" s="5">
        <f>IF(ISBLANK(H51),AVERAGEIF(Table1[Profession imputed],T51,Table1[Monthly_Income]),H51)</f>
        <v>0</v>
      </c>
      <c r="V51" s="6" t="str">
        <f>PROPER(TRIM(Table1[AI_Tool]))</f>
        <v>Grammarly</v>
      </c>
      <c r="W51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2" spans="1:23" x14ac:dyDescent="0.25">
      <c r="A52" t="s">
        <v>324</v>
      </c>
      <c r="B52">
        <v>28</v>
      </c>
      <c r="C52" t="s">
        <v>22</v>
      </c>
      <c r="D52" t="s">
        <v>117</v>
      </c>
      <c r="E52" t="s">
        <v>111</v>
      </c>
      <c r="F52" t="s">
        <v>50</v>
      </c>
      <c r="G52" t="s">
        <v>270</v>
      </c>
      <c r="H52">
        <v>0</v>
      </c>
      <c r="I52" t="s">
        <v>37</v>
      </c>
      <c r="J52" s="6" t="s">
        <v>33</v>
      </c>
      <c r="K52" s="15">
        <v>2.6</v>
      </c>
      <c r="L52" s="5">
        <v>10</v>
      </c>
      <c r="M52" s="15">
        <v>3.7</v>
      </c>
      <c r="N52">
        <v>4</v>
      </c>
      <c r="O52">
        <v>7</v>
      </c>
      <c r="P52">
        <v>4.8</v>
      </c>
      <c r="Q52">
        <v>6.2</v>
      </c>
      <c r="R52" s="2">
        <f>IF(ISBLANK(Table1[[#This Row],[Age]]),AVERAGE(Table1[Age]),Table1[[#This Row],[Age]])</f>
        <v>28</v>
      </c>
      <c r="S52" t="str">
        <f>PROPER(Table1[[#This Row],[Country]])</f>
        <v>United Kingdom</v>
      </c>
      <c r="T52" t="str">
        <f>TRIM(Table1[[#This Row],[Profession]])</f>
        <v>Computer Science Student</v>
      </c>
      <c r="U52" s="5">
        <f>IF(ISBLANK(H52),AVERAGEIF(Table1[Profession imputed],T52,Table1[Monthly_Income]),H52)</f>
        <v>0</v>
      </c>
      <c r="V52" s="6" t="str">
        <f>PROPER(TRIM(Table1[AI_Tool]))</f>
        <v>Grammarly</v>
      </c>
      <c r="W52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3" spans="1:23" x14ac:dyDescent="0.25">
      <c r="A53" t="s">
        <v>325</v>
      </c>
      <c r="B53">
        <v>25</v>
      </c>
      <c r="C53" t="s">
        <v>22</v>
      </c>
      <c r="D53" t="s">
        <v>89</v>
      </c>
      <c r="E53" t="s">
        <v>111</v>
      </c>
      <c r="F53" t="s">
        <v>50</v>
      </c>
      <c r="G53" t="s">
        <v>270</v>
      </c>
      <c r="H53">
        <v>0</v>
      </c>
      <c r="I53" t="s">
        <v>271</v>
      </c>
      <c r="J53" s="6" t="s">
        <v>33</v>
      </c>
      <c r="K53" s="15">
        <v>0.6</v>
      </c>
      <c r="L53" s="5">
        <v>0</v>
      </c>
      <c r="M53" s="15">
        <v>3.2</v>
      </c>
      <c r="N53">
        <v>2</v>
      </c>
      <c r="O53">
        <v>5</v>
      </c>
      <c r="P53">
        <v>2.2000000000000002</v>
      </c>
      <c r="Q53">
        <v>8.8000000000000007</v>
      </c>
      <c r="R53" s="2">
        <f>IF(ISBLANK(Table1[[#This Row],[Age]]),AVERAGE(Table1[Age]),Table1[[#This Row],[Age]])</f>
        <v>25</v>
      </c>
      <c r="S53" t="str">
        <f>PROPER(Table1[[#This Row],[Country]])</f>
        <v>Nigeria</v>
      </c>
      <c r="T53" t="str">
        <f>TRIM(Table1[[#This Row],[Profession]])</f>
        <v>Computer Science Student</v>
      </c>
      <c r="U53" s="5">
        <f>IF(ISBLANK(H53),AVERAGEIF(Table1[Profession imputed],T53,Table1[Monthly_Income]),H53)</f>
        <v>0</v>
      </c>
      <c r="V53" s="6" t="str">
        <f>PROPER(TRIM(Table1[AI_Tool]))</f>
        <v>Chat Gpt</v>
      </c>
      <c r="W53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54" spans="1:23" x14ac:dyDescent="0.25">
      <c r="A54" t="s">
        <v>326</v>
      </c>
      <c r="B54">
        <v>24</v>
      </c>
      <c r="C54" t="s">
        <v>22</v>
      </c>
      <c r="D54" t="s">
        <v>89</v>
      </c>
      <c r="E54" t="s">
        <v>111</v>
      </c>
      <c r="F54" t="s">
        <v>50</v>
      </c>
      <c r="G54" t="s">
        <v>270</v>
      </c>
      <c r="H54">
        <v>0</v>
      </c>
      <c r="I54" t="s">
        <v>271</v>
      </c>
      <c r="J54" s="6" t="s">
        <v>33</v>
      </c>
      <c r="K54" s="15">
        <v>0.6</v>
      </c>
      <c r="L54" s="5">
        <v>0</v>
      </c>
      <c r="M54" s="15">
        <v>3.2</v>
      </c>
      <c r="N54">
        <v>2</v>
      </c>
      <c r="O54">
        <v>5</v>
      </c>
      <c r="P54">
        <v>2.2000000000000002</v>
      </c>
      <c r="Q54">
        <v>8.8000000000000007</v>
      </c>
      <c r="R54" s="2">
        <f>IF(ISBLANK(Table1[[#This Row],[Age]]),AVERAGE(Table1[Age]),Table1[[#This Row],[Age]])</f>
        <v>24</v>
      </c>
      <c r="S54" t="str">
        <f>PROPER(Table1[[#This Row],[Country]])</f>
        <v>Nigeria</v>
      </c>
      <c r="T54" t="str">
        <f>TRIM(Table1[[#This Row],[Profession]])</f>
        <v>Computer Science Student</v>
      </c>
      <c r="U54" s="5">
        <f>IF(ISBLANK(H54),AVERAGEIF(Table1[Profession imputed],T54,Table1[Monthly_Income]),H54)</f>
        <v>0</v>
      </c>
      <c r="V54" s="6" t="str">
        <f>PROPER(TRIM(Table1[AI_Tool]))</f>
        <v>Chat Gpt</v>
      </c>
      <c r="W54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55" spans="1:23" x14ac:dyDescent="0.25">
      <c r="A55" t="s">
        <v>421</v>
      </c>
      <c r="B55">
        <v>29</v>
      </c>
      <c r="C55" t="s">
        <v>22</v>
      </c>
      <c r="D55" t="s">
        <v>23</v>
      </c>
      <c r="E55" t="s">
        <v>24</v>
      </c>
      <c r="F55" t="s">
        <v>25</v>
      </c>
      <c r="G55" t="s">
        <v>422</v>
      </c>
      <c r="H55">
        <v>0</v>
      </c>
      <c r="I55" t="s">
        <v>271</v>
      </c>
      <c r="J55" s="6" t="s">
        <v>27</v>
      </c>
      <c r="K55" s="15">
        <v>1</v>
      </c>
      <c r="L55" s="5">
        <v>0</v>
      </c>
      <c r="M55" s="15">
        <v>4</v>
      </c>
      <c r="N55">
        <v>3</v>
      </c>
      <c r="O55">
        <v>6</v>
      </c>
      <c r="P55">
        <v>2.7</v>
      </c>
      <c r="Q55">
        <v>8</v>
      </c>
      <c r="R55" s="2">
        <f>IF(ISBLANK(Table1[[#This Row],[Age]]),AVERAGE(Table1[Age]),Table1[[#This Row],[Age]])</f>
        <v>29</v>
      </c>
      <c r="S55" t="str">
        <f>PROPER(Table1[[#This Row],[Country]])</f>
        <v>Germany</v>
      </c>
      <c r="T55" t="str">
        <f>TRIM(Table1[[#This Row],[Profession]])</f>
        <v>Customer Service Specialist</v>
      </c>
      <c r="U55" s="5">
        <f>IF(ISBLANK(H55),AVERAGEIF(Table1[[#This Row],[Profession imputed]],T55,Table1[Monthly_Income]),H55)</f>
        <v>0</v>
      </c>
      <c r="V55" s="6" t="str">
        <f>PROPER(TRIM(Table1[AI_Tool]))</f>
        <v>Chat Gpt</v>
      </c>
      <c r="W55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56" spans="1:23" x14ac:dyDescent="0.25">
      <c r="A56" t="s">
        <v>525</v>
      </c>
      <c r="B56">
        <v>22</v>
      </c>
      <c r="C56" t="s">
        <v>29</v>
      </c>
      <c r="D56" t="s">
        <v>189</v>
      </c>
      <c r="E56" t="s">
        <v>111</v>
      </c>
      <c r="F56" t="s">
        <v>55</v>
      </c>
      <c r="G56" t="s">
        <v>520</v>
      </c>
      <c r="H56">
        <v>0</v>
      </c>
      <c r="I56" t="s">
        <v>139</v>
      </c>
      <c r="J56" s="6" t="s">
        <v>124</v>
      </c>
      <c r="K56" s="15">
        <v>5.9</v>
      </c>
      <c r="L56" s="5">
        <v>0</v>
      </c>
      <c r="M56" s="15">
        <v>8.1</v>
      </c>
      <c r="N56">
        <v>3</v>
      </c>
      <c r="O56">
        <v>7</v>
      </c>
      <c r="P56">
        <v>9</v>
      </c>
      <c r="Q56">
        <v>7.3</v>
      </c>
      <c r="R56" s="2">
        <f>IF(ISBLANK(Table1[[#This Row],[Age]]),AVERAGE(Table1[Age]),Table1[[#This Row],[Age]])</f>
        <v>22</v>
      </c>
      <c r="S56" t="str">
        <f>PROPER(Table1[[#This Row],[Country]])</f>
        <v>Australia</v>
      </c>
      <c r="T56" t="str">
        <f>TRIM(Table1[[#This Row],[Profession]])</f>
        <v>Data Science Student</v>
      </c>
      <c r="U56" s="5">
        <f>IF(ISBLANK(H56),AVERAGEIF(Table1[Profession imputed],T56,Table1[Monthly_Income]),H56)</f>
        <v>0</v>
      </c>
      <c r="V56" s="6" t="str">
        <f>PROPER(TRIM(Table1[AI_Tool]))</f>
        <v>Microsoft Copilot</v>
      </c>
      <c r="W56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57" spans="1:23" x14ac:dyDescent="0.25">
      <c r="A57" t="s">
        <v>530</v>
      </c>
      <c r="B57">
        <v>22</v>
      </c>
      <c r="C57" t="s">
        <v>29</v>
      </c>
      <c r="D57" t="s">
        <v>189</v>
      </c>
      <c r="E57" t="s">
        <v>111</v>
      </c>
      <c r="F57" t="s">
        <v>55</v>
      </c>
      <c r="G57" t="s">
        <v>520</v>
      </c>
      <c r="H57">
        <v>0</v>
      </c>
      <c r="I57" t="s">
        <v>139</v>
      </c>
      <c r="J57" s="6" t="s">
        <v>124</v>
      </c>
      <c r="K57" s="15">
        <v>5.9</v>
      </c>
      <c r="L57" s="5">
        <v>0</v>
      </c>
      <c r="M57" s="15">
        <v>8.1</v>
      </c>
      <c r="N57">
        <v>3</v>
      </c>
      <c r="O57">
        <v>7</v>
      </c>
      <c r="P57">
        <v>9</v>
      </c>
      <c r="Q57">
        <v>7.3</v>
      </c>
      <c r="R57" s="2">
        <f>IF(ISBLANK(Table1[[#This Row],[Age]]),AVERAGE(Table1[Age]),Table1[[#This Row],[Age]])</f>
        <v>22</v>
      </c>
      <c r="S57" t="str">
        <f>PROPER(Table1[[#This Row],[Country]])</f>
        <v>Australia</v>
      </c>
      <c r="T57" t="str">
        <f>TRIM(Table1[[#This Row],[Profession]])</f>
        <v>Data Science Student</v>
      </c>
      <c r="U57" s="5">
        <f>IF(ISBLANK(H57),AVERAGEIF(Table1[Profession imputed],T57,Table1[Monthly_Income]),H57)</f>
        <v>0</v>
      </c>
      <c r="V57" s="6" t="str">
        <f>PROPER(TRIM(Table1[AI_Tool]))</f>
        <v>Microsoft Copilot</v>
      </c>
      <c r="W57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58" spans="1:23" x14ac:dyDescent="0.25">
      <c r="A58" t="s">
        <v>552</v>
      </c>
      <c r="B58">
        <v>20</v>
      </c>
      <c r="C58" t="s">
        <v>29</v>
      </c>
      <c r="D58" t="s">
        <v>189</v>
      </c>
      <c r="E58" t="s">
        <v>111</v>
      </c>
      <c r="F58" t="s">
        <v>55</v>
      </c>
      <c r="G58" t="s">
        <v>520</v>
      </c>
      <c r="H58">
        <v>0</v>
      </c>
      <c r="I58" t="s">
        <v>139</v>
      </c>
      <c r="J58" s="6" t="s">
        <v>124</v>
      </c>
      <c r="K58" s="15">
        <v>5.9</v>
      </c>
      <c r="L58" s="5">
        <v>0</v>
      </c>
      <c r="M58" s="15">
        <v>8.1</v>
      </c>
      <c r="N58">
        <v>3</v>
      </c>
      <c r="O58">
        <v>7</v>
      </c>
      <c r="P58">
        <v>9</v>
      </c>
      <c r="Q58">
        <v>7.3</v>
      </c>
      <c r="R58" s="2">
        <f>IF(ISBLANK(Table1[[#This Row],[Age]]),AVERAGE(Table1[Age]),Table1[[#This Row],[Age]])</f>
        <v>20</v>
      </c>
      <c r="S58" t="str">
        <f>PROPER(Table1[[#This Row],[Country]])</f>
        <v>Australia</v>
      </c>
      <c r="T58" t="str">
        <f>TRIM(Table1[[#This Row],[Profession]])</f>
        <v>Data Science Student</v>
      </c>
      <c r="U58" s="5">
        <f>IF(ISBLANK(H58),AVERAGEIF(Table1[Profession imputed],T58,Table1[Monthly_Income]),H58)</f>
        <v>0</v>
      </c>
      <c r="V58" s="6" t="str">
        <f>PROPER(TRIM(Table1[AI_Tool]))</f>
        <v>Microsoft Copilot</v>
      </c>
      <c r="W58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59" spans="1:23" x14ac:dyDescent="0.25">
      <c r="A59" t="s">
        <v>610</v>
      </c>
      <c r="B59">
        <v>20</v>
      </c>
      <c r="C59" t="s">
        <v>22</v>
      </c>
      <c r="D59" t="s">
        <v>57</v>
      </c>
      <c r="E59" t="s">
        <v>111</v>
      </c>
      <c r="F59" t="s">
        <v>132</v>
      </c>
      <c r="G59" t="s">
        <v>611</v>
      </c>
      <c r="H59">
        <v>0</v>
      </c>
      <c r="I59" t="s">
        <v>58</v>
      </c>
      <c r="J59" s="6" t="s">
        <v>75</v>
      </c>
      <c r="K59" s="15">
        <v>3.4</v>
      </c>
      <c r="L59" s="5">
        <v>10</v>
      </c>
      <c r="M59" s="15">
        <v>6.5</v>
      </c>
      <c r="N59">
        <v>3</v>
      </c>
      <c r="O59">
        <v>6</v>
      </c>
      <c r="P59">
        <v>7.2</v>
      </c>
      <c r="Q59">
        <v>4.5999999999999996</v>
      </c>
      <c r="R59" s="2">
        <f>IF(ISBLANK(Table1[[#This Row],[Age]]),AVERAGE(Table1[Age]),Table1[[#This Row],[Age]])</f>
        <v>20</v>
      </c>
      <c r="S59" t="str">
        <f>PROPER(Table1[[#This Row],[Country]])</f>
        <v>Pakistan</v>
      </c>
      <c r="T59" t="str">
        <f>TRIM(Table1[[#This Row],[Profession]])</f>
        <v>Digital Marketing Student</v>
      </c>
      <c r="U59" s="5">
        <f>IF(ISBLANK(H59),AVERAGEIF(Table1[Profession imputed],T59,Table1[Monthly_Income]),H59)</f>
        <v>0</v>
      </c>
      <c r="V59" s="6" t="str">
        <f>PROPER(TRIM(Table1[AI_Tool]))</f>
        <v>Claude</v>
      </c>
      <c r="W59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60" spans="1:23" x14ac:dyDescent="0.25">
      <c r="A60" t="s">
        <v>615</v>
      </c>
      <c r="B60">
        <v>22</v>
      </c>
      <c r="C60" t="s">
        <v>22</v>
      </c>
      <c r="D60" t="s">
        <v>52</v>
      </c>
      <c r="E60" t="s">
        <v>111</v>
      </c>
      <c r="F60" t="s">
        <v>132</v>
      </c>
      <c r="G60" t="s">
        <v>611</v>
      </c>
      <c r="H60">
        <v>0</v>
      </c>
      <c r="I60" t="s">
        <v>139</v>
      </c>
      <c r="J60" s="6" t="s">
        <v>75</v>
      </c>
      <c r="K60" s="15">
        <v>0.7</v>
      </c>
      <c r="L60" s="5">
        <v>30</v>
      </c>
      <c r="M60" s="15">
        <v>3.4</v>
      </c>
      <c r="N60">
        <v>4</v>
      </c>
      <c r="O60">
        <v>6</v>
      </c>
      <c r="P60">
        <v>5.9</v>
      </c>
      <c r="Q60">
        <v>5.4</v>
      </c>
      <c r="R60" s="2">
        <f>IF(ISBLANK(Table1[[#This Row],[Age]]),AVERAGE(Table1[Age]),Table1[[#This Row],[Age]])</f>
        <v>22</v>
      </c>
      <c r="S60" t="str">
        <f>PROPER(Table1[[#This Row],[Country]])</f>
        <v>India</v>
      </c>
      <c r="T60" t="str">
        <f>TRIM(Table1[[#This Row],[Profession]])</f>
        <v>Digital Marketing Student</v>
      </c>
      <c r="U60" s="5">
        <f>IF(ISBLANK(H60),AVERAGEIF(Table1[Profession imputed],T60,Table1[Monthly_Income]),H60)</f>
        <v>0</v>
      </c>
      <c r="V60" s="6" t="str">
        <f>PROPER(TRIM(Table1[AI_Tool]))</f>
        <v>Microsoft Copilot</v>
      </c>
      <c r="W60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61" spans="1:23" x14ac:dyDescent="0.25">
      <c r="A61" t="s">
        <v>620</v>
      </c>
      <c r="B61">
        <v>18</v>
      </c>
      <c r="C61" t="s">
        <v>22</v>
      </c>
      <c r="D61" t="s">
        <v>57</v>
      </c>
      <c r="E61" t="s">
        <v>111</v>
      </c>
      <c r="F61" t="s">
        <v>132</v>
      </c>
      <c r="G61" t="s">
        <v>611</v>
      </c>
      <c r="H61">
        <v>0</v>
      </c>
      <c r="I61" t="s">
        <v>58</v>
      </c>
      <c r="J61" s="6" t="s">
        <v>75</v>
      </c>
      <c r="K61" s="15">
        <v>3.4</v>
      </c>
      <c r="L61" s="5">
        <v>10</v>
      </c>
      <c r="M61" s="15">
        <v>6.5</v>
      </c>
      <c r="N61">
        <v>3</v>
      </c>
      <c r="O61">
        <v>6</v>
      </c>
      <c r="P61">
        <v>7.2</v>
      </c>
      <c r="Q61">
        <v>4.5999999999999996</v>
      </c>
      <c r="R61" s="2">
        <f>IF(ISBLANK(Table1[[#This Row],[Age]]),AVERAGE(Table1[Age]),Table1[[#This Row],[Age]])</f>
        <v>18</v>
      </c>
      <c r="S61" t="str">
        <f>PROPER(Table1[[#This Row],[Country]])</f>
        <v>Pakistan</v>
      </c>
      <c r="T61" t="str">
        <f>TRIM(Table1[[#This Row],[Profession]])</f>
        <v>Digital Marketing Student</v>
      </c>
      <c r="U61" s="5">
        <f>IF(ISBLANK(H61),AVERAGEIF(Table1[Profession imputed],T61,Table1[Monthly_Income]),H61)</f>
        <v>0</v>
      </c>
      <c r="V61" s="6" t="str">
        <f>PROPER(TRIM(Table1[AI_Tool]))</f>
        <v>Claude</v>
      </c>
      <c r="W61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62" spans="1:23" x14ac:dyDescent="0.25">
      <c r="A62" t="s">
        <v>621</v>
      </c>
      <c r="B62">
        <v>22</v>
      </c>
      <c r="C62" t="s">
        <v>22</v>
      </c>
      <c r="D62" t="s">
        <v>57</v>
      </c>
      <c r="E62" t="s">
        <v>111</v>
      </c>
      <c r="F62" t="s">
        <v>132</v>
      </c>
      <c r="G62" t="s">
        <v>611</v>
      </c>
      <c r="H62">
        <v>0</v>
      </c>
      <c r="I62" t="s">
        <v>58</v>
      </c>
      <c r="J62" s="6" t="s">
        <v>75</v>
      </c>
      <c r="K62" s="15">
        <v>3.4</v>
      </c>
      <c r="L62" s="5">
        <v>10</v>
      </c>
      <c r="M62" s="15">
        <v>6.5</v>
      </c>
      <c r="N62">
        <v>3</v>
      </c>
      <c r="O62">
        <v>6</v>
      </c>
      <c r="P62">
        <v>7.2</v>
      </c>
      <c r="Q62">
        <v>4.5999999999999996</v>
      </c>
      <c r="R62" s="2">
        <f>IF(ISBLANK(Table1[[#This Row],[Age]]),AVERAGE(Table1[Age]),Table1[[#This Row],[Age]])</f>
        <v>22</v>
      </c>
      <c r="S62" t="str">
        <f>PROPER(Table1[[#This Row],[Country]])</f>
        <v>Pakistan</v>
      </c>
      <c r="T62" t="str">
        <f>TRIM(Table1[[#This Row],[Profession]])</f>
        <v>Digital Marketing Student</v>
      </c>
      <c r="U62" s="5">
        <f>IF(ISBLANK(H62),AVERAGEIF(Table1[Profession imputed],T62,Table1[Monthly_Income]),H62)</f>
        <v>0</v>
      </c>
      <c r="V62" s="6" t="str">
        <f>PROPER(TRIM(Table1[AI_Tool]))</f>
        <v>Claude</v>
      </c>
      <c r="W62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63" spans="1:23" x14ac:dyDescent="0.25">
      <c r="A63" t="s">
        <v>622</v>
      </c>
      <c r="B63">
        <v>22</v>
      </c>
      <c r="C63" t="s">
        <v>22</v>
      </c>
      <c r="D63" t="s">
        <v>57</v>
      </c>
      <c r="E63" t="s">
        <v>111</v>
      </c>
      <c r="F63" t="s">
        <v>132</v>
      </c>
      <c r="G63" t="s">
        <v>611</v>
      </c>
      <c r="H63">
        <v>0</v>
      </c>
      <c r="I63" t="s">
        <v>58</v>
      </c>
      <c r="J63" s="6" t="s">
        <v>75</v>
      </c>
      <c r="K63" s="15">
        <v>3.4</v>
      </c>
      <c r="L63" s="5">
        <v>10</v>
      </c>
      <c r="M63" s="15">
        <v>6.5</v>
      </c>
      <c r="N63">
        <v>3</v>
      </c>
      <c r="O63">
        <v>6</v>
      </c>
      <c r="P63">
        <v>7.2</v>
      </c>
      <c r="Q63">
        <v>4.5999999999999996</v>
      </c>
      <c r="R63" s="2">
        <f>IF(ISBLANK(Table1[[#This Row],[Age]]),AVERAGE(Table1[Age]),Table1[[#This Row],[Age]])</f>
        <v>22</v>
      </c>
      <c r="S63" t="str">
        <f>PROPER(Table1[[#This Row],[Country]])</f>
        <v>Pakistan</v>
      </c>
      <c r="T63" t="str">
        <f>TRIM(Table1[[#This Row],[Profession]])</f>
        <v>Digital Marketing Student</v>
      </c>
      <c r="U63" s="5">
        <f>IF(ISBLANK(H63),AVERAGEIF(Table1[Profession imputed],T63,Table1[Monthly_Income]),H63)</f>
        <v>0</v>
      </c>
      <c r="V63" s="6" t="str">
        <f>PROPER(TRIM(Table1[AI_Tool]))</f>
        <v>Claude</v>
      </c>
      <c r="W63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64" spans="1:23" x14ac:dyDescent="0.25">
      <c r="A64" t="s">
        <v>624</v>
      </c>
      <c r="B64">
        <v>21</v>
      </c>
      <c r="C64" t="s">
        <v>22</v>
      </c>
      <c r="D64" t="s">
        <v>52</v>
      </c>
      <c r="E64" t="s">
        <v>111</v>
      </c>
      <c r="F64" t="s">
        <v>132</v>
      </c>
      <c r="G64" t="s">
        <v>611</v>
      </c>
      <c r="H64">
        <v>0</v>
      </c>
      <c r="I64" t="s">
        <v>139</v>
      </c>
      <c r="J64" s="6" t="s">
        <v>75</v>
      </c>
      <c r="K64" s="15">
        <v>0.7</v>
      </c>
      <c r="L64" s="5">
        <v>30</v>
      </c>
      <c r="M64" s="15">
        <v>3.4</v>
      </c>
      <c r="N64">
        <v>4</v>
      </c>
      <c r="O64">
        <v>6</v>
      </c>
      <c r="P64">
        <v>5.9</v>
      </c>
      <c r="Q64">
        <v>5.4</v>
      </c>
      <c r="R64" s="2">
        <f>IF(ISBLANK(Table1[[#This Row],[Age]]),AVERAGE(Table1[Age]),Table1[[#This Row],[Age]])</f>
        <v>21</v>
      </c>
      <c r="S64" t="str">
        <f>PROPER(Table1[[#This Row],[Country]])</f>
        <v>India</v>
      </c>
      <c r="T64" t="str">
        <f>TRIM(Table1[[#This Row],[Profession]])</f>
        <v>Digital Marketing Student</v>
      </c>
      <c r="U64" s="5">
        <f>IF(ISBLANK(H64),AVERAGEIF(Table1[Profession imputed],T64,Table1[Monthly_Income]),H64)</f>
        <v>0</v>
      </c>
      <c r="V64" s="6" t="str">
        <f>PROPER(TRIM(Table1[AI_Tool]))</f>
        <v>Microsoft Copilot</v>
      </c>
      <c r="W64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65" spans="1:23" x14ac:dyDescent="0.25">
      <c r="A65" t="s">
        <v>626</v>
      </c>
      <c r="B65">
        <v>23</v>
      </c>
      <c r="C65" t="s">
        <v>22</v>
      </c>
      <c r="D65" t="s">
        <v>52</v>
      </c>
      <c r="E65" t="s">
        <v>111</v>
      </c>
      <c r="F65" t="s">
        <v>132</v>
      </c>
      <c r="G65" t="s">
        <v>611</v>
      </c>
      <c r="H65">
        <v>0</v>
      </c>
      <c r="I65" t="s">
        <v>139</v>
      </c>
      <c r="J65" s="6" t="s">
        <v>75</v>
      </c>
      <c r="K65" s="15">
        <v>0.7</v>
      </c>
      <c r="L65" s="5">
        <v>30</v>
      </c>
      <c r="M65" s="15">
        <v>3.4</v>
      </c>
      <c r="N65">
        <v>4</v>
      </c>
      <c r="O65">
        <v>6</v>
      </c>
      <c r="P65">
        <v>5.9</v>
      </c>
      <c r="Q65">
        <v>5.4</v>
      </c>
      <c r="R65" s="2">
        <f>IF(ISBLANK(Table1[[#This Row],[Age]]),AVERAGE(Table1[Age]),Table1[[#This Row],[Age]])</f>
        <v>23</v>
      </c>
      <c r="S65" t="str">
        <f>PROPER(Table1[[#This Row],[Country]])</f>
        <v>India</v>
      </c>
      <c r="T65" t="str">
        <f>TRIM(Table1[[#This Row],[Profession]])</f>
        <v>Digital Marketing Student</v>
      </c>
      <c r="U65" s="5">
        <f>IF(ISBLANK(H65),AVERAGEIF(Table1[Profession imputed],T65,Table1[Monthly_Income]),H65)</f>
        <v>0</v>
      </c>
      <c r="V65" s="6" t="str">
        <f>PROPER(TRIM(Table1[AI_Tool]))</f>
        <v>Microsoft Copilot</v>
      </c>
      <c r="W65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66" spans="1:23" x14ac:dyDescent="0.25">
      <c r="A66" t="s">
        <v>650</v>
      </c>
      <c r="B66">
        <v>22</v>
      </c>
      <c r="C66" t="s">
        <v>22</v>
      </c>
      <c r="D66" t="s">
        <v>44</v>
      </c>
      <c r="E66" t="s">
        <v>111</v>
      </c>
      <c r="F66" t="s">
        <v>132</v>
      </c>
      <c r="G66" t="s">
        <v>649</v>
      </c>
      <c r="H66">
        <v>0</v>
      </c>
      <c r="I66" t="s">
        <v>271</v>
      </c>
      <c r="J66" s="6" t="s">
        <v>75</v>
      </c>
      <c r="K66" s="15">
        <v>5.9</v>
      </c>
      <c r="L66" s="5">
        <v>20</v>
      </c>
      <c r="M66" s="15">
        <v>5.5</v>
      </c>
      <c r="N66">
        <v>3</v>
      </c>
      <c r="O66">
        <v>5</v>
      </c>
      <c r="P66">
        <v>12.4</v>
      </c>
      <c r="Q66">
        <v>5.7</v>
      </c>
      <c r="R66" s="2">
        <f>IF(ISBLANK(Table1[[#This Row],[Age]]),AVERAGE(Table1[Age]),Table1[[#This Row],[Age]])</f>
        <v>22</v>
      </c>
      <c r="S66" t="str">
        <f>PROPER(Table1[[#This Row],[Country]])</f>
        <v>United States</v>
      </c>
      <c r="T66" t="str">
        <f>TRIM(Table1[[#This Row],[Profession]])</f>
        <v>Digital Media Student</v>
      </c>
      <c r="U66" s="5">
        <f>IF(ISBLANK(H66),AVERAGEIF(Table1[Profession imputed],T66,Table1[Monthly_Income]),H66)</f>
        <v>0</v>
      </c>
      <c r="V66" s="6" t="str">
        <f>PROPER(TRIM(Table1[AI_Tool]))</f>
        <v>Chat Gpt</v>
      </c>
      <c r="W66" s="8">
        <f>IF(ISBLANK(Table1[[#This Row],[Time_Saved_Hours_Per_Week]]),AVERAGEIF(Table1[Satisfaction_Score],Table1[[#This Row],[Satisfaction_Score]],Table1[Time_Saved_Hours_Per_Week]),Table1[[#This Row],[Time_Saved_Hours_Per_Week]])</f>
        <v>12.4</v>
      </c>
    </row>
    <row r="67" spans="1:23" x14ac:dyDescent="0.25">
      <c r="A67" t="s">
        <v>651</v>
      </c>
      <c r="B67">
        <v>21</v>
      </c>
      <c r="C67" t="s">
        <v>22</v>
      </c>
      <c r="D67" t="s">
        <v>44</v>
      </c>
      <c r="E67" t="s">
        <v>111</v>
      </c>
      <c r="F67" t="s">
        <v>132</v>
      </c>
      <c r="G67" t="s">
        <v>649</v>
      </c>
      <c r="H67">
        <v>0</v>
      </c>
      <c r="I67" t="s">
        <v>271</v>
      </c>
      <c r="J67" s="6" t="s">
        <v>75</v>
      </c>
      <c r="K67" s="15">
        <v>5.9</v>
      </c>
      <c r="L67" s="5">
        <v>20</v>
      </c>
      <c r="M67" s="15">
        <v>5.5</v>
      </c>
      <c r="N67">
        <v>3</v>
      </c>
      <c r="O67">
        <v>5</v>
      </c>
      <c r="P67">
        <v>12.4</v>
      </c>
      <c r="Q67">
        <v>5.7</v>
      </c>
      <c r="R67" s="2">
        <f>IF(ISBLANK(Table1[[#This Row],[Age]]),AVERAGE(Table1[Age]),Table1[[#This Row],[Age]])</f>
        <v>21</v>
      </c>
      <c r="S67" t="str">
        <f>PROPER(Table1[[#This Row],[Country]])</f>
        <v>United States</v>
      </c>
      <c r="T67" t="str">
        <f>TRIM(Table1[[#This Row],[Profession]])</f>
        <v>Digital Media Student</v>
      </c>
      <c r="U67" s="5">
        <f>IF(ISBLANK(H67),AVERAGEIF(Table1[Profession imputed],T67,Table1[Monthly_Income]),H67)</f>
        <v>0</v>
      </c>
      <c r="V67" s="6" t="str">
        <f>PROPER(TRIM(Table1[AI_Tool]))</f>
        <v>Chat Gpt</v>
      </c>
      <c r="W67" s="8">
        <f>IF(ISBLANK(Table1[[#This Row],[Time_Saved_Hours_Per_Week]]),AVERAGEIF(Table1[Satisfaction_Score],Table1[[#This Row],[Satisfaction_Score]],Table1[Time_Saved_Hours_Per_Week]),Table1[[#This Row],[Time_Saved_Hours_Per_Week]])</f>
        <v>12.4</v>
      </c>
    </row>
    <row r="68" spans="1:23" x14ac:dyDescent="0.25">
      <c r="A68" t="s">
        <v>672</v>
      </c>
      <c r="B68">
        <v>23</v>
      </c>
      <c r="C68" t="s">
        <v>29</v>
      </c>
      <c r="D68" t="s">
        <v>57</v>
      </c>
      <c r="E68" t="s">
        <v>111</v>
      </c>
      <c r="F68" t="s">
        <v>55</v>
      </c>
      <c r="G68" t="s">
        <v>671</v>
      </c>
      <c r="H68">
        <v>0</v>
      </c>
      <c r="I68" t="s">
        <v>271</v>
      </c>
      <c r="J68" s="6" t="s">
        <v>38</v>
      </c>
      <c r="K68" s="15">
        <v>1.7</v>
      </c>
      <c r="L68" s="5">
        <v>20</v>
      </c>
      <c r="M68" s="15">
        <v>2.8</v>
      </c>
      <c r="N68">
        <v>2</v>
      </c>
      <c r="O68">
        <v>3</v>
      </c>
      <c r="P68">
        <v>2.7</v>
      </c>
      <c r="Q68">
        <v>5.4</v>
      </c>
      <c r="R68" s="2">
        <f>IF(ISBLANK(Table1[[#This Row],[Age]]),AVERAGE(Table1[Age]),Table1[[#This Row],[Age]])</f>
        <v>23</v>
      </c>
      <c r="S68" t="str">
        <f>PROPER(Table1[[#This Row],[Country]])</f>
        <v>Pakistan</v>
      </c>
      <c r="T68" t="str">
        <f>TRIM(Table1[[#This Row],[Profession]])</f>
        <v>English Literature Student</v>
      </c>
      <c r="U68" s="5">
        <f>IF(ISBLANK(H68),AVERAGEIF(Table1[Profession imputed],T68,Table1[Monthly_Income]),H68)</f>
        <v>0</v>
      </c>
      <c r="V68" s="6" t="str">
        <f>PROPER(TRIM(Table1[AI_Tool]))</f>
        <v>Chat Gpt</v>
      </c>
      <c r="W68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69" spans="1:23" x14ac:dyDescent="0.25">
      <c r="A69" t="s">
        <v>679</v>
      </c>
      <c r="B69">
        <v>17</v>
      </c>
      <c r="C69" t="s">
        <v>22</v>
      </c>
      <c r="D69" t="s">
        <v>89</v>
      </c>
      <c r="E69" t="s">
        <v>111</v>
      </c>
      <c r="F69" t="s">
        <v>50</v>
      </c>
      <c r="G69" t="s">
        <v>671</v>
      </c>
      <c r="H69">
        <v>0</v>
      </c>
      <c r="I69" t="s">
        <v>139</v>
      </c>
      <c r="J69" s="6" t="s">
        <v>38</v>
      </c>
      <c r="K69" s="15">
        <v>9.5</v>
      </c>
      <c r="L69" s="5">
        <v>25</v>
      </c>
      <c r="M69" s="15">
        <v>8.6</v>
      </c>
      <c r="N69">
        <v>3</v>
      </c>
      <c r="O69">
        <v>9</v>
      </c>
      <c r="P69">
        <v>15.2</v>
      </c>
      <c r="Q69">
        <v>5.7</v>
      </c>
      <c r="R69" s="2">
        <f>IF(ISBLANK(Table1[[#This Row],[Age]]),AVERAGE(Table1[Age]),Table1[[#This Row],[Age]])</f>
        <v>17</v>
      </c>
      <c r="S69" t="str">
        <f>PROPER(Table1[[#This Row],[Country]])</f>
        <v>Nigeria</v>
      </c>
      <c r="T69" t="str">
        <f>TRIM(Table1[[#This Row],[Profession]])</f>
        <v>English Literature Student</v>
      </c>
      <c r="U69" s="5">
        <f>IF(ISBLANK(H69),AVERAGEIF(Table1[[#This Row],[Profession imputed]],T69,Table1[Monthly_Income]),H69)</f>
        <v>0</v>
      </c>
      <c r="V69" s="6" t="str">
        <f>PROPER(TRIM(Table1[AI_Tool]))</f>
        <v>Microsoft Copilot</v>
      </c>
      <c r="W69" s="8">
        <f>IF(ISBLANK(Table1[[#This Row],[Time_Saved_Hours_Per_Week]]),AVERAGEIF(Table1[Satisfaction_Score],Table1[[#This Row],[Satisfaction_Score]],Table1[Time_Saved_Hours_Per_Week]),Table1[[#This Row],[Time_Saved_Hours_Per_Week]])</f>
        <v>15.2</v>
      </c>
    </row>
    <row r="70" spans="1:23" x14ac:dyDescent="0.25">
      <c r="A70" t="s">
        <v>683</v>
      </c>
      <c r="B70">
        <v>22</v>
      </c>
      <c r="C70" t="s">
        <v>22</v>
      </c>
      <c r="D70" t="s">
        <v>57</v>
      </c>
      <c r="E70" t="s">
        <v>111</v>
      </c>
      <c r="F70" t="s">
        <v>132</v>
      </c>
      <c r="G70" t="s">
        <v>671</v>
      </c>
      <c r="H70">
        <v>0</v>
      </c>
      <c r="I70" t="s">
        <v>271</v>
      </c>
      <c r="J70" s="6" t="s">
        <v>38</v>
      </c>
      <c r="K70" s="15">
        <v>3.9</v>
      </c>
      <c r="L70" s="5">
        <v>0</v>
      </c>
      <c r="M70" s="15">
        <v>6.9</v>
      </c>
      <c r="N70">
        <v>4</v>
      </c>
      <c r="O70">
        <v>9</v>
      </c>
      <c r="P70">
        <v>6.7</v>
      </c>
      <c r="Q70">
        <v>7.3</v>
      </c>
      <c r="R70" s="2">
        <f>IF(ISBLANK(Table1[[#This Row],[Age]]),AVERAGE(Table1[Age]),Table1[[#This Row],[Age]])</f>
        <v>22</v>
      </c>
      <c r="S70" t="str">
        <f>PROPER(Table1[[#This Row],[Country]])</f>
        <v>Pakistan</v>
      </c>
      <c r="T70" t="str">
        <f>TRIM(Table1[[#This Row],[Profession]])</f>
        <v>English Literature Student</v>
      </c>
      <c r="U70" s="5">
        <f>IF(ISBLANK(H70),AVERAGEIF(Table1[[#This Row],[Profession imputed]],T70,Table1[Monthly_Income]),H70)</f>
        <v>0</v>
      </c>
      <c r="V70" s="6" t="str">
        <f>PROPER(TRIM(Table1[AI_Tool]))</f>
        <v>Chat Gpt</v>
      </c>
      <c r="W70" s="8">
        <f>IF(ISBLANK(Table1[[#This Row],[Time_Saved_Hours_Per_Week]]),AVERAGEIF(Table1[Satisfaction_Score],Table1[[#This Row],[Satisfaction_Score]],Table1[Time_Saved_Hours_Per_Week]),Table1[[#This Row],[Time_Saved_Hours_Per_Week]])</f>
        <v>6.7</v>
      </c>
    </row>
    <row r="71" spans="1:23" x14ac:dyDescent="0.25">
      <c r="A71" t="s">
        <v>685</v>
      </c>
      <c r="B71">
        <v>21</v>
      </c>
      <c r="C71" t="s">
        <v>29</v>
      </c>
      <c r="D71" t="s">
        <v>92</v>
      </c>
      <c r="E71" t="s">
        <v>111</v>
      </c>
      <c r="F71" t="s">
        <v>50</v>
      </c>
      <c r="G71" t="s">
        <v>671</v>
      </c>
      <c r="H71">
        <v>0</v>
      </c>
      <c r="I71" t="s">
        <v>58</v>
      </c>
      <c r="J71" s="6" t="s">
        <v>38</v>
      </c>
      <c r="K71" s="15">
        <v>2.9</v>
      </c>
      <c r="L71" s="5">
        <v>10</v>
      </c>
      <c r="M71" s="15">
        <v>5.7</v>
      </c>
      <c r="N71">
        <v>2</v>
      </c>
      <c r="O71">
        <v>4</v>
      </c>
      <c r="P71">
        <v>6.6</v>
      </c>
      <c r="Q71">
        <v>6.4</v>
      </c>
      <c r="R71" s="2">
        <f>IF(ISBLANK(Table1[[#This Row],[Age]]),AVERAGE(Table1[Age]),Table1[[#This Row],[Age]])</f>
        <v>21</v>
      </c>
      <c r="S71" t="str">
        <f>PROPER(Table1[[#This Row],[Country]])</f>
        <v>Canada</v>
      </c>
      <c r="T71" t="str">
        <f>TRIM(Table1[[#This Row],[Profession]])</f>
        <v>English Literature Student</v>
      </c>
      <c r="U71" s="5">
        <f>IF(ISBLANK(H71),AVERAGEIF(Table1[[#This Row],[Profession imputed]],T71,Table1[Monthly_Income]),H71)</f>
        <v>0</v>
      </c>
      <c r="V71" s="6" t="str">
        <f>PROPER(TRIM(Table1[AI_Tool]))</f>
        <v>Claude</v>
      </c>
      <c r="W71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72" spans="1:23" x14ac:dyDescent="0.25">
      <c r="A72" t="s">
        <v>694</v>
      </c>
      <c r="B72">
        <v>20</v>
      </c>
      <c r="C72" t="s">
        <v>22</v>
      </c>
      <c r="D72" t="s">
        <v>52</v>
      </c>
      <c r="E72" t="s">
        <v>111</v>
      </c>
      <c r="F72" t="s">
        <v>25</v>
      </c>
      <c r="G72" t="s">
        <v>671</v>
      </c>
      <c r="H72">
        <v>0</v>
      </c>
      <c r="I72" t="s">
        <v>271</v>
      </c>
      <c r="J72" s="6" t="s">
        <v>38</v>
      </c>
      <c r="K72" s="15">
        <v>1.6</v>
      </c>
      <c r="L72" s="5">
        <v>0</v>
      </c>
      <c r="M72" s="15">
        <v>5.2</v>
      </c>
      <c r="N72">
        <v>2</v>
      </c>
      <c r="O72">
        <v>5</v>
      </c>
      <c r="P72">
        <v>5.3</v>
      </c>
      <c r="Q72">
        <v>8.4</v>
      </c>
      <c r="R72" s="2">
        <f>IF(ISBLANK(Table1[[#This Row],[Age]]),AVERAGE(Table1[Age]),Table1[[#This Row],[Age]])</f>
        <v>20</v>
      </c>
      <c r="S72" t="str">
        <f>PROPER(Table1[[#This Row],[Country]])</f>
        <v>India</v>
      </c>
      <c r="T72" t="str">
        <f>TRIM(Table1[[#This Row],[Profession]])</f>
        <v>English Literature Student</v>
      </c>
      <c r="U72" s="5">
        <f>IF(ISBLANK(H72),AVERAGEIF(Table1[[#This Row],[Profession imputed]],T72,Table1[Monthly_Income]),H72)</f>
        <v>0</v>
      </c>
      <c r="V72" s="6" t="str">
        <f>PROPER(TRIM(Table1[AI_Tool]))</f>
        <v>Chat Gpt</v>
      </c>
      <c r="W72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73" spans="1:23" x14ac:dyDescent="0.25">
      <c r="A73" t="s">
        <v>701</v>
      </c>
      <c r="B73">
        <v>23</v>
      </c>
      <c r="C73" t="s">
        <v>29</v>
      </c>
      <c r="D73" t="s">
        <v>92</v>
      </c>
      <c r="E73" t="s">
        <v>111</v>
      </c>
      <c r="F73" t="s">
        <v>50</v>
      </c>
      <c r="G73" t="s">
        <v>671</v>
      </c>
      <c r="H73">
        <v>0</v>
      </c>
      <c r="I73" t="s">
        <v>58</v>
      </c>
      <c r="J73" s="6" t="s">
        <v>38</v>
      </c>
      <c r="K73" s="15">
        <v>2.9</v>
      </c>
      <c r="L73" s="5">
        <v>10</v>
      </c>
      <c r="M73" s="15">
        <v>5.7</v>
      </c>
      <c r="N73">
        <v>2</v>
      </c>
      <c r="O73">
        <v>4</v>
      </c>
      <c r="P73">
        <v>6.6</v>
      </c>
      <c r="Q73">
        <v>6.4</v>
      </c>
      <c r="R73" s="2">
        <f>IF(ISBLANK(Table1[[#This Row],[Age]]),AVERAGE(Table1[Age]),Table1[[#This Row],[Age]])</f>
        <v>23</v>
      </c>
      <c r="S73" t="str">
        <f>PROPER(Table1[[#This Row],[Country]])</f>
        <v>Canada</v>
      </c>
      <c r="T73" t="str">
        <f>TRIM(Table1[[#This Row],[Profession]])</f>
        <v>English Literature Student</v>
      </c>
      <c r="U73" s="5">
        <f>IF(ISBLANK(H73),AVERAGEIF(Table1[[#This Row],[Profession imputed]],T73,Table1[Monthly_Income]),H73)</f>
        <v>0</v>
      </c>
      <c r="V73" s="6" t="str">
        <f>PROPER(TRIM(Table1[AI_Tool]))</f>
        <v>Claude</v>
      </c>
      <c r="W73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74" spans="1:23" x14ac:dyDescent="0.25">
      <c r="A74" t="s">
        <v>706</v>
      </c>
      <c r="B74">
        <v>22</v>
      </c>
      <c r="C74" t="s">
        <v>22</v>
      </c>
      <c r="D74" t="s">
        <v>57</v>
      </c>
      <c r="E74" t="s">
        <v>111</v>
      </c>
      <c r="F74" t="s">
        <v>132</v>
      </c>
      <c r="G74" t="s">
        <v>671</v>
      </c>
      <c r="H74">
        <v>0</v>
      </c>
      <c r="I74" t="s">
        <v>271</v>
      </c>
      <c r="J74" s="6" t="s">
        <v>38</v>
      </c>
      <c r="K74" s="15">
        <v>3.9</v>
      </c>
      <c r="L74" s="5">
        <v>0</v>
      </c>
      <c r="M74" s="15">
        <v>6.9</v>
      </c>
      <c r="N74">
        <v>4</v>
      </c>
      <c r="O74">
        <v>9</v>
      </c>
      <c r="P74">
        <v>6.7</v>
      </c>
      <c r="Q74">
        <v>7.3</v>
      </c>
      <c r="R74" s="2">
        <f>IF(ISBLANK(Table1[[#This Row],[Age]]),AVERAGE(Table1[Age]),Table1[[#This Row],[Age]])</f>
        <v>22</v>
      </c>
      <c r="S74" t="str">
        <f>PROPER(Table1[[#This Row],[Country]])</f>
        <v>Pakistan</v>
      </c>
      <c r="T74" t="str">
        <f>TRIM(Table1[[#This Row],[Profession]])</f>
        <v>English Literature Student</v>
      </c>
      <c r="U74" s="5">
        <f>IF(ISBLANK(H74),AVERAGEIF(Table1[[#This Row],[Profession imputed]],T74,Table1[Monthly_Income]),H74)</f>
        <v>0</v>
      </c>
      <c r="V74" s="6" t="str">
        <f>PROPER(TRIM(Table1[AI_Tool]))</f>
        <v>Chat Gpt</v>
      </c>
      <c r="W74" s="8">
        <f>IF(ISBLANK(Table1[[#This Row],[Time_Saved_Hours_Per_Week]]),AVERAGEIF(Table1[Satisfaction_Score],Table1[[#This Row],[Satisfaction_Score]],Table1[Time_Saved_Hours_Per_Week]),Table1[[#This Row],[Time_Saved_Hours_Per_Week]])</f>
        <v>6.7</v>
      </c>
    </row>
    <row r="75" spans="1:23" x14ac:dyDescent="0.25">
      <c r="A75" t="s">
        <v>711</v>
      </c>
      <c r="B75">
        <v>18</v>
      </c>
      <c r="C75" t="s">
        <v>22</v>
      </c>
      <c r="D75" t="s">
        <v>52</v>
      </c>
      <c r="E75" t="s">
        <v>111</v>
      </c>
      <c r="F75" t="s">
        <v>25</v>
      </c>
      <c r="G75" t="s">
        <v>671</v>
      </c>
      <c r="H75">
        <v>0</v>
      </c>
      <c r="I75" t="s">
        <v>271</v>
      </c>
      <c r="J75" s="6" t="s">
        <v>38</v>
      </c>
      <c r="K75" s="15">
        <v>1.6</v>
      </c>
      <c r="L75" s="5">
        <v>0</v>
      </c>
      <c r="M75" s="15">
        <v>5.2</v>
      </c>
      <c r="N75">
        <v>2</v>
      </c>
      <c r="O75">
        <v>5</v>
      </c>
      <c r="P75">
        <v>5.3</v>
      </c>
      <c r="Q75">
        <v>8.4</v>
      </c>
      <c r="R75" s="2">
        <f>IF(ISBLANK(Table1[[#This Row],[Age]]),AVERAGE(Table1[Age]),Table1[[#This Row],[Age]])</f>
        <v>18</v>
      </c>
      <c r="S75" t="str">
        <f>PROPER(Table1[[#This Row],[Country]])</f>
        <v>India</v>
      </c>
      <c r="T75" t="str">
        <f>TRIM(Table1[[#This Row],[Profession]])</f>
        <v>English Literature Student</v>
      </c>
      <c r="U75" s="5">
        <f>IF(ISBLANK(H75),AVERAGEIF(Table1[[#This Row],[Profession imputed]],T75,Table1[Monthly_Income]),H75)</f>
        <v>0</v>
      </c>
      <c r="V75" s="6" t="str">
        <f>PROPER(TRIM(Table1[AI_Tool]))</f>
        <v>Chat Gpt</v>
      </c>
      <c r="W75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76" spans="1:23" x14ac:dyDescent="0.25">
      <c r="A76" t="s">
        <v>727</v>
      </c>
      <c r="B76">
        <v>19</v>
      </c>
      <c r="C76" t="s">
        <v>29</v>
      </c>
      <c r="D76" t="s">
        <v>92</v>
      </c>
      <c r="E76" t="s">
        <v>111</v>
      </c>
      <c r="F76" t="s">
        <v>50</v>
      </c>
      <c r="G76" t="s">
        <v>671</v>
      </c>
      <c r="H76">
        <v>0</v>
      </c>
      <c r="I76" t="s">
        <v>58</v>
      </c>
      <c r="J76" s="6" t="s">
        <v>38</v>
      </c>
      <c r="K76" s="15">
        <v>2.9</v>
      </c>
      <c r="L76" s="5">
        <v>10</v>
      </c>
      <c r="M76" s="15">
        <v>5.7</v>
      </c>
      <c r="N76">
        <v>2</v>
      </c>
      <c r="O76">
        <v>4</v>
      </c>
      <c r="P76">
        <v>6.6</v>
      </c>
      <c r="Q76">
        <v>6.4</v>
      </c>
      <c r="R76" s="2">
        <f>IF(ISBLANK(Table1[[#This Row],[Age]]),AVERAGE(Table1[Age]),Table1[[#This Row],[Age]])</f>
        <v>19</v>
      </c>
      <c r="S76" t="str">
        <f>PROPER(Table1[[#This Row],[Country]])</f>
        <v>Canada</v>
      </c>
      <c r="T76" t="str">
        <f>TRIM(Table1[[#This Row],[Profession]])</f>
        <v>English Literature Student</v>
      </c>
      <c r="U76" s="5">
        <f>IF(ISBLANK(H76),AVERAGEIF(Table1[[#This Row],[Profession imputed]],T76,Table1[Monthly_Income]),H76)</f>
        <v>0</v>
      </c>
      <c r="V76" s="6" t="str">
        <f>PROPER(TRIM(Table1[AI_Tool]))</f>
        <v>Claude</v>
      </c>
      <c r="W76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77" spans="1:23" x14ac:dyDescent="0.25">
      <c r="A77" t="s">
        <v>732</v>
      </c>
      <c r="B77">
        <v>23</v>
      </c>
      <c r="C77" t="s">
        <v>22</v>
      </c>
      <c r="D77" t="s">
        <v>57</v>
      </c>
      <c r="E77" t="s">
        <v>111</v>
      </c>
      <c r="F77" t="s">
        <v>132</v>
      </c>
      <c r="G77" t="s">
        <v>671</v>
      </c>
      <c r="H77">
        <v>0</v>
      </c>
      <c r="I77" t="s">
        <v>271</v>
      </c>
      <c r="J77" s="6" t="s">
        <v>38</v>
      </c>
      <c r="K77" s="15">
        <v>3.9</v>
      </c>
      <c r="L77" s="5">
        <v>0</v>
      </c>
      <c r="M77" s="15">
        <v>6.9</v>
      </c>
      <c r="N77">
        <v>4</v>
      </c>
      <c r="O77">
        <v>9</v>
      </c>
      <c r="P77">
        <v>6.7</v>
      </c>
      <c r="Q77">
        <v>7.3</v>
      </c>
      <c r="R77" s="2">
        <f>IF(ISBLANK(Table1[[#This Row],[Age]]),AVERAGE(Table1[Age]),Table1[[#This Row],[Age]])</f>
        <v>23</v>
      </c>
      <c r="S77" t="str">
        <f>PROPER(Table1[[#This Row],[Country]])</f>
        <v>Pakistan</v>
      </c>
      <c r="T77" t="str">
        <f>TRIM(Table1[[#This Row],[Profession]])</f>
        <v>English Literature Student</v>
      </c>
      <c r="U77" s="5">
        <f>IF(ISBLANK(H77),AVERAGEIF(Table1[[#This Row],[Profession imputed]],T77,Table1[Monthly_Income]),H77)</f>
        <v>0</v>
      </c>
      <c r="V77" s="6" t="str">
        <f>PROPER(TRIM(Table1[AI_Tool]))</f>
        <v>Chat Gpt</v>
      </c>
      <c r="W77" s="8">
        <f>IF(ISBLANK(Table1[[#This Row],[Time_Saved_Hours_Per_Week]]),AVERAGEIF(Table1[Satisfaction_Score],Table1[[#This Row],[Satisfaction_Score]],Table1[Time_Saved_Hours_Per_Week]),Table1[[#This Row],[Time_Saved_Hours_Per_Week]])</f>
        <v>6.7</v>
      </c>
    </row>
    <row r="78" spans="1:23" x14ac:dyDescent="0.25">
      <c r="A78" t="s">
        <v>735</v>
      </c>
      <c r="B78">
        <v>21</v>
      </c>
      <c r="C78" t="s">
        <v>22</v>
      </c>
      <c r="D78" t="s">
        <v>52</v>
      </c>
      <c r="E78" t="s">
        <v>111</v>
      </c>
      <c r="F78" t="s">
        <v>25</v>
      </c>
      <c r="G78" t="s">
        <v>671</v>
      </c>
      <c r="H78">
        <v>0</v>
      </c>
      <c r="I78" t="s">
        <v>271</v>
      </c>
      <c r="J78" s="6" t="s">
        <v>38</v>
      </c>
      <c r="K78" s="15">
        <v>1.6</v>
      </c>
      <c r="L78" s="5">
        <v>0</v>
      </c>
      <c r="M78" s="15">
        <v>5.2</v>
      </c>
      <c r="N78">
        <v>2</v>
      </c>
      <c r="O78">
        <v>5</v>
      </c>
      <c r="P78">
        <v>5.3</v>
      </c>
      <c r="Q78">
        <v>8.4</v>
      </c>
      <c r="R78" s="2">
        <f>IF(ISBLANK(Table1[[#This Row],[Age]]),AVERAGE(Table1[Age]),Table1[[#This Row],[Age]])</f>
        <v>21</v>
      </c>
      <c r="S78" t="str">
        <f>PROPER(Table1[[#This Row],[Country]])</f>
        <v>India</v>
      </c>
      <c r="T78" t="str">
        <f>TRIM(Table1[[#This Row],[Profession]])</f>
        <v>English Literature Student</v>
      </c>
      <c r="U78" s="5">
        <f>IF(ISBLANK(H78),AVERAGEIF(Table1[[#This Row],[Profession imputed]],T78,Table1[Monthly_Income]),H78)</f>
        <v>0</v>
      </c>
      <c r="V78" s="6" t="str">
        <f>PROPER(TRIM(Table1[AI_Tool]))</f>
        <v>Chat Gpt</v>
      </c>
      <c r="W78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79" spans="1:23" x14ac:dyDescent="0.25">
      <c r="A79" t="s">
        <v>739</v>
      </c>
      <c r="B79">
        <v>19</v>
      </c>
      <c r="C79" t="s">
        <v>22</v>
      </c>
      <c r="D79" t="s">
        <v>89</v>
      </c>
      <c r="E79" t="s">
        <v>111</v>
      </c>
      <c r="F79" t="s">
        <v>50</v>
      </c>
      <c r="G79" t="s">
        <v>671</v>
      </c>
      <c r="H79">
        <v>0</v>
      </c>
      <c r="I79" t="s">
        <v>139</v>
      </c>
      <c r="J79" s="6" t="s">
        <v>38</v>
      </c>
      <c r="K79" s="15">
        <v>9.5</v>
      </c>
      <c r="L79" s="5">
        <v>25</v>
      </c>
      <c r="M79" s="15">
        <v>8.6</v>
      </c>
      <c r="N79">
        <v>3</v>
      </c>
      <c r="O79">
        <v>9</v>
      </c>
      <c r="P79">
        <v>15.2</v>
      </c>
      <c r="Q79">
        <v>5.7</v>
      </c>
      <c r="R79" s="2">
        <f>IF(ISBLANK(Table1[[#This Row],[Age]]),AVERAGE(Table1[Age]),Table1[[#This Row],[Age]])</f>
        <v>19</v>
      </c>
      <c r="S79" t="str">
        <f>PROPER(Table1[[#This Row],[Country]])</f>
        <v>Nigeria</v>
      </c>
      <c r="T79" t="str">
        <f>TRIM(Table1[[#This Row],[Profession]])</f>
        <v>English Literature Student</v>
      </c>
      <c r="U79" s="5">
        <f>IF(ISBLANK(H79),AVERAGEIF(Table1[[#This Row],[Profession imputed]],T79,Table1[Monthly_Income]),H79)</f>
        <v>0</v>
      </c>
      <c r="V79" s="6" t="str">
        <f>PROPER(TRIM(Table1[AI_Tool]))</f>
        <v>Microsoft Copilot</v>
      </c>
      <c r="W79" s="8">
        <f>IF(ISBLANK(Table1[[#This Row],[Time_Saved_Hours_Per_Week]]),AVERAGEIF(Table1[Satisfaction_Score],Table1[[#This Row],[Satisfaction_Score]],Table1[Time_Saved_Hours_Per_Week]),Table1[[#This Row],[Time_Saved_Hours_Per_Week]])</f>
        <v>15.2</v>
      </c>
    </row>
    <row r="80" spans="1:23" x14ac:dyDescent="0.25">
      <c r="A80" t="s">
        <v>745</v>
      </c>
      <c r="B80">
        <v>22</v>
      </c>
      <c r="C80" t="s">
        <v>29</v>
      </c>
      <c r="D80" t="s">
        <v>92</v>
      </c>
      <c r="E80" t="s">
        <v>111</v>
      </c>
      <c r="F80" t="s">
        <v>50</v>
      </c>
      <c r="G80" t="s">
        <v>671</v>
      </c>
      <c r="H80">
        <v>0</v>
      </c>
      <c r="I80" t="s">
        <v>58</v>
      </c>
      <c r="J80" s="6" t="s">
        <v>38</v>
      </c>
      <c r="K80" s="15">
        <v>2.9</v>
      </c>
      <c r="L80" s="5">
        <v>10</v>
      </c>
      <c r="M80" s="15">
        <v>5.7</v>
      </c>
      <c r="N80">
        <v>2</v>
      </c>
      <c r="O80">
        <v>4</v>
      </c>
      <c r="P80">
        <v>6.6</v>
      </c>
      <c r="Q80">
        <v>6.4</v>
      </c>
      <c r="R80" s="2">
        <f>IF(ISBLANK(Table1[[#This Row],[Age]]),AVERAGE(Table1[Age]),Table1[[#This Row],[Age]])</f>
        <v>22</v>
      </c>
      <c r="S80" t="str">
        <f>PROPER(Table1[[#This Row],[Country]])</f>
        <v>Canada</v>
      </c>
      <c r="T80" t="str">
        <f>TRIM(Table1[[#This Row],[Profession]])</f>
        <v>English Literature Student</v>
      </c>
      <c r="U80" s="5">
        <f>IF(ISBLANK(H80),AVERAGEIF(Table1[[#This Row],[Profession imputed]],T80,Table1[Monthly_Income]),H80)</f>
        <v>0</v>
      </c>
      <c r="V80" s="6" t="str">
        <f>PROPER(TRIM(Table1[AI_Tool]))</f>
        <v>Claude</v>
      </c>
      <c r="W80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81" spans="1:23" x14ac:dyDescent="0.25">
      <c r="A81" t="s">
        <v>753</v>
      </c>
      <c r="B81">
        <v>25</v>
      </c>
      <c r="C81" t="s">
        <v>29</v>
      </c>
      <c r="D81" t="s">
        <v>57</v>
      </c>
      <c r="E81" t="s">
        <v>111</v>
      </c>
      <c r="F81" t="s">
        <v>55</v>
      </c>
      <c r="G81" t="s">
        <v>671</v>
      </c>
      <c r="H81">
        <v>0</v>
      </c>
      <c r="I81" t="s">
        <v>271</v>
      </c>
      <c r="J81" s="6" t="s">
        <v>38</v>
      </c>
      <c r="K81" s="15">
        <v>1.7</v>
      </c>
      <c r="L81" s="5">
        <v>20</v>
      </c>
      <c r="M81" s="15">
        <v>2.8</v>
      </c>
      <c r="N81">
        <v>2</v>
      </c>
      <c r="O81">
        <v>3</v>
      </c>
      <c r="P81">
        <v>2.7</v>
      </c>
      <c r="Q81">
        <v>5.4</v>
      </c>
      <c r="R81" s="2">
        <f>IF(ISBLANK(Table1[[#This Row],[Age]]),AVERAGE(Table1[Age]),Table1[[#This Row],[Age]])</f>
        <v>25</v>
      </c>
      <c r="S81" t="str">
        <f>PROPER(Table1[[#This Row],[Country]])</f>
        <v>Pakistan</v>
      </c>
      <c r="T81" t="str">
        <f>TRIM(Table1[[#This Row],[Profession]])</f>
        <v>English Literature Student</v>
      </c>
      <c r="U81" s="5">
        <f>IF(ISBLANK(H81),AVERAGEIF(Table1[[#This Row],[Profession imputed]],T81,Table1[Monthly_Income]),H81)</f>
        <v>0</v>
      </c>
      <c r="V81" s="6" t="str">
        <f>PROPER(TRIM(Table1[AI_Tool]))</f>
        <v>Chat Gpt</v>
      </c>
      <c r="W81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82" spans="1:23" x14ac:dyDescent="0.25">
      <c r="A82" t="s">
        <v>769</v>
      </c>
      <c r="B82">
        <v>22</v>
      </c>
      <c r="C82" t="s">
        <v>22</v>
      </c>
      <c r="D82" t="s">
        <v>73</v>
      </c>
      <c r="E82" t="s">
        <v>111</v>
      </c>
      <c r="F82" t="s">
        <v>25</v>
      </c>
      <c r="G82" t="s">
        <v>770</v>
      </c>
      <c r="H82">
        <v>0</v>
      </c>
      <c r="I82" t="s">
        <v>271</v>
      </c>
      <c r="J82" s="6" t="s">
        <v>38</v>
      </c>
      <c r="K82" s="15">
        <v>2.5</v>
      </c>
      <c r="L82" s="5">
        <v>10</v>
      </c>
      <c r="M82" s="15">
        <v>5.2</v>
      </c>
      <c r="N82">
        <v>2</v>
      </c>
      <c r="O82">
        <v>5</v>
      </c>
      <c r="P82">
        <v>4.4000000000000004</v>
      </c>
      <c r="Q82">
        <v>7.8</v>
      </c>
      <c r="R82" s="2">
        <f>IF(ISBLANK(Table1[[#This Row],[Age]]),AVERAGE(Table1[Age]),Table1[[#This Row],[Age]])</f>
        <v>22</v>
      </c>
      <c r="S82" t="str">
        <f>PROPER(Table1[[#This Row],[Country]])</f>
        <v>Unknown</v>
      </c>
      <c r="T82" t="str">
        <f>TRIM(Table1[[#This Row],[Profession]])</f>
        <v>German Literature and Comparative Studies Student</v>
      </c>
      <c r="U82" s="5">
        <f>IF(ISBLANK(H82),AVERAGEIF(Table1[[#This Row],[Profession imputed]],T82,Table1[Monthly_Income]),H82)</f>
        <v>0</v>
      </c>
      <c r="V82" s="6" t="str">
        <f>PROPER(TRIM(Table1[AI_Tool]))</f>
        <v>Chat Gpt</v>
      </c>
      <c r="W82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83" spans="1:23" x14ac:dyDescent="0.25">
      <c r="A83" t="s">
        <v>771</v>
      </c>
      <c r="B83">
        <v>24</v>
      </c>
      <c r="C83" t="s">
        <v>22</v>
      </c>
      <c r="D83" t="s">
        <v>73</v>
      </c>
      <c r="E83" t="s">
        <v>111</v>
      </c>
      <c r="F83" t="s">
        <v>25</v>
      </c>
      <c r="G83" t="s">
        <v>770</v>
      </c>
      <c r="H83">
        <v>0</v>
      </c>
      <c r="I83" t="s">
        <v>271</v>
      </c>
      <c r="J83" s="6" t="s">
        <v>38</v>
      </c>
      <c r="K83" s="15">
        <v>2.5</v>
      </c>
      <c r="L83" s="5">
        <v>10</v>
      </c>
      <c r="M83" s="15">
        <v>5.2</v>
      </c>
      <c r="N83">
        <v>2</v>
      </c>
      <c r="O83">
        <v>5</v>
      </c>
      <c r="P83">
        <v>4.4000000000000004</v>
      </c>
      <c r="Q83">
        <v>7.8</v>
      </c>
      <c r="R83" s="2">
        <f>IF(ISBLANK(Table1[[#This Row],[Age]]),AVERAGE(Table1[Age]),Table1[[#This Row],[Age]])</f>
        <v>24</v>
      </c>
      <c r="S83" t="str">
        <f>PROPER(Table1[[#This Row],[Country]])</f>
        <v>Unknown</v>
      </c>
      <c r="T83" t="str">
        <f>TRIM(Table1[[#This Row],[Profession]])</f>
        <v>German Literature and Comparative Studies Student</v>
      </c>
      <c r="U83" s="5">
        <f>IF(ISBLANK(H83),AVERAGEIF(Table1[[#This Row],[Profession imputed]],T83,Table1[Monthly_Income]),H83)</f>
        <v>0</v>
      </c>
      <c r="V83" s="6" t="str">
        <f>PROPER(TRIM(Table1[AI_Tool]))</f>
        <v>Chat Gpt</v>
      </c>
      <c r="W83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84" spans="1:23" x14ac:dyDescent="0.25">
      <c r="A84" t="s">
        <v>772</v>
      </c>
      <c r="B84">
        <v>24</v>
      </c>
      <c r="C84" t="s">
        <v>22</v>
      </c>
      <c r="D84" t="s">
        <v>73</v>
      </c>
      <c r="E84" t="s">
        <v>111</v>
      </c>
      <c r="F84" t="s">
        <v>25</v>
      </c>
      <c r="G84" t="s">
        <v>770</v>
      </c>
      <c r="H84">
        <v>0</v>
      </c>
      <c r="I84" t="s">
        <v>271</v>
      </c>
      <c r="J84" s="6" t="s">
        <v>38</v>
      </c>
      <c r="K84" s="15">
        <v>2.5</v>
      </c>
      <c r="L84" s="5">
        <v>10</v>
      </c>
      <c r="M84" s="15">
        <v>5.2</v>
      </c>
      <c r="N84">
        <v>2</v>
      </c>
      <c r="O84">
        <v>5</v>
      </c>
      <c r="P84">
        <v>4.4000000000000004</v>
      </c>
      <c r="Q84">
        <v>7.8</v>
      </c>
      <c r="R84" s="2">
        <f>IF(ISBLANK(Table1[[#This Row],[Age]]),AVERAGE(Table1[Age]),Table1[[#This Row],[Age]])</f>
        <v>24</v>
      </c>
      <c r="S84" t="str">
        <f>PROPER(Table1[[#This Row],[Country]])</f>
        <v>Unknown</v>
      </c>
      <c r="T84" t="str">
        <f>TRIM(Table1[[#This Row],[Profession]])</f>
        <v>German Literature and Comparative Studies Student</v>
      </c>
      <c r="U84" s="5">
        <f>IF(ISBLANK(H84),AVERAGEIF(Table1[[#This Row],[Profession imputed]],T84,Table1[Monthly_Income]),H84)</f>
        <v>0</v>
      </c>
      <c r="V84" s="6" t="str">
        <f>PROPER(TRIM(Table1[AI_Tool]))</f>
        <v>Chat Gpt</v>
      </c>
      <c r="W84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85" spans="1:23" x14ac:dyDescent="0.25">
      <c r="A85" t="s">
        <v>786</v>
      </c>
      <c r="B85">
        <v>18</v>
      </c>
      <c r="C85" t="s">
        <v>29</v>
      </c>
      <c r="D85" t="s">
        <v>35</v>
      </c>
      <c r="E85" t="s">
        <v>111</v>
      </c>
      <c r="F85" t="s">
        <v>132</v>
      </c>
      <c r="G85" t="s">
        <v>787</v>
      </c>
      <c r="H85">
        <v>0</v>
      </c>
      <c r="I85" t="s">
        <v>1186</v>
      </c>
      <c r="J85" s="6" t="s">
        <v>124</v>
      </c>
      <c r="K85" s="15">
        <v>1.6</v>
      </c>
      <c r="L85" s="5">
        <v>0</v>
      </c>
      <c r="M85" s="15">
        <v>3.3</v>
      </c>
      <c r="N85">
        <v>4</v>
      </c>
      <c r="O85">
        <v>5</v>
      </c>
      <c r="P85">
        <v>4.3</v>
      </c>
      <c r="Q85">
        <v>3.2</v>
      </c>
      <c r="R85" s="2">
        <f>IF(ISBLANK(Table1[[#This Row],[Age]]),AVERAGE(Table1[Age]),Table1[[#This Row],[Age]])</f>
        <v>18</v>
      </c>
      <c r="S85" t="str">
        <f>PROPER(Table1[[#This Row],[Country]])</f>
        <v>Philippines</v>
      </c>
      <c r="T85" t="str">
        <f>TRIM(Table1[[#This Row],[Profession]])</f>
        <v>Information Technology Student</v>
      </c>
      <c r="U85" s="5">
        <f>IF(ISBLANK(H85),AVERAGEIF(Table1[[#This Row],[Profession imputed]],T85,Table1[Monthly_Income]),H85)</f>
        <v>0</v>
      </c>
      <c r="V85" s="6" t="str">
        <f>PROPER(TRIM(Table1[AI_Tool]))</f>
        <v>Google Gemini</v>
      </c>
      <c r="W85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86" spans="1:23" x14ac:dyDescent="0.25">
      <c r="A86" t="s">
        <v>790</v>
      </c>
      <c r="B86">
        <v>18</v>
      </c>
      <c r="C86" t="s">
        <v>29</v>
      </c>
      <c r="D86" t="s">
        <v>35</v>
      </c>
      <c r="E86" t="s">
        <v>111</v>
      </c>
      <c r="F86" t="s">
        <v>132</v>
      </c>
      <c r="G86" t="s">
        <v>787</v>
      </c>
      <c r="H86">
        <v>0</v>
      </c>
      <c r="I86" t="s">
        <v>37</v>
      </c>
      <c r="J86" s="6" t="s">
        <v>124</v>
      </c>
      <c r="K86" s="15">
        <v>0.9</v>
      </c>
      <c r="L86" s="5">
        <v>0</v>
      </c>
      <c r="M86" s="15">
        <v>4.9000000000000004</v>
      </c>
      <c r="N86">
        <v>4</v>
      </c>
      <c r="O86">
        <v>6</v>
      </c>
      <c r="P86">
        <v>2.5</v>
      </c>
      <c r="Q86">
        <v>6.1</v>
      </c>
      <c r="R86" s="2">
        <f>IF(ISBLANK(Table1[[#This Row],[Age]]),AVERAGE(Table1[Age]),Table1[[#This Row],[Age]])</f>
        <v>18</v>
      </c>
      <c r="S86" t="str">
        <f>PROPER(Table1[[#This Row],[Country]])</f>
        <v>Philippines</v>
      </c>
      <c r="T86" t="str">
        <f>TRIM(Table1[[#This Row],[Profession]])</f>
        <v>Information Technology Student</v>
      </c>
      <c r="U86" s="5">
        <f>IF(ISBLANK(H86),AVERAGEIF(Table1[[#This Row],[Profession imputed]],T86,Table1[Monthly_Income]),H86)</f>
        <v>0</v>
      </c>
      <c r="V86" s="6" t="str">
        <f>PROPER(TRIM(Table1[AI_Tool]))</f>
        <v>Grammarly</v>
      </c>
      <c r="W86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87" spans="1:23" x14ac:dyDescent="0.25">
      <c r="A87" t="s">
        <v>793</v>
      </c>
      <c r="B87">
        <v>16</v>
      </c>
      <c r="C87" t="s">
        <v>29</v>
      </c>
      <c r="D87" t="s">
        <v>35</v>
      </c>
      <c r="E87" t="s">
        <v>111</v>
      </c>
      <c r="F87" t="s">
        <v>132</v>
      </c>
      <c r="G87" t="s">
        <v>787</v>
      </c>
      <c r="H87">
        <v>0</v>
      </c>
      <c r="I87" t="s">
        <v>37</v>
      </c>
      <c r="J87" s="6" t="s">
        <v>124</v>
      </c>
      <c r="K87" s="15">
        <v>0.9</v>
      </c>
      <c r="L87" s="5">
        <v>0</v>
      </c>
      <c r="M87" s="15">
        <v>4.9000000000000004</v>
      </c>
      <c r="N87">
        <v>4</v>
      </c>
      <c r="O87">
        <v>6</v>
      </c>
      <c r="P87">
        <v>2.5</v>
      </c>
      <c r="Q87">
        <v>6.1</v>
      </c>
      <c r="R87" s="2">
        <f>IF(ISBLANK(Table1[[#This Row],[Age]]),AVERAGE(Table1[Age]),Table1[[#This Row],[Age]])</f>
        <v>16</v>
      </c>
      <c r="S87" t="str">
        <f>PROPER(Table1[[#This Row],[Country]])</f>
        <v>Philippines</v>
      </c>
      <c r="T87" t="str">
        <f>TRIM(Table1[[#This Row],[Profession]])</f>
        <v>Information Technology Student</v>
      </c>
      <c r="U87" s="5">
        <f>IF(ISBLANK(H87),AVERAGEIF(Table1[[#This Row],[Profession imputed]],T87,Table1[Monthly_Income]),H87)</f>
        <v>0</v>
      </c>
      <c r="V87" s="6" t="str">
        <f>PROPER(TRIM(Table1[AI_Tool]))</f>
        <v>Grammarly</v>
      </c>
      <c r="W87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88" spans="1:23" x14ac:dyDescent="0.25">
      <c r="A88" t="s">
        <v>794</v>
      </c>
      <c r="B88">
        <v>17</v>
      </c>
      <c r="C88" t="s">
        <v>29</v>
      </c>
      <c r="D88" t="s">
        <v>35</v>
      </c>
      <c r="E88" t="s">
        <v>111</v>
      </c>
      <c r="F88" t="s">
        <v>132</v>
      </c>
      <c r="G88" t="s">
        <v>787</v>
      </c>
      <c r="H88">
        <v>0</v>
      </c>
      <c r="I88" t="s">
        <v>37</v>
      </c>
      <c r="J88" s="6" t="s">
        <v>124</v>
      </c>
      <c r="K88" s="15">
        <v>0.9</v>
      </c>
      <c r="L88" s="5">
        <v>0</v>
      </c>
      <c r="M88" s="15">
        <v>4.9000000000000004</v>
      </c>
      <c r="N88">
        <v>4</v>
      </c>
      <c r="O88">
        <v>6</v>
      </c>
      <c r="P88">
        <v>2.5</v>
      </c>
      <c r="Q88">
        <v>6.1</v>
      </c>
      <c r="R88" s="2">
        <f>IF(ISBLANK(Table1[[#This Row],[Age]]),AVERAGE(Table1[Age]),Table1[[#This Row],[Age]])</f>
        <v>17</v>
      </c>
      <c r="S88" t="str">
        <f>PROPER(Table1[[#This Row],[Country]])</f>
        <v>Philippines</v>
      </c>
      <c r="T88" t="str">
        <f>TRIM(Table1[[#This Row],[Profession]])</f>
        <v>Information Technology Student</v>
      </c>
      <c r="U88" s="5">
        <f>IF(ISBLANK(H88),AVERAGEIF(Table1[[#This Row],[Profession imputed]],T88,Table1[Monthly_Income]),H88)</f>
        <v>0</v>
      </c>
      <c r="V88" s="6" t="str">
        <f>PROPER(TRIM(Table1[AI_Tool]))</f>
        <v>Grammarly</v>
      </c>
      <c r="W88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89" spans="1:23" x14ac:dyDescent="0.25">
      <c r="A89" t="s">
        <v>795</v>
      </c>
      <c r="B89">
        <v>16</v>
      </c>
      <c r="C89" t="s">
        <v>29</v>
      </c>
      <c r="D89" t="s">
        <v>35</v>
      </c>
      <c r="E89" t="s">
        <v>111</v>
      </c>
      <c r="F89" t="s">
        <v>132</v>
      </c>
      <c r="G89" t="s">
        <v>787</v>
      </c>
      <c r="H89">
        <v>0</v>
      </c>
      <c r="I89" t="s">
        <v>37</v>
      </c>
      <c r="J89" s="6" t="s">
        <v>124</v>
      </c>
      <c r="K89" s="15">
        <v>0.9</v>
      </c>
      <c r="L89" s="5">
        <v>0</v>
      </c>
      <c r="M89" s="15">
        <v>4.9000000000000004</v>
      </c>
      <c r="N89">
        <v>4</v>
      </c>
      <c r="O89">
        <v>6</v>
      </c>
      <c r="P89">
        <v>2.5</v>
      </c>
      <c r="Q89">
        <v>6.1</v>
      </c>
      <c r="R89" s="2">
        <f>IF(ISBLANK(Table1[[#This Row],[Age]]),AVERAGE(Table1[Age]),Table1[[#This Row],[Age]])</f>
        <v>16</v>
      </c>
      <c r="S89" t="str">
        <f>PROPER(Table1[[#This Row],[Country]])</f>
        <v>Philippines</v>
      </c>
      <c r="T89" t="str">
        <f>TRIM(Table1[[#This Row],[Profession]])</f>
        <v>Information Technology Student</v>
      </c>
      <c r="U89" s="5">
        <f>IF(ISBLANK(H89),AVERAGEIF(Table1[[#This Row],[Profession imputed]],T89,Table1[Monthly_Income]),H89)</f>
        <v>0</v>
      </c>
      <c r="V89" s="6" t="str">
        <f>PROPER(TRIM(Table1[AI_Tool]))</f>
        <v>Grammarly</v>
      </c>
      <c r="W89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90" spans="1:23" x14ac:dyDescent="0.25">
      <c r="A90" t="s">
        <v>798</v>
      </c>
      <c r="B90">
        <v>20</v>
      </c>
      <c r="C90" t="s">
        <v>29</v>
      </c>
      <c r="D90" t="s">
        <v>35</v>
      </c>
      <c r="E90" t="s">
        <v>111</v>
      </c>
      <c r="F90" t="s">
        <v>132</v>
      </c>
      <c r="G90" t="s">
        <v>787</v>
      </c>
      <c r="H90">
        <v>0</v>
      </c>
      <c r="I90" t="s">
        <v>37</v>
      </c>
      <c r="J90" s="6" t="s">
        <v>124</v>
      </c>
      <c r="K90" s="15">
        <v>0.9</v>
      </c>
      <c r="L90" s="5">
        <v>0</v>
      </c>
      <c r="M90" s="15">
        <v>4.9000000000000004</v>
      </c>
      <c r="N90">
        <v>4</v>
      </c>
      <c r="O90">
        <v>6</v>
      </c>
      <c r="P90">
        <v>2.5</v>
      </c>
      <c r="Q90">
        <v>6.1</v>
      </c>
      <c r="R90" s="2">
        <f>IF(ISBLANK(Table1[[#This Row],[Age]]),AVERAGE(Table1[Age]),Table1[[#This Row],[Age]])</f>
        <v>20</v>
      </c>
      <c r="S90" t="str">
        <f>PROPER(Table1[[#This Row],[Country]])</f>
        <v>Philippines</v>
      </c>
      <c r="T90" t="str">
        <f>TRIM(Table1[[#This Row],[Profession]])</f>
        <v>Information Technology Student</v>
      </c>
      <c r="U90" s="5">
        <f>IF(ISBLANK(H90),AVERAGEIF(Table1[[#This Row],[Profession imputed]],T90,Table1[Monthly_Income]),H90)</f>
        <v>0</v>
      </c>
      <c r="V90" s="6" t="str">
        <f>PROPER(TRIM(Table1[AI_Tool]))</f>
        <v>Grammarly</v>
      </c>
      <c r="W90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91" spans="1:23" x14ac:dyDescent="0.25">
      <c r="A91" t="s">
        <v>800</v>
      </c>
      <c r="B91">
        <v>20</v>
      </c>
      <c r="C91" t="s">
        <v>29</v>
      </c>
      <c r="D91" t="s">
        <v>35</v>
      </c>
      <c r="E91" t="s">
        <v>111</v>
      </c>
      <c r="F91" t="s">
        <v>132</v>
      </c>
      <c r="G91" t="s">
        <v>787</v>
      </c>
      <c r="H91">
        <v>0</v>
      </c>
      <c r="I91" t="s">
        <v>1186</v>
      </c>
      <c r="J91" s="6" t="s">
        <v>124</v>
      </c>
      <c r="K91" s="15">
        <v>1.6</v>
      </c>
      <c r="L91" s="5">
        <v>0</v>
      </c>
      <c r="M91" s="15">
        <v>3.3</v>
      </c>
      <c r="N91">
        <v>4</v>
      </c>
      <c r="O91">
        <v>5</v>
      </c>
      <c r="P91">
        <v>4.3</v>
      </c>
      <c r="Q91">
        <v>3.2</v>
      </c>
      <c r="R91" s="2">
        <f>IF(ISBLANK(Table1[[#This Row],[Age]]),AVERAGE(Table1[Age]),Table1[[#This Row],[Age]])</f>
        <v>20</v>
      </c>
      <c r="S91" t="str">
        <f>PROPER(Table1[[#This Row],[Country]])</f>
        <v>Philippines</v>
      </c>
      <c r="T91" t="str">
        <f>TRIM(Table1[[#This Row],[Profession]])</f>
        <v>Information Technology Student</v>
      </c>
      <c r="U91" s="5">
        <f>IF(ISBLANK(H91),AVERAGEIF(Table1[[#This Row],[Profession imputed]],T91,Table1[Monthly_Income]),H91)</f>
        <v>0</v>
      </c>
      <c r="V91" s="6" t="str">
        <f>PROPER(TRIM(Table1[AI_Tool]))</f>
        <v>Google Gemini</v>
      </c>
      <c r="W91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2" spans="1:23" x14ac:dyDescent="0.25">
      <c r="A92" t="s">
        <v>801</v>
      </c>
      <c r="B92">
        <v>18</v>
      </c>
      <c r="C92" t="s">
        <v>29</v>
      </c>
      <c r="D92" t="s">
        <v>35</v>
      </c>
      <c r="E92" t="s">
        <v>111</v>
      </c>
      <c r="F92" t="s">
        <v>132</v>
      </c>
      <c r="G92" t="s">
        <v>787</v>
      </c>
      <c r="H92">
        <v>0</v>
      </c>
      <c r="I92" t="s">
        <v>1186</v>
      </c>
      <c r="J92" s="6" t="s">
        <v>124</v>
      </c>
      <c r="K92" s="15">
        <v>1.6</v>
      </c>
      <c r="L92" s="5">
        <v>0</v>
      </c>
      <c r="M92" s="15">
        <v>3.3</v>
      </c>
      <c r="N92">
        <v>4</v>
      </c>
      <c r="O92">
        <v>5</v>
      </c>
      <c r="P92">
        <v>4.3</v>
      </c>
      <c r="Q92">
        <v>3.2</v>
      </c>
      <c r="R92" s="2">
        <f>IF(ISBLANK(Table1[[#This Row],[Age]]),AVERAGE(Table1[Age]),Table1[[#This Row],[Age]])</f>
        <v>18</v>
      </c>
      <c r="S92" t="str">
        <f>PROPER(Table1[[#This Row],[Country]])</f>
        <v>Philippines</v>
      </c>
      <c r="T92" t="str">
        <f>TRIM(Table1[[#This Row],[Profession]])</f>
        <v>Information Technology Student</v>
      </c>
      <c r="U92" s="5">
        <f>IF(ISBLANK(H92),AVERAGEIF(Table1[[#This Row],[Profession imputed]],T92,Table1[Monthly_Income]),H92)</f>
        <v>0</v>
      </c>
      <c r="V92" s="6" t="str">
        <f>PROPER(TRIM(Table1[AI_Tool]))</f>
        <v>Google Gemini</v>
      </c>
      <c r="W92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3" spans="1:23" x14ac:dyDescent="0.25">
      <c r="A93" t="s">
        <v>830</v>
      </c>
      <c r="B93">
        <v>20</v>
      </c>
      <c r="C93" t="s">
        <v>29</v>
      </c>
      <c r="D93" t="s">
        <v>831</v>
      </c>
      <c r="E93" t="s">
        <v>111</v>
      </c>
      <c r="F93" t="s">
        <v>55</v>
      </c>
      <c r="G93" t="s">
        <v>832</v>
      </c>
      <c r="H93">
        <v>0</v>
      </c>
      <c r="I93" t="s">
        <v>271</v>
      </c>
      <c r="J93" s="6" t="s">
        <v>33</v>
      </c>
      <c r="K93" s="15">
        <v>1.4</v>
      </c>
      <c r="L93" s="5">
        <v>0</v>
      </c>
      <c r="M93" s="15">
        <v>1.8</v>
      </c>
      <c r="N93">
        <v>3</v>
      </c>
      <c r="O93">
        <v>5</v>
      </c>
      <c r="P93">
        <v>1.2</v>
      </c>
      <c r="Q93">
        <v>5.6</v>
      </c>
      <c r="R93" s="2">
        <f>IF(ISBLANK(Table1[[#This Row],[Age]]),AVERAGE(Table1[Age]),Table1[[#This Row],[Age]])</f>
        <v>20</v>
      </c>
      <c r="S93" t="str">
        <f>PROPER(Table1[[#This Row],[Country]])</f>
        <v>United States Of America</v>
      </c>
      <c r="T93" t="str">
        <f>TRIM(Table1[[#This Row],[Profession]])</f>
        <v>Machine Learning Student</v>
      </c>
      <c r="U93" s="5">
        <f>IF(ISBLANK(H93),AVERAGEIF(Table1[[#This Row],[Profession imputed]],T93,Table1[Monthly_Income]),H93)</f>
        <v>0</v>
      </c>
      <c r="V93" s="6" t="str">
        <f>PROPER(TRIM(Table1[AI_Tool]))</f>
        <v>Chat Gpt</v>
      </c>
      <c r="W93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94" spans="1:23" x14ac:dyDescent="0.25">
      <c r="A94" t="s">
        <v>837</v>
      </c>
      <c r="B94">
        <v>18</v>
      </c>
      <c r="C94" t="s">
        <v>29</v>
      </c>
      <c r="D94" t="s">
        <v>831</v>
      </c>
      <c r="E94" t="s">
        <v>111</v>
      </c>
      <c r="F94" t="s">
        <v>55</v>
      </c>
      <c r="G94" t="s">
        <v>832</v>
      </c>
      <c r="H94">
        <v>0</v>
      </c>
      <c r="I94" t="s">
        <v>271</v>
      </c>
      <c r="J94" s="6" t="s">
        <v>33</v>
      </c>
      <c r="K94" s="15">
        <v>1.4</v>
      </c>
      <c r="L94" s="5">
        <v>0</v>
      </c>
      <c r="M94" s="15">
        <v>1.8</v>
      </c>
      <c r="N94">
        <v>3</v>
      </c>
      <c r="O94">
        <v>5</v>
      </c>
      <c r="P94">
        <v>1.2</v>
      </c>
      <c r="Q94">
        <v>5.6</v>
      </c>
      <c r="R94" s="2">
        <f>IF(ISBLANK(Table1[[#This Row],[Age]]),AVERAGE(Table1[Age]),Table1[[#This Row],[Age]])</f>
        <v>18</v>
      </c>
      <c r="S94" t="str">
        <f>PROPER(Table1[[#This Row],[Country]])</f>
        <v>United States Of America</v>
      </c>
      <c r="T94" t="str">
        <f>TRIM(Table1[[#This Row],[Profession]])</f>
        <v>Machine Learning Student</v>
      </c>
      <c r="U94" s="5">
        <f>IF(ISBLANK(H94),AVERAGEIF(Table1[[#This Row],[Profession imputed]],T94,Table1[Monthly_Income]),H94)</f>
        <v>0</v>
      </c>
      <c r="V94" s="6" t="str">
        <f>PROPER(TRIM(Table1[AI_Tool]))</f>
        <v>Chat Gpt</v>
      </c>
      <c r="W94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95" spans="1:23" x14ac:dyDescent="0.25">
      <c r="A95" t="s">
        <v>840</v>
      </c>
      <c r="B95">
        <v>22</v>
      </c>
      <c r="C95" t="s">
        <v>29</v>
      </c>
      <c r="D95" t="s">
        <v>831</v>
      </c>
      <c r="E95" t="s">
        <v>111</v>
      </c>
      <c r="F95" t="s">
        <v>55</v>
      </c>
      <c r="G95" t="s">
        <v>832</v>
      </c>
      <c r="H95">
        <v>0</v>
      </c>
      <c r="I95" t="s">
        <v>271</v>
      </c>
      <c r="J95" s="6" t="s">
        <v>33</v>
      </c>
      <c r="K95" s="15">
        <v>1.4</v>
      </c>
      <c r="L95" s="5">
        <v>0</v>
      </c>
      <c r="M95" s="15">
        <v>1.8</v>
      </c>
      <c r="N95">
        <v>3</v>
      </c>
      <c r="O95">
        <v>5</v>
      </c>
      <c r="P95">
        <v>1.2</v>
      </c>
      <c r="Q95">
        <v>5.6</v>
      </c>
      <c r="R95" s="2">
        <f>IF(ISBLANK(Table1[[#This Row],[Age]]),AVERAGE(Table1[Age]),Table1[[#This Row],[Age]])</f>
        <v>22</v>
      </c>
      <c r="S95" t="str">
        <f>PROPER(Table1[[#This Row],[Country]])</f>
        <v>United States Of America</v>
      </c>
      <c r="T95" t="str">
        <f>TRIM(Table1[[#This Row],[Profession]])</f>
        <v>Machine Learning Student</v>
      </c>
      <c r="U95" s="5">
        <f>IF(ISBLANK(H95),AVERAGEIF(Table1[[#This Row],[Profession imputed]],T95,Table1[Monthly_Income]),H95)</f>
        <v>0</v>
      </c>
      <c r="V95" s="6" t="str">
        <f>PROPER(TRIM(Table1[AI_Tool]))</f>
        <v>Chat Gpt</v>
      </c>
      <c r="W95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96" spans="1:23" x14ac:dyDescent="0.25">
      <c r="A96" t="s">
        <v>841</v>
      </c>
      <c r="B96">
        <v>21</v>
      </c>
      <c r="C96" t="s">
        <v>29</v>
      </c>
      <c r="D96" t="s">
        <v>831</v>
      </c>
      <c r="E96" t="s">
        <v>111</v>
      </c>
      <c r="F96" t="s">
        <v>55</v>
      </c>
      <c r="G96" t="s">
        <v>832</v>
      </c>
      <c r="H96">
        <v>0</v>
      </c>
      <c r="I96" t="s">
        <v>271</v>
      </c>
      <c r="J96" s="6" t="s">
        <v>33</v>
      </c>
      <c r="K96" s="15">
        <v>1.4</v>
      </c>
      <c r="L96" s="5">
        <v>0</v>
      </c>
      <c r="M96" s="15">
        <v>1.8</v>
      </c>
      <c r="N96">
        <v>3</v>
      </c>
      <c r="O96">
        <v>5</v>
      </c>
      <c r="P96">
        <v>1.2</v>
      </c>
      <c r="Q96">
        <v>5.6</v>
      </c>
      <c r="R96" s="2">
        <f>IF(ISBLANK(Table1[[#This Row],[Age]]),AVERAGE(Table1[Age]),Table1[[#This Row],[Age]])</f>
        <v>21</v>
      </c>
      <c r="S96" t="str">
        <f>PROPER(Table1[[#This Row],[Country]])</f>
        <v>United States Of America</v>
      </c>
      <c r="T96" t="str">
        <f>TRIM(Table1[[#This Row],[Profession]])</f>
        <v>Machine Learning Student</v>
      </c>
      <c r="U96" s="5">
        <f>IF(ISBLANK(H96),AVERAGEIF(Table1[[#This Row],[Profession imputed]],T96,Table1[Monthly_Income]),H96)</f>
        <v>0</v>
      </c>
      <c r="V96" s="6" t="str">
        <f>PROPER(TRIM(Table1[AI_Tool]))</f>
        <v>Chat Gpt</v>
      </c>
      <c r="W96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97" spans="1:23" x14ac:dyDescent="0.25">
      <c r="A97" t="s">
        <v>846</v>
      </c>
      <c r="B97">
        <v>19</v>
      </c>
      <c r="C97" t="s">
        <v>29</v>
      </c>
      <c r="D97" t="s">
        <v>137</v>
      </c>
      <c r="E97" t="s">
        <v>111</v>
      </c>
      <c r="F97" t="s">
        <v>132</v>
      </c>
      <c r="G97" t="s">
        <v>847</v>
      </c>
      <c r="H97">
        <v>0</v>
      </c>
      <c r="I97" t="s">
        <v>58</v>
      </c>
      <c r="J97" s="6" t="s">
        <v>124</v>
      </c>
      <c r="K97" s="15">
        <v>2</v>
      </c>
      <c r="L97" s="5">
        <v>0</v>
      </c>
      <c r="M97" s="15">
        <v>4.8</v>
      </c>
      <c r="N97">
        <v>4</v>
      </c>
      <c r="O97">
        <v>6</v>
      </c>
      <c r="P97">
        <v>3</v>
      </c>
      <c r="Q97">
        <v>6.3</v>
      </c>
      <c r="R97" s="2">
        <f>IF(ISBLANK(Table1[[#This Row],[Age]]),AVERAGE(Table1[Age]),Table1[[#This Row],[Age]])</f>
        <v>19</v>
      </c>
      <c r="S97" t="str">
        <f>PROPER(Table1[[#This Row],[Country]])</f>
        <v>France</v>
      </c>
      <c r="T97" t="str">
        <f>TRIM(Table1[[#This Row],[Profession]])</f>
        <v>Mathematics Student</v>
      </c>
      <c r="U97" s="5">
        <f>IF(ISBLANK(H97),AVERAGEIF(Table1[[#This Row],[Profession imputed]],T97,Table1[Monthly_Income]),H97)</f>
        <v>0</v>
      </c>
      <c r="V97" s="6" t="str">
        <f>PROPER(TRIM(Table1[AI_Tool]))</f>
        <v>Claude</v>
      </c>
      <c r="W97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98" spans="1:23" x14ac:dyDescent="0.25">
      <c r="A98" t="s">
        <v>848</v>
      </c>
      <c r="B98">
        <v>19</v>
      </c>
      <c r="C98" t="s">
        <v>29</v>
      </c>
      <c r="D98" t="s">
        <v>137</v>
      </c>
      <c r="E98" t="s">
        <v>111</v>
      </c>
      <c r="F98" t="s">
        <v>132</v>
      </c>
      <c r="G98" t="s">
        <v>847</v>
      </c>
      <c r="H98">
        <v>0</v>
      </c>
      <c r="I98" t="s">
        <v>58</v>
      </c>
      <c r="J98" s="6" t="s">
        <v>124</v>
      </c>
      <c r="K98" s="15">
        <v>2</v>
      </c>
      <c r="L98" s="5">
        <v>0</v>
      </c>
      <c r="M98" s="15">
        <v>4.8</v>
      </c>
      <c r="N98">
        <v>4</v>
      </c>
      <c r="O98">
        <v>6</v>
      </c>
      <c r="P98">
        <v>3</v>
      </c>
      <c r="Q98">
        <v>6.3</v>
      </c>
      <c r="R98" s="2">
        <f>IF(ISBLANK(Table1[[#This Row],[Age]]),AVERAGE(Table1[Age]),Table1[[#This Row],[Age]])</f>
        <v>19</v>
      </c>
      <c r="S98" t="str">
        <f>PROPER(Table1[[#This Row],[Country]])</f>
        <v>France</v>
      </c>
      <c r="T98" t="str">
        <f>TRIM(Table1[[#This Row],[Profession]])</f>
        <v>Mathematics Student</v>
      </c>
      <c r="U98" s="5">
        <f>IF(ISBLANK(H98),AVERAGEIF(Table1[[#This Row],[Profession imputed]],T98,Table1[Monthly_Income]),H98)</f>
        <v>0</v>
      </c>
      <c r="V98" s="6" t="str">
        <f>PROPER(TRIM(Table1[AI_Tool]))</f>
        <v>Claude</v>
      </c>
      <c r="W98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99" spans="1:23" x14ac:dyDescent="0.25">
      <c r="A99" t="s">
        <v>849</v>
      </c>
      <c r="B99">
        <v>21</v>
      </c>
      <c r="C99" t="s">
        <v>29</v>
      </c>
      <c r="D99" t="s">
        <v>137</v>
      </c>
      <c r="E99" t="s">
        <v>111</v>
      </c>
      <c r="F99" t="s">
        <v>132</v>
      </c>
      <c r="G99" t="s">
        <v>847</v>
      </c>
      <c r="H99">
        <v>0</v>
      </c>
      <c r="I99" t="s">
        <v>58</v>
      </c>
      <c r="J99" s="6" t="s">
        <v>124</v>
      </c>
      <c r="K99" s="15">
        <v>2</v>
      </c>
      <c r="L99" s="5">
        <v>0</v>
      </c>
      <c r="M99" s="15">
        <v>4.8</v>
      </c>
      <c r="N99">
        <v>4</v>
      </c>
      <c r="O99">
        <v>6</v>
      </c>
      <c r="P99">
        <v>3</v>
      </c>
      <c r="Q99">
        <v>6.3</v>
      </c>
      <c r="R99" s="2">
        <f>IF(ISBLANK(Table1[[#This Row],[Age]]),AVERAGE(Table1[Age]),Table1[[#This Row],[Age]])</f>
        <v>21</v>
      </c>
      <c r="S99" t="str">
        <f>PROPER(Table1[[#This Row],[Country]])</f>
        <v>France</v>
      </c>
      <c r="T99" t="str">
        <f>TRIM(Table1[[#This Row],[Profession]])</f>
        <v>Mathematics Student</v>
      </c>
      <c r="U99" s="5">
        <f>IF(ISBLANK(H99),AVERAGEIF(Table1[[#This Row],[Profession imputed]],T99,Table1[Monthly_Income]),H99)</f>
        <v>0</v>
      </c>
      <c r="V99" s="6" t="str">
        <f>PROPER(TRIM(Table1[AI_Tool]))</f>
        <v>Claude</v>
      </c>
      <c r="W99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100" spans="1:23" x14ac:dyDescent="0.25">
      <c r="A100" t="s">
        <v>860</v>
      </c>
      <c r="B100">
        <v>22</v>
      </c>
      <c r="C100" t="s">
        <v>29</v>
      </c>
      <c r="D100" t="s">
        <v>52</v>
      </c>
      <c r="E100" t="s">
        <v>111</v>
      </c>
      <c r="F100" t="s">
        <v>132</v>
      </c>
      <c r="G100" t="s">
        <v>851</v>
      </c>
      <c r="H100">
        <v>0</v>
      </c>
      <c r="I100" t="s">
        <v>253</v>
      </c>
      <c r="J100" s="6" t="s">
        <v>124</v>
      </c>
      <c r="K100" s="15">
        <v>2.4</v>
      </c>
      <c r="L100" s="5">
        <v>20</v>
      </c>
      <c r="M100" s="15">
        <v>3.4</v>
      </c>
      <c r="N100">
        <v>4</v>
      </c>
      <c r="O100">
        <v>6</v>
      </c>
      <c r="P100">
        <v>4.8</v>
      </c>
      <c r="Q100">
        <v>6.2</v>
      </c>
      <c r="R100" s="2">
        <f>IF(ISBLANK(Table1[[#This Row],[Age]]),AVERAGE(Table1[Age]),Table1[[#This Row],[Age]])</f>
        <v>22</v>
      </c>
      <c r="S100" t="str">
        <f>PROPER(Table1[[#This Row],[Country]])</f>
        <v>India</v>
      </c>
      <c r="T100" t="str">
        <f>TRIM(Table1[[#This Row],[Profession]])</f>
        <v>Mechanical Engineering Student</v>
      </c>
      <c r="U100" s="5">
        <f>IF(ISBLANK(H100),AVERAGEIF(Table1[[#This Row],[Profession imputed]],T100,Table1[Monthly_Income]),H100)</f>
        <v>0</v>
      </c>
      <c r="V100" s="6" t="str">
        <f>PROPER(TRIM(Table1[AI_Tool]))</f>
        <v>Meta Ai</v>
      </c>
      <c r="W100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101" spans="1:23" x14ac:dyDescent="0.25">
      <c r="A101" t="s">
        <v>868</v>
      </c>
      <c r="B101">
        <v>22</v>
      </c>
      <c r="C101" t="s">
        <v>29</v>
      </c>
      <c r="D101" t="s">
        <v>52</v>
      </c>
      <c r="E101" t="s">
        <v>111</v>
      </c>
      <c r="F101" t="s">
        <v>132</v>
      </c>
      <c r="G101" t="s">
        <v>851</v>
      </c>
      <c r="H101">
        <v>0</v>
      </c>
      <c r="I101" t="s">
        <v>253</v>
      </c>
      <c r="J101" s="6" t="s">
        <v>124</v>
      </c>
      <c r="K101" s="15">
        <v>2.4</v>
      </c>
      <c r="L101" s="5">
        <v>20</v>
      </c>
      <c r="M101" s="15">
        <v>3.4</v>
      </c>
      <c r="N101">
        <v>4</v>
      </c>
      <c r="O101">
        <v>6</v>
      </c>
      <c r="P101">
        <v>4.8</v>
      </c>
      <c r="Q101">
        <v>6.2</v>
      </c>
      <c r="R101" s="2">
        <f>IF(ISBLANK(Table1[[#This Row],[Age]]),AVERAGE(Table1[Age]),Table1[[#This Row],[Age]])</f>
        <v>22</v>
      </c>
      <c r="S101" t="str">
        <f>PROPER(Table1[[#This Row],[Country]])</f>
        <v>India</v>
      </c>
      <c r="T101" t="str">
        <f>TRIM(Table1[[#This Row],[Profession]])</f>
        <v>Mechanical Engineering Student</v>
      </c>
      <c r="U101" s="5">
        <f>IF(ISBLANK(H101),AVERAGEIF(Table1[[#This Row],[Profession imputed]],T101,Table1[Monthly_Income]),H101)</f>
        <v>0</v>
      </c>
      <c r="V101" s="6" t="str">
        <f>PROPER(TRIM(Table1[AI_Tool]))</f>
        <v>Meta Ai</v>
      </c>
      <c r="W101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102" spans="1:23" x14ac:dyDescent="0.25">
      <c r="A102" t="s">
        <v>876</v>
      </c>
      <c r="B102">
        <v>23</v>
      </c>
      <c r="C102" t="s">
        <v>29</v>
      </c>
      <c r="D102" t="s">
        <v>52</v>
      </c>
      <c r="E102" t="s">
        <v>111</v>
      </c>
      <c r="F102" t="s">
        <v>132</v>
      </c>
      <c r="G102" t="s">
        <v>851</v>
      </c>
      <c r="H102">
        <v>0</v>
      </c>
      <c r="I102" t="s">
        <v>253</v>
      </c>
      <c r="J102" s="6" t="s">
        <v>124</v>
      </c>
      <c r="K102" s="15">
        <v>2.4</v>
      </c>
      <c r="L102" s="5">
        <v>20</v>
      </c>
      <c r="M102" s="15">
        <v>3.4</v>
      </c>
      <c r="N102">
        <v>4</v>
      </c>
      <c r="O102">
        <v>6</v>
      </c>
      <c r="P102">
        <v>4.8</v>
      </c>
      <c r="Q102">
        <v>6.2</v>
      </c>
      <c r="R102" s="2">
        <f>IF(ISBLANK(Table1[[#This Row],[Age]]),AVERAGE(Table1[Age]),Table1[[#This Row],[Age]])</f>
        <v>23</v>
      </c>
      <c r="S102" t="str">
        <f>PROPER(Table1[[#This Row],[Country]])</f>
        <v>India</v>
      </c>
      <c r="T102" t="str">
        <f>TRIM(Table1[[#This Row],[Profession]])</f>
        <v>Mechanical Engineering Student</v>
      </c>
      <c r="U102" s="5">
        <f>IF(ISBLANK(H102),AVERAGEIF(Table1[[#This Row],[Profession imputed]],T102,Table1[Monthly_Income]),H102)</f>
        <v>0</v>
      </c>
      <c r="V102" s="6" t="str">
        <f>PROPER(TRIM(Table1[AI_Tool]))</f>
        <v>Meta Ai</v>
      </c>
      <c r="W102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103" spans="1:23" x14ac:dyDescent="0.25">
      <c r="A103" t="s">
        <v>877</v>
      </c>
      <c r="B103">
        <v>21</v>
      </c>
      <c r="C103" t="s">
        <v>29</v>
      </c>
      <c r="D103" t="s">
        <v>52</v>
      </c>
      <c r="E103" t="s">
        <v>111</v>
      </c>
      <c r="F103" t="s">
        <v>132</v>
      </c>
      <c r="G103" t="s">
        <v>851</v>
      </c>
      <c r="H103">
        <v>0</v>
      </c>
      <c r="I103" t="s">
        <v>253</v>
      </c>
      <c r="J103" s="6" t="s">
        <v>124</v>
      </c>
      <c r="K103" s="15">
        <v>2.4</v>
      </c>
      <c r="L103" s="5">
        <v>20</v>
      </c>
      <c r="M103" s="15">
        <v>3.4</v>
      </c>
      <c r="N103">
        <v>4</v>
      </c>
      <c r="O103">
        <v>6</v>
      </c>
      <c r="P103">
        <v>4.8</v>
      </c>
      <c r="Q103">
        <v>6.2</v>
      </c>
      <c r="R103" s="2">
        <f>IF(ISBLANK(Table1[[#This Row],[Age]]),AVERAGE(Table1[Age]),Table1[[#This Row],[Age]])</f>
        <v>21</v>
      </c>
      <c r="S103" t="str">
        <f>PROPER(Table1[[#This Row],[Country]])</f>
        <v>India</v>
      </c>
      <c r="T103" t="str">
        <f>TRIM(Table1[[#This Row],[Profession]])</f>
        <v>Mechanical Engineering Student</v>
      </c>
      <c r="U103" s="5">
        <f>IF(ISBLANK(H103),AVERAGEIF(Table1[[#This Row],[Profession imputed]],T103,Table1[Monthly_Income]),H103)</f>
        <v>0</v>
      </c>
      <c r="V103" s="6" t="str">
        <f>PROPER(TRIM(Table1[AI_Tool]))</f>
        <v>Meta Ai</v>
      </c>
      <c r="W103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104" spans="1:23" x14ac:dyDescent="0.25">
      <c r="A104" t="s">
        <v>879</v>
      </c>
      <c r="B104">
        <v>24</v>
      </c>
      <c r="C104" t="s">
        <v>29</v>
      </c>
      <c r="D104" t="s">
        <v>880</v>
      </c>
      <c r="E104" t="s">
        <v>111</v>
      </c>
      <c r="F104" t="s">
        <v>25</v>
      </c>
      <c r="G104" t="s">
        <v>881</v>
      </c>
      <c r="H104">
        <v>0</v>
      </c>
      <c r="I104" t="s">
        <v>139</v>
      </c>
      <c r="J104" s="6" t="s">
        <v>130</v>
      </c>
      <c r="K104" s="15">
        <v>1.3</v>
      </c>
      <c r="L104" s="5">
        <v>0</v>
      </c>
      <c r="M104" s="15">
        <v>5.2</v>
      </c>
      <c r="N104">
        <v>4</v>
      </c>
      <c r="O104">
        <v>7</v>
      </c>
      <c r="P104">
        <v>2.7</v>
      </c>
      <c r="Q104">
        <v>4.8</v>
      </c>
      <c r="R104" s="2">
        <f>IF(ISBLANK(Table1[[#This Row],[Age]]),AVERAGE(Table1[Age]),Table1[[#This Row],[Age]])</f>
        <v>24</v>
      </c>
      <c r="S104" t="str">
        <f>PROPER(Table1[[#This Row],[Country]])</f>
        <v>U.K.</v>
      </c>
      <c r="T104" t="str">
        <f>TRIM(Table1[[#This Row],[Profession]])</f>
        <v>Molecular Biology Student</v>
      </c>
      <c r="U104" s="5">
        <f>IF(ISBLANK(H104),AVERAGEIF(Table1[[#This Row],[Profession imputed]],T104,Table1[Monthly_Income]),H104)</f>
        <v>0</v>
      </c>
      <c r="V104" s="6" t="str">
        <f>PROPER(TRIM(Table1[AI_Tool]))</f>
        <v>Microsoft Copilot</v>
      </c>
      <c r="W104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105" spans="1:23" x14ac:dyDescent="0.25">
      <c r="A105" t="s">
        <v>882</v>
      </c>
      <c r="B105">
        <v>19</v>
      </c>
      <c r="C105" t="s">
        <v>22</v>
      </c>
      <c r="D105" t="s">
        <v>44</v>
      </c>
      <c r="E105" t="s">
        <v>111</v>
      </c>
      <c r="F105" t="s">
        <v>132</v>
      </c>
      <c r="G105" t="s">
        <v>881</v>
      </c>
      <c r="H105">
        <v>0</v>
      </c>
      <c r="I105" t="s">
        <v>139</v>
      </c>
      <c r="J105" s="6" t="s">
        <v>130</v>
      </c>
      <c r="K105" s="15">
        <v>2.8</v>
      </c>
      <c r="L105" s="5">
        <v>20</v>
      </c>
      <c r="M105" s="15">
        <v>5</v>
      </c>
      <c r="N105">
        <v>3</v>
      </c>
      <c r="O105">
        <v>6</v>
      </c>
      <c r="P105">
        <v>6.9</v>
      </c>
      <c r="Q105">
        <v>6.5</v>
      </c>
      <c r="R105" s="2">
        <f>IF(ISBLANK(Table1[[#This Row],[Age]]),AVERAGE(Table1[Age]),Table1[[#This Row],[Age]])</f>
        <v>19</v>
      </c>
      <c r="S105" t="str">
        <f>PROPER(Table1[[#This Row],[Country]])</f>
        <v>United States</v>
      </c>
      <c r="T105" t="str">
        <f>TRIM(Table1[[#This Row],[Profession]])</f>
        <v>Molecular Biology Student</v>
      </c>
      <c r="U105" s="5">
        <f>IF(ISBLANK(H105),AVERAGEIF(Table1[[#This Row],[Profession imputed]],T105,Table1[Monthly_Income]),H105)</f>
        <v>0</v>
      </c>
      <c r="V105" s="6" t="str">
        <f>PROPER(TRIM(Table1[AI_Tool]))</f>
        <v>Microsoft Copilot</v>
      </c>
      <c r="W105" s="8">
        <f>IF(ISBLANK(Table1[[#This Row],[Time_Saved_Hours_Per_Week]]),AVERAGEIF(Table1[Satisfaction_Score],Table1[[#This Row],[Satisfaction_Score]],Table1[Time_Saved_Hours_Per_Week]),Table1[[#This Row],[Time_Saved_Hours_Per_Week]])</f>
        <v>6.9</v>
      </c>
    </row>
    <row r="106" spans="1:23" x14ac:dyDescent="0.25">
      <c r="A106" t="s">
        <v>883</v>
      </c>
      <c r="B106">
        <v>25</v>
      </c>
      <c r="C106" t="s">
        <v>29</v>
      </c>
      <c r="D106" t="s">
        <v>880</v>
      </c>
      <c r="E106" t="s">
        <v>111</v>
      </c>
      <c r="F106" t="s">
        <v>25</v>
      </c>
      <c r="G106" t="s">
        <v>881</v>
      </c>
      <c r="H106">
        <v>0</v>
      </c>
      <c r="I106" t="s">
        <v>139</v>
      </c>
      <c r="J106" s="6" t="s">
        <v>130</v>
      </c>
      <c r="K106" s="15">
        <v>1.3</v>
      </c>
      <c r="L106" s="5">
        <v>0</v>
      </c>
      <c r="M106" s="15">
        <v>5.2</v>
      </c>
      <c r="N106">
        <v>4</v>
      </c>
      <c r="O106">
        <v>7</v>
      </c>
      <c r="P106">
        <v>2.7</v>
      </c>
      <c r="Q106">
        <v>4.8</v>
      </c>
      <c r="R106" s="2">
        <f>IF(ISBLANK(Table1[[#This Row],[Age]]),AVERAGE(Table1[Age]),Table1[[#This Row],[Age]])</f>
        <v>25</v>
      </c>
      <c r="S106" t="str">
        <f>PROPER(Table1[[#This Row],[Country]])</f>
        <v>U.K.</v>
      </c>
      <c r="T106" t="str">
        <f>TRIM(Table1[[#This Row],[Profession]])</f>
        <v>Molecular Biology Student</v>
      </c>
      <c r="U106" s="5">
        <f>IF(ISBLANK(H106),AVERAGEIF(Table1[[#This Row],[Profession imputed]],T106,Table1[Monthly_Income]),H106)</f>
        <v>0</v>
      </c>
      <c r="V106" s="6" t="str">
        <f>PROPER(TRIM(Table1[AI_Tool]))</f>
        <v>Microsoft Copilot</v>
      </c>
      <c r="W106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107" spans="1:23" x14ac:dyDescent="0.25">
      <c r="A107" t="s">
        <v>884</v>
      </c>
      <c r="B107">
        <v>19</v>
      </c>
      <c r="C107" t="s">
        <v>22</v>
      </c>
      <c r="D107" t="s">
        <v>44</v>
      </c>
      <c r="E107" t="s">
        <v>111</v>
      </c>
      <c r="F107" t="s">
        <v>132</v>
      </c>
      <c r="G107" t="s">
        <v>881</v>
      </c>
      <c r="H107">
        <v>0</v>
      </c>
      <c r="I107" t="s">
        <v>139</v>
      </c>
      <c r="J107" s="6" t="s">
        <v>130</v>
      </c>
      <c r="K107" s="15">
        <v>2.8</v>
      </c>
      <c r="L107" s="5">
        <v>20</v>
      </c>
      <c r="M107" s="15">
        <v>5</v>
      </c>
      <c r="N107">
        <v>3</v>
      </c>
      <c r="O107">
        <v>6</v>
      </c>
      <c r="P107">
        <v>6.9</v>
      </c>
      <c r="Q107">
        <v>6.5</v>
      </c>
      <c r="R107" s="2">
        <f>IF(ISBLANK(Table1[[#This Row],[Age]]),AVERAGE(Table1[Age]),Table1[[#This Row],[Age]])</f>
        <v>19</v>
      </c>
      <c r="S107" t="str">
        <f>PROPER(Table1[[#This Row],[Country]])</f>
        <v>United States</v>
      </c>
      <c r="T107" t="str">
        <f>TRIM(Table1[[#This Row],[Profession]])</f>
        <v>Molecular Biology Student</v>
      </c>
      <c r="U107" s="5">
        <f>IF(ISBLANK(H107),AVERAGEIF(Table1[[#This Row],[Profession imputed]],T107,Table1[Monthly_Income]),H107)</f>
        <v>0</v>
      </c>
      <c r="V107" s="6" t="str">
        <f>PROPER(TRIM(Table1[AI_Tool]))</f>
        <v>Microsoft Copilot</v>
      </c>
      <c r="W107" s="8">
        <f>IF(ISBLANK(Table1[[#This Row],[Time_Saved_Hours_Per_Week]]),AVERAGEIF(Table1[Satisfaction_Score],Table1[[#This Row],[Satisfaction_Score]],Table1[Time_Saved_Hours_Per_Week]),Table1[[#This Row],[Time_Saved_Hours_Per_Week]])</f>
        <v>6.9</v>
      </c>
    </row>
    <row r="108" spans="1:23" x14ac:dyDescent="0.25">
      <c r="A108" t="s">
        <v>885</v>
      </c>
      <c r="B108">
        <v>19</v>
      </c>
      <c r="C108" t="s">
        <v>22</v>
      </c>
      <c r="D108" t="s">
        <v>44</v>
      </c>
      <c r="E108" t="s">
        <v>111</v>
      </c>
      <c r="F108" t="s">
        <v>132</v>
      </c>
      <c r="G108" t="s">
        <v>881</v>
      </c>
      <c r="H108">
        <v>0</v>
      </c>
      <c r="I108" t="s">
        <v>139</v>
      </c>
      <c r="J108" s="6" t="s">
        <v>130</v>
      </c>
      <c r="K108" s="15">
        <v>2.8</v>
      </c>
      <c r="L108" s="5">
        <v>20</v>
      </c>
      <c r="M108" s="15">
        <v>5</v>
      </c>
      <c r="N108">
        <v>3</v>
      </c>
      <c r="O108">
        <v>6</v>
      </c>
      <c r="P108">
        <v>6.9</v>
      </c>
      <c r="Q108">
        <v>6.5</v>
      </c>
      <c r="R108" s="2">
        <f>IF(ISBLANK(Table1[[#This Row],[Age]]),AVERAGE(Table1[Age]),Table1[[#This Row],[Age]])</f>
        <v>19</v>
      </c>
      <c r="S108" t="str">
        <f>PROPER(Table1[[#This Row],[Country]])</f>
        <v>United States</v>
      </c>
      <c r="T108" t="str">
        <f>TRIM(Table1[[#This Row],[Profession]])</f>
        <v>Molecular Biology Student</v>
      </c>
      <c r="U108" s="5">
        <f>IF(ISBLANK(H108),AVERAGEIF(Table1[[#This Row],[Profession imputed]],T108,Table1[Monthly_Income]),H108)</f>
        <v>0</v>
      </c>
      <c r="V108" s="6" t="str">
        <f>PROPER(TRIM(Table1[AI_Tool]))</f>
        <v>Microsoft Copilot</v>
      </c>
      <c r="W108" s="8">
        <f>IF(ISBLANK(Table1[[#This Row],[Time_Saved_Hours_Per_Week]]),AVERAGEIF(Table1[Satisfaction_Score],Table1[[#This Row],[Satisfaction_Score]],Table1[Time_Saved_Hours_Per_Week]),Table1[[#This Row],[Time_Saved_Hours_Per_Week]])</f>
        <v>6.9</v>
      </c>
    </row>
    <row r="109" spans="1:23" x14ac:dyDescent="0.25">
      <c r="A109" t="s">
        <v>886</v>
      </c>
      <c r="B109">
        <v>43</v>
      </c>
      <c r="C109" t="s">
        <v>29</v>
      </c>
      <c r="D109" t="s">
        <v>89</v>
      </c>
      <c r="E109" t="s">
        <v>24</v>
      </c>
      <c r="F109" t="s">
        <v>45</v>
      </c>
      <c r="G109" t="s">
        <v>887</v>
      </c>
      <c r="H109">
        <v>0</v>
      </c>
      <c r="I109" t="s">
        <v>271</v>
      </c>
      <c r="J109" s="6" t="s">
        <v>75</v>
      </c>
      <c r="K109" s="15">
        <v>1.2</v>
      </c>
      <c r="L109" s="5">
        <v>0</v>
      </c>
      <c r="M109" s="15">
        <v>4.7</v>
      </c>
      <c r="N109">
        <v>3</v>
      </c>
      <c r="O109">
        <f>IF(Table1[[#This Row],[Accuracy_Rating]]=4,8,IF(Table1[[#This Row],[Accuracy_Rating]]=3,7,Table1[[#This Row],[Accuracy_Rating]]))</f>
        <v>7</v>
      </c>
      <c r="P109">
        <v>1</v>
      </c>
      <c r="Q109">
        <v>10.9</v>
      </c>
      <c r="R109" s="2">
        <f>IF(ISBLANK(Table1[[#This Row],[Age]]),AVERAGE(Table1[Age]),Table1[[#This Row],[Age]])</f>
        <v>43</v>
      </c>
      <c r="S109" t="str">
        <f>PROPER(Table1[[#This Row],[Country]])</f>
        <v>Nigeria</v>
      </c>
      <c r="T109" t="str">
        <f>TRIM(Table1[[#This Row],[Profession]])</f>
        <v>Multimedia Content Producer</v>
      </c>
      <c r="U109" s="5">
        <f>IF(ISBLANK(H109),AVERAGEIF(Table1[Profession imputed],T109,Table1[Monthly_Income]),H109)</f>
        <v>0</v>
      </c>
      <c r="V109" s="6" t="str">
        <f>PROPER(TRIM(Table1[AI_Tool]))</f>
        <v>Chat Gpt</v>
      </c>
      <c r="W109" s="8">
        <f>IF(ISBLANK(Table1[[#This Row],[Time_Saved_Hours_Per_Week]]),AVERAGEIF(Table1[Satisfaction_Score],Table1[[#This Row],[Satisfaction_Score]],Table1[Time_Saved_Hours_Per_Week]),Table1[[#This Row],[Time_Saved_Hours_Per_Week]])</f>
        <v>1</v>
      </c>
    </row>
    <row r="110" spans="1:23" x14ac:dyDescent="0.25">
      <c r="A110" t="s">
        <v>888</v>
      </c>
      <c r="B110">
        <v>42</v>
      </c>
      <c r="C110" t="s">
        <v>29</v>
      </c>
      <c r="D110" t="s">
        <v>89</v>
      </c>
      <c r="E110" t="s">
        <v>24</v>
      </c>
      <c r="F110" t="s">
        <v>45</v>
      </c>
      <c r="G110" t="s">
        <v>887</v>
      </c>
      <c r="H110">
        <v>0</v>
      </c>
      <c r="I110" t="s">
        <v>271</v>
      </c>
      <c r="J110" s="6" t="s">
        <v>75</v>
      </c>
      <c r="K110" s="15">
        <v>1.2</v>
      </c>
      <c r="L110" s="5">
        <v>0</v>
      </c>
      <c r="M110" s="15">
        <v>4.7</v>
      </c>
      <c r="N110">
        <v>3</v>
      </c>
      <c r="O110">
        <f>IF(Table1[[#This Row],[Accuracy_Rating]]=4,8,IF(Table1[[#This Row],[Accuracy_Rating]]=3,7,Table1[[#This Row],[Accuracy_Rating]]))</f>
        <v>7</v>
      </c>
      <c r="P110">
        <v>1</v>
      </c>
      <c r="Q110">
        <v>10.9</v>
      </c>
      <c r="R110" s="2">
        <f>IF(ISBLANK(Table1[[#This Row],[Age]]),AVERAGE(Table1[Age]),Table1[[#This Row],[Age]])</f>
        <v>42</v>
      </c>
      <c r="S110" t="str">
        <f>PROPER(Table1[[#This Row],[Country]])</f>
        <v>Nigeria</v>
      </c>
      <c r="T110" t="str">
        <f>TRIM(Table1[[#This Row],[Profession]])</f>
        <v>Multimedia Content Producer</v>
      </c>
      <c r="U110" s="5">
        <f>IF(ISBLANK(H110),AVERAGEIF(Table1[Profession imputed],T110,Table1[Monthly_Income]),H110)</f>
        <v>0</v>
      </c>
      <c r="V110" s="6" t="str">
        <f>PROPER(TRIM(Table1[AI_Tool]))</f>
        <v>Chat Gpt</v>
      </c>
      <c r="W110" s="8">
        <f>IF(ISBLANK(Table1[[#This Row],[Time_Saved_Hours_Per_Week]]),AVERAGEIF(Table1[Satisfaction_Score],Table1[[#This Row],[Satisfaction_Score]],Table1[Time_Saved_Hours_Per_Week]),Table1[[#This Row],[Time_Saved_Hours_Per_Week]])</f>
        <v>1</v>
      </c>
    </row>
    <row r="111" spans="1:23" x14ac:dyDescent="0.25">
      <c r="A111" t="s">
        <v>889</v>
      </c>
      <c r="B111">
        <v>41</v>
      </c>
      <c r="C111" t="s">
        <v>29</v>
      </c>
      <c r="D111" t="s">
        <v>89</v>
      </c>
      <c r="E111" t="s">
        <v>24</v>
      </c>
      <c r="F111" t="s">
        <v>45</v>
      </c>
      <c r="G111" t="s">
        <v>887</v>
      </c>
      <c r="H111">
        <v>0</v>
      </c>
      <c r="I111" t="s">
        <v>271</v>
      </c>
      <c r="J111" s="6" t="s">
        <v>75</v>
      </c>
      <c r="K111" s="15">
        <v>1.2</v>
      </c>
      <c r="L111" s="5">
        <v>0</v>
      </c>
      <c r="M111" s="15">
        <v>4.7</v>
      </c>
      <c r="N111">
        <v>3</v>
      </c>
      <c r="O111">
        <f>IF(Table1[[#This Row],[Accuracy_Rating]]=4,8,IF(Table1[[#This Row],[Accuracy_Rating]]=3,7,Table1[[#This Row],[Accuracy_Rating]]))</f>
        <v>7</v>
      </c>
      <c r="P111">
        <v>1</v>
      </c>
      <c r="Q111">
        <v>10.9</v>
      </c>
      <c r="R111" s="2">
        <f>IF(ISBLANK(Table1[[#This Row],[Age]]),AVERAGE(Table1[Age]),Table1[[#This Row],[Age]])</f>
        <v>41</v>
      </c>
      <c r="S111" t="str">
        <f>PROPER(Table1[[#This Row],[Country]])</f>
        <v>Nigeria</v>
      </c>
      <c r="T111" t="str">
        <f>TRIM(Table1[[#This Row],[Profession]])</f>
        <v>Multimedia Content Producer</v>
      </c>
      <c r="U111" s="5">
        <f>IF(ISBLANK(H111),AVERAGEIF(Table1[Profession imputed],T111,Table1[Monthly_Income]),H111)</f>
        <v>0</v>
      </c>
      <c r="V111" s="6" t="str">
        <f>PROPER(TRIM(Table1[AI_Tool]))</f>
        <v>Chat Gpt</v>
      </c>
      <c r="W111" s="8">
        <f>IF(ISBLANK(Table1[[#This Row],[Time_Saved_Hours_Per_Week]]),AVERAGEIF(Table1[Satisfaction_Score],Table1[[#This Row],[Satisfaction_Score]],Table1[Time_Saved_Hours_Per_Week]),Table1[[#This Row],[Time_Saved_Hours_Per_Week]])</f>
        <v>1</v>
      </c>
    </row>
    <row r="112" spans="1:23" x14ac:dyDescent="0.25">
      <c r="A112" t="s">
        <v>1056</v>
      </c>
      <c r="B112">
        <v>23</v>
      </c>
      <c r="C112" t="s">
        <v>29</v>
      </c>
      <c r="D112" t="s">
        <v>73</v>
      </c>
      <c r="E112" t="s">
        <v>111</v>
      </c>
      <c r="F112" t="s">
        <v>55</v>
      </c>
      <c r="G112" t="s">
        <v>1055</v>
      </c>
      <c r="H112">
        <v>0</v>
      </c>
      <c r="I112" t="s">
        <v>139</v>
      </c>
      <c r="J112" s="6" t="s">
        <v>33</v>
      </c>
      <c r="K112" s="15">
        <v>1</v>
      </c>
      <c r="L112" s="5">
        <v>20</v>
      </c>
      <c r="M112" s="15">
        <v>3.3</v>
      </c>
      <c r="N112">
        <v>3</v>
      </c>
      <c r="O112">
        <v>5</v>
      </c>
      <c r="P112">
        <v>2.6</v>
      </c>
      <c r="Q112">
        <v>6.2</v>
      </c>
      <c r="R112" s="2">
        <f>IF(ISBLANK(Table1[[#This Row],[Age]]),AVERAGE(Table1[Age]),Table1[[#This Row],[Age]])</f>
        <v>23</v>
      </c>
      <c r="S112" t="str">
        <f>PROPER(Table1[[#This Row],[Country]])</f>
        <v>Unknown</v>
      </c>
      <c r="T112" t="str">
        <f>TRIM(Table1[[#This Row],[Profession]])</f>
        <v>Software Engineering Student</v>
      </c>
      <c r="U112" s="5">
        <f>IF(ISBLANK(H112),AVERAGEIF(Table1[[#This Row],[Profession imputed]],T112,Table1[Monthly_Income]),H112)</f>
        <v>0</v>
      </c>
      <c r="V112" s="6" t="str">
        <f>PROPER(TRIM(Table1[AI_Tool]))</f>
        <v>Microsoft Copilot</v>
      </c>
      <c r="W112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113" spans="1:23" x14ac:dyDescent="0.25">
      <c r="A113" t="s">
        <v>1060</v>
      </c>
      <c r="B113">
        <v>27</v>
      </c>
      <c r="C113" t="s">
        <v>22</v>
      </c>
      <c r="D113" t="s">
        <v>92</v>
      </c>
      <c r="E113" t="s">
        <v>111</v>
      </c>
      <c r="F113" t="s">
        <v>132</v>
      </c>
      <c r="G113" t="s">
        <v>1055</v>
      </c>
      <c r="H113">
        <v>0</v>
      </c>
      <c r="I113" t="s">
        <v>139</v>
      </c>
      <c r="J113" s="6" t="s">
        <v>33</v>
      </c>
      <c r="K113" s="15">
        <v>4.9000000000000004</v>
      </c>
      <c r="L113" s="5">
        <v>20</v>
      </c>
      <c r="M113" s="15">
        <v>5.8</v>
      </c>
      <c r="N113">
        <v>4</v>
      </c>
      <c r="O113">
        <v>7</v>
      </c>
      <c r="P113">
        <v>9</v>
      </c>
      <c r="Q113">
        <v>6</v>
      </c>
      <c r="R113" s="2">
        <f>IF(ISBLANK(Table1[[#This Row],[Age]]),AVERAGE(Table1[Age]),Table1[[#This Row],[Age]])</f>
        <v>27</v>
      </c>
      <c r="S113" t="str">
        <f>PROPER(Table1[[#This Row],[Country]])</f>
        <v>Canada</v>
      </c>
      <c r="T113" t="str">
        <f>TRIM(Table1[[#This Row],[Profession]])</f>
        <v>Software Engineering Student</v>
      </c>
      <c r="U113" s="5">
        <f>IF(ISBLANK(H113),AVERAGEIF(Table1[[#This Row],[Profession imputed]],T113,Table1[Monthly_Income]),H113)</f>
        <v>0</v>
      </c>
      <c r="V113" s="6" t="str">
        <f>PROPER(TRIM(Table1[AI_Tool]))</f>
        <v>Microsoft Copilot</v>
      </c>
      <c r="W113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114" spans="1:23" x14ac:dyDescent="0.25">
      <c r="A114" t="s">
        <v>1061</v>
      </c>
      <c r="B114">
        <v>22</v>
      </c>
      <c r="C114" t="s">
        <v>22</v>
      </c>
      <c r="D114" t="s">
        <v>49</v>
      </c>
      <c r="E114" t="s">
        <v>111</v>
      </c>
      <c r="F114" t="s">
        <v>25</v>
      </c>
      <c r="G114" t="s">
        <v>1055</v>
      </c>
      <c r="H114">
        <v>0</v>
      </c>
      <c r="I114" t="s">
        <v>1186</v>
      </c>
      <c r="J114" s="6" t="s">
        <v>33</v>
      </c>
      <c r="K114" s="15">
        <v>3.3</v>
      </c>
      <c r="L114" s="5">
        <v>0</v>
      </c>
      <c r="M114" s="15">
        <v>6</v>
      </c>
      <c r="N114">
        <v>2</v>
      </c>
      <c r="O114">
        <v>6</v>
      </c>
      <c r="P114">
        <v>6.4</v>
      </c>
      <c r="Q114">
        <v>5.5</v>
      </c>
      <c r="R114" s="2">
        <f>IF(ISBLANK(Table1[[#This Row],[Age]]),AVERAGE(Table1[Age]),Table1[[#This Row],[Age]])</f>
        <v>22</v>
      </c>
      <c r="S114" t="str">
        <f>PROPER(Table1[[#This Row],[Country]])</f>
        <v>Kenya</v>
      </c>
      <c r="T114" t="str">
        <f>TRIM(Table1[[#This Row],[Profession]])</f>
        <v>Software Engineering Student</v>
      </c>
      <c r="U114" s="5">
        <f>IF(ISBLANK(H114),AVERAGEIF(Table1[[#This Row],[Profession imputed]],T114,Table1[Monthly_Income]),H114)</f>
        <v>0</v>
      </c>
      <c r="V114" s="6" t="str">
        <f>PROPER(TRIM(Table1[AI_Tool]))</f>
        <v>Google Gemini</v>
      </c>
      <c r="W114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115" spans="1:23" x14ac:dyDescent="0.25">
      <c r="A115" t="s">
        <v>1063</v>
      </c>
      <c r="B115">
        <v>29</v>
      </c>
      <c r="C115" t="s">
        <v>22</v>
      </c>
      <c r="D115" t="s">
        <v>92</v>
      </c>
      <c r="E115" t="s">
        <v>111</v>
      </c>
      <c r="F115" t="s">
        <v>132</v>
      </c>
      <c r="G115" t="s">
        <v>1055</v>
      </c>
      <c r="H115">
        <v>0</v>
      </c>
      <c r="I115" t="s">
        <v>139</v>
      </c>
      <c r="J115" s="6" t="s">
        <v>33</v>
      </c>
      <c r="K115" s="15">
        <v>4.9000000000000004</v>
      </c>
      <c r="L115" s="5">
        <v>20</v>
      </c>
      <c r="M115" s="15">
        <v>5.8</v>
      </c>
      <c r="N115">
        <v>4</v>
      </c>
      <c r="O115">
        <v>7</v>
      </c>
      <c r="P115">
        <v>9</v>
      </c>
      <c r="Q115">
        <v>6</v>
      </c>
      <c r="R115" s="2">
        <f>IF(ISBLANK(Table1[[#This Row],[Age]]),AVERAGE(Table1[Age]),Table1[[#This Row],[Age]])</f>
        <v>29</v>
      </c>
      <c r="S115" t="str">
        <f>PROPER(Table1[[#This Row],[Country]])</f>
        <v>Canada</v>
      </c>
      <c r="T115" t="str">
        <f>TRIM(Table1[[#This Row],[Profession]])</f>
        <v>Software Engineering Student</v>
      </c>
      <c r="U115" s="5">
        <f>IF(ISBLANK(H115),AVERAGEIF(Table1[[#This Row],[Profession imputed]],T115,Table1[Monthly_Income]),H115)</f>
        <v>0</v>
      </c>
      <c r="V115" s="6" t="str">
        <f>PROPER(TRIM(Table1[AI_Tool]))</f>
        <v>Microsoft Copilot</v>
      </c>
      <c r="W115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116" spans="1:23" x14ac:dyDescent="0.25">
      <c r="A116" t="s">
        <v>1068</v>
      </c>
      <c r="B116">
        <v>20</v>
      </c>
      <c r="C116" t="s">
        <v>22</v>
      </c>
      <c r="D116" t="s">
        <v>49</v>
      </c>
      <c r="E116" t="s">
        <v>111</v>
      </c>
      <c r="F116" t="s">
        <v>25</v>
      </c>
      <c r="G116" t="s">
        <v>1055</v>
      </c>
      <c r="H116">
        <v>0</v>
      </c>
      <c r="I116" t="s">
        <v>1186</v>
      </c>
      <c r="J116" s="6" t="s">
        <v>33</v>
      </c>
      <c r="K116" s="15">
        <v>3.3</v>
      </c>
      <c r="L116" s="5">
        <v>0</v>
      </c>
      <c r="M116" s="15">
        <v>6</v>
      </c>
      <c r="N116">
        <v>2</v>
      </c>
      <c r="O116">
        <v>6</v>
      </c>
      <c r="P116">
        <v>6.4</v>
      </c>
      <c r="Q116">
        <v>5.5</v>
      </c>
      <c r="R116" s="2">
        <f>IF(ISBLANK(Table1[[#This Row],[Age]]),AVERAGE(Table1[Age]),Table1[[#This Row],[Age]])</f>
        <v>20</v>
      </c>
      <c r="S116" t="str">
        <f>PROPER(Table1[[#This Row],[Country]])</f>
        <v>Kenya</v>
      </c>
      <c r="T116" t="str">
        <f>TRIM(Table1[[#This Row],[Profession]])</f>
        <v>Software Engineering Student</v>
      </c>
      <c r="U116" s="5">
        <f>IF(ISBLANK(H116),AVERAGEIF(Table1[[#This Row],[Profession imputed]],T116,Table1[Monthly_Income]),H116)</f>
        <v>0</v>
      </c>
      <c r="V116" s="6" t="str">
        <f>PROPER(TRIM(Table1[AI_Tool]))</f>
        <v>Google Gemini</v>
      </c>
      <c r="W116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117" spans="1:23" x14ac:dyDescent="0.25">
      <c r="A117" t="s">
        <v>1070</v>
      </c>
      <c r="B117">
        <v>28</v>
      </c>
      <c r="C117" t="s">
        <v>22</v>
      </c>
      <c r="D117" t="s">
        <v>92</v>
      </c>
      <c r="E117" t="s">
        <v>111</v>
      </c>
      <c r="F117" t="s">
        <v>132</v>
      </c>
      <c r="G117" t="s">
        <v>1055</v>
      </c>
      <c r="H117">
        <v>0</v>
      </c>
      <c r="I117" t="s">
        <v>139</v>
      </c>
      <c r="J117" s="6" t="s">
        <v>33</v>
      </c>
      <c r="K117" s="15">
        <v>4.9000000000000004</v>
      </c>
      <c r="L117" s="5">
        <v>20</v>
      </c>
      <c r="M117" s="15">
        <v>5.8</v>
      </c>
      <c r="N117">
        <v>4</v>
      </c>
      <c r="O117">
        <v>7</v>
      </c>
      <c r="P117">
        <v>9</v>
      </c>
      <c r="Q117">
        <v>6</v>
      </c>
      <c r="R117" s="2">
        <f>IF(ISBLANK(Table1[[#This Row],[Age]]),AVERAGE(Table1[Age]),Table1[[#This Row],[Age]])</f>
        <v>28</v>
      </c>
      <c r="S117" t="str">
        <f>PROPER(Table1[[#This Row],[Country]])</f>
        <v>Canada</v>
      </c>
      <c r="T117" t="str">
        <f>TRIM(Table1[[#This Row],[Profession]])</f>
        <v>Software Engineering Student</v>
      </c>
      <c r="U117" s="5">
        <f>IF(ISBLANK(H117),AVERAGEIF(Table1[[#This Row],[Profession imputed]],T117,Table1[Monthly_Income]),H117)</f>
        <v>0</v>
      </c>
      <c r="V117" s="6" t="str">
        <f>PROPER(TRIM(Table1[AI_Tool]))</f>
        <v>Microsoft Copilot</v>
      </c>
      <c r="W117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118" spans="1:23" x14ac:dyDescent="0.25">
      <c r="A118" t="s">
        <v>1071</v>
      </c>
      <c r="B118">
        <v>22</v>
      </c>
      <c r="C118" t="s">
        <v>22</v>
      </c>
      <c r="D118" t="s">
        <v>49</v>
      </c>
      <c r="E118" t="s">
        <v>111</v>
      </c>
      <c r="F118" t="s">
        <v>25</v>
      </c>
      <c r="G118" t="s">
        <v>1055</v>
      </c>
      <c r="H118">
        <v>0</v>
      </c>
      <c r="I118" t="s">
        <v>1186</v>
      </c>
      <c r="J118" s="6" t="s">
        <v>33</v>
      </c>
      <c r="K118" s="15">
        <v>3.3</v>
      </c>
      <c r="L118" s="5">
        <v>0</v>
      </c>
      <c r="M118" s="15">
        <v>6</v>
      </c>
      <c r="N118">
        <v>2</v>
      </c>
      <c r="O118">
        <v>6</v>
      </c>
      <c r="P118">
        <v>6.4</v>
      </c>
      <c r="Q118">
        <v>5.5</v>
      </c>
      <c r="R118" s="2">
        <f>IF(ISBLANK(Table1[[#This Row],[Age]]),AVERAGE(Table1[Age]),Table1[[#This Row],[Age]])</f>
        <v>22</v>
      </c>
      <c r="S118" t="str">
        <f>PROPER(Table1[[#This Row],[Country]])</f>
        <v>Kenya</v>
      </c>
      <c r="T118" t="str">
        <f>TRIM(Table1[[#This Row],[Profession]])</f>
        <v>Software Engineering Student</v>
      </c>
      <c r="U118" s="5">
        <f>IF(ISBLANK(H118),AVERAGEIF(Table1[[#This Row],[Profession imputed]],T118,Table1[Monthly_Income]),H118)</f>
        <v>0</v>
      </c>
      <c r="V118" s="6" t="str">
        <f>PROPER(TRIM(Table1[AI_Tool]))</f>
        <v>Google Gemini</v>
      </c>
      <c r="W118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119" spans="1:23" x14ac:dyDescent="0.25">
      <c r="A119" t="s">
        <v>1073</v>
      </c>
      <c r="B119">
        <v>26</v>
      </c>
      <c r="C119" t="s">
        <v>22</v>
      </c>
      <c r="D119" t="s">
        <v>92</v>
      </c>
      <c r="E119" t="s">
        <v>111</v>
      </c>
      <c r="F119" t="s">
        <v>132</v>
      </c>
      <c r="G119" t="s">
        <v>1055</v>
      </c>
      <c r="H119">
        <v>0</v>
      </c>
      <c r="I119" t="s">
        <v>139</v>
      </c>
      <c r="J119" s="6" t="s">
        <v>33</v>
      </c>
      <c r="K119" s="15">
        <v>4.9000000000000004</v>
      </c>
      <c r="L119" s="5">
        <v>20</v>
      </c>
      <c r="M119" s="15">
        <v>5.8</v>
      </c>
      <c r="N119">
        <v>4</v>
      </c>
      <c r="O119">
        <v>7</v>
      </c>
      <c r="P119">
        <v>9</v>
      </c>
      <c r="Q119">
        <v>6</v>
      </c>
      <c r="R119" s="2">
        <f>IF(ISBLANK(Table1[[#This Row],[Age]]),AVERAGE(Table1[Age]),Table1[[#This Row],[Age]])</f>
        <v>26</v>
      </c>
      <c r="S119" t="str">
        <f>PROPER(Table1[[#This Row],[Country]])</f>
        <v>Canada</v>
      </c>
      <c r="T119" t="str">
        <f>TRIM(Table1[[#This Row],[Profession]])</f>
        <v>Software Engineering Student</v>
      </c>
      <c r="U119" s="5">
        <f>IF(ISBLANK(H119),AVERAGEIF(Table1[[#This Row],[Profession imputed]],T119,Table1[Monthly_Income]),H119)</f>
        <v>0</v>
      </c>
      <c r="V119" s="6" t="str">
        <f>PROPER(TRIM(Table1[AI_Tool]))</f>
        <v>Microsoft Copilot</v>
      </c>
      <c r="W119" s="8">
        <f>IF(ISBLANK(Table1[[#This Row],[Time_Saved_Hours_Per_Week]]),AVERAGEIF(Table1[Satisfaction_Score],Table1[[#This Row],[Satisfaction_Score]],Table1[Time_Saved_Hours_Per_Week]),Table1[[#This Row],[Time_Saved_Hours_Per_Week]])</f>
        <v>9</v>
      </c>
    </row>
    <row r="120" spans="1:23" x14ac:dyDescent="0.25">
      <c r="A120" t="s">
        <v>1074</v>
      </c>
      <c r="B120">
        <v>22</v>
      </c>
      <c r="C120" t="s">
        <v>29</v>
      </c>
      <c r="D120" t="s">
        <v>73</v>
      </c>
      <c r="E120" t="s">
        <v>111</v>
      </c>
      <c r="F120" t="s">
        <v>55</v>
      </c>
      <c r="G120" t="s">
        <v>1055</v>
      </c>
      <c r="H120">
        <v>0</v>
      </c>
      <c r="I120" t="s">
        <v>139</v>
      </c>
      <c r="J120" s="6" t="s">
        <v>33</v>
      </c>
      <c r="K120" s="15">
        <v>1</v>
      </c>
      <c r="L120" s="5">
        <v>20</v>
      </c>
      <c r="M120" s="15">
        <v>3.3</v>
      </c>
      <c r="N120">
        <v>3</v>
      </c>
      <c r="O120">
        <v>5</v>
      </c>
      <c r="P120">
        <v>2.6</v>
      </c>
      <c r="Q120">
        <v>6.2</v>
      </c>
      <c r="R120" s="2">
        <f>IF(ISBLANK(Table1[[#This Row],[Age]]),AVERAGE(Table1[Age]),Table1[[#This Row],[Age]])</f>
        <v>22</v>
      </c>
      <c r="S120" t="str">
        <f>PROPER(Table1[[#This Row],[Country]])</f>
        <v>Unknown</v>
      </c>
      <c r="T120" t="str">
        <f>TRIM(Table1[[#This Row],[Profession]])</f>
        <v>Software Engineering Student</v>
      </c>
      <c r="U120" s="5">
        <f>IF(ISBLANK(H120),AVERAGEIF(Table1[[#This Row],[Profession imputed]],T120,Table1[Monthly_Income]),H120)</f>
        <v>0</v>
      </c>
      <c r="V120" s="6" t="str">
        <f>PROPER(TRIM(Table1[AI_Tool]))</f>
        <v>Microsoft Copilot</v>
      </c>
      <c r="W120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121" spans="1:23" x14ac:dyDescent="0.25">
      <c r="A121" t="s">
        <v>1075</v>
      </c>
      <c r="B121">
        <v>20</v>
      </c>
      <c r="C121" t="s">
        <v>22</v>
      </c>
      <c r="D121" t="s">
        <v>49</v>
      </c>
      <c r="E121" t="s">
        <v>111</v>
      </c>
      <c r="F121" t="s">
        <v>25</v>
      </c>
      <c r="G121" t="s">
        <v>1055</v>
      </c>
      <c r="H121">
        <v>0</v>
      </c>
      <c r="I121" t="s">
        <v>1186</v>
      </c>
      <c r="J121" s="6" t="s">
        <v>33</v>
      </c>
      <c r="K121" s="15">
        <v>3.3</v>
      </c>
      <c r="L121" s="5">
        <v>0</v>
      </c>
      <c r="M121" s="15">
        <v>6</v>
      </c>
      <c r="N121">
        <v>2</v>
      </c>
      <c r="O121">
        <v>6</v>
      </c>
      <c r="P121">
        <v>6.4</v>
      </c>
      <c r="Q121">
        <v>5.5</v>
      </c>
      <c r="R121" s="2">
        <f>IF(ISBLANK(Table1[[#This Row],[Age]]),AVERAGE(Table1[Age]),Table1[[#This Row],[Age]])</f>
        <v>20</v>
      </c>
      <c r="S121" t="str">
        <f>PROPER(Table1[[#This Row],[Country]])</f>
        <v>Kenya</v>
      </c>
      <c r="T121" t="str">
        <f>TRIM(Table1[[#This Row],[Profession]])</f>
        <v>Software Engineering Student</v>
      </c>
      <c r="U121" s="5">
        <f>IF(ISBLANK(H121),AVERAGEIF(Table1[[#This Row],[Profession imputed]],T121,Table1[Monthly_Income]),H121)</f>
        <v>0</v>
      </c>
      <c r="V121" s="6" t="str">
        <f>PROPER(TRIM(Table1[AI_Tool]))</f>
        <v>Google Gemini</v>
      </c>
      <c r="W121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122" spans="1:23" x14ac:dyDescent="0.25">
      <c r="A122" t="s">
        <v>1087</v>
      </c>
      <c r="C122" t="s">
        <v>29</v>
      </c>
      <c r="D122" t="s">
        <v>52</v>
      </c>
      <c r="E122" t="s">
        <v>111</v>
      </c>
      <c r="F122" t="s">
        <v>50</v>
      </c>
      <c r="G122" t="s">
        <v>1088</v>
      </c>
      <c r="H122" s="1">
        <v>0</v>
      </c>
      <c r="I122" t="s">
        <v>1186</v>
      </c>
      <c r="J122" s="6" t="s">
        <v>106</v>
      </c>
      <c r="K122" s="15">
        <v>2</v>
      </c>
      <c r="L122" s="5">
        <v>0</v>
      </c>
      <c r="M122" s="15">
        <v>3.6</v>
      </c>
      <c r="N122">
        <v>5</v>
      </c>
      <c r="O122">
        <v>5</v>
      </c>
      <c r="P122">
        <v>3.6</v>
      </c>
      <c r="Q122">
        <v>4.4000000000000004</v>
      </c>
      <c r="R122" s="2">
        <f>IF(ISBLANK(Table1[[#This Row],[Age]]),AVERAGE(Table1[Age]),Table1[[#This Row],[Age]])</f>
        <v>30.023333333333333</v>
      </c>
      <c r="S122" t="str">
        <f>PROPER(Table1[[#This Row],[Country]])</f>
        <v>India</v>
      </c>
      <c r="T122" t="str">
        <f>TRIM(Table1[[#This Row],[Profession]])</f>
        <v>Statistics Student</v>
      </c>
      <c r="U122" s="5">
        <f>IF(ISBLANK(H122),AVERAGEIF(Table1[[#This Row],[Profession imputed]],T122,Table1[Monthly_Income]),H122)</f>
        <v>0</v>
      </c>
      <c r="V122" s="6" t="str">
        <f>PROPER(TRIM(Table1[AI_Tool]))</f>
        <v>Google Gemini</v>
      </c>
      <c r="W122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123" spans="1:23" x14ac:dyDescent="0.25">
      <c r="A123" t="s">
        <v>1089</v>
      </c>
      <c r="C123" t="s">
        <v>29</v>
      </c>
      <c r="D123" t="s">
        <v>52</v>
      </c>
      <c r="E123" t="s">
        <v>111</v>
      </c>
      <c r="F123" t="s">
        <v>50</v>
      </c>
      <c r="G123" t="s">
        <v>1088</v>
      </c>
      <c r="H123">
        <v>0</v>
      </c>
      <c r="I123" t="s">
        <v>1186</v>
      </c>
      <c r="J123" s="6" t="s">
        <v>106</v>
      </c>
      <c r="K123" s="15">
        <v>2</v>
      </c>
      <c r="L123" s="5">
        <v>0</v>
      </c>
      <c r="M123" s="15">
        <v>3.6</v>
      </c>
      <c r="N123">
        <v>5</v>
      </c>
      <c r="O123">
        <v>5</v>
      </c>
      <c r="P123">
        <v>3.6</v>
      </c>
      <c r="Q123">
        <v>4.4000000000000004</v>
      </c>
      <c r="R123" s="2">
        <f>IF(ISBLANK(Table1[[#This Row],[Age]]),AVERAGE(Table1[Age]),Table1[[#This Row],[Age]])</f>
        <v>30.023333333333333</v>
      </c>
      <c r="S123" t="str">
        <f>PROPER(Table1[[#This Row],[Country]])</f>
        <v>India</v>
      </c>
      <c r="T123" t="str">
        <f>TRIM(Table1[[#This Row],[Profession]])</f>
        <v>Statistics Student</v>
      </c>
      <c r="U123" s="5">
        <f>IF(ISBLANK(H123),AVERAGEIF(Table1[[#This Row],[Profession imputed]],T123,Table1[Monthly_Income]),H123)</f>
        <v>0</v>
      </c>
      <c r="V123" s="6" t="str">
        <f>PROPER(TRIM(Table1[AI_Tool]))</f>
        <v>Google Gemini</v>
      </c>
      <c r="W123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124" spans="1:23" x14ac:dyDescent="0.25">
      <c r="A124" t="s">
        <v>1166</v>
      </c>
      <c r="C124" t="s">
        <v>22</v>
      </c>
      <c r="D124" t="s">
        <v>44</v>
      </c>
      <c r="E124" t="s">
        <v>24</v>
      </c>
      <c r="F124" t="s">
        <v>25</v>
      </c>
      <c r="G124" t="s">
        <v>73</v>
      </c>
      <c r="H124">
        <v>0</v>
      </c>
      <c r="I124" t="s">
        <v>280</v>
      </c>
      <c r="J124" s="6" t="s">
        <v>38</v>
      </c>
      <c r="K124" s="15">
        <v>3.1</v>
      </c>
      <c r="L124" s="5">
        <v>30</v>
      </c>
      <c r="M124" s="15">
        <v>5.6</v>
      </c>
      <c r="N124">
        <v>3</v>
      </c>
      <c r="O124">
        <v>7</v>
      </c>
      <c r="P124">
        <v>5.2</v>
      </c>
      <c r="Q124">
        <v>8.4</v>
      </c>
      <c r="R124" s="2">
        <f>IF(ISBLANK(Table1[[#This Row],[Age]]),AVERAGE(Table1[Age]),Table1[[#This Row],[Age]])</f>
        <v>30.023333333333333</v>
      </c>
      <c r="S124" t="str">
        <f>PROPER(Table1[[#This Row],[Country]])</f>
        <v>United States</v>
      </c>
      <c r="T124" t="str">
        <f>TRIM(Table1[[#This Row],[Profession]])</f>
        <v>UNKNOWN</v>
      </c>
      <c r="U124" s="5">
        <f>IF(ISBLANK(H124),AVERAGEIF(Table1[Profession imputed],T124,Table1[Monthly_Income]),H124)</f>
        <v>0</v>
      </c>
      <c r="V124" s="6" t="str">
        <f>PROPER(TRIM(Table1[AI_Tool]))</f>
        <v>Unknown</v>
      </c>
      <c r="W124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125" spans="1:23" x14ac:dyDescent="0.25">
      <c r="A125" t="s">
        <v>1169</v>
      </c>
      <c r="C125" t="s">
        <v>22</v>
      </c>
      <c r="D125" t="s">
        <v>44</v>
      </c>
      <c r="E125" t="s">
        <v>24</v>
      </c>
      <c r="F125" t="s">
        <v>25</v>
      </c>
      <c r="G125" t="s">
        <v>73</v>
      </c>
      <c r="H125">
        <v>0</v>
      </c>
      <c r="I125" t="s">
        <v>280</v>
      </c>
      <c r="J125" s="6" t="s">
        <v>38</v>
      </c>
      <c r="K125" s="15">
        <v>3.1</v>
      </c>
      <c r="L125" s="5">
        <v>30</v>
      </c>
      <c r="M125" s="15">
        <v>5.6</v>
      </c>
      <c r="N125">
        <v>3</v>
      </c>
      <c r="O125">
        <v>7</v>
      </c>
      <c r="P125">
        <v>5.2</v>
      </c>
      <c r="Q125">
        <v>8.4</v>
      </c>
      <c r="R125" s="2">
        <f>IF(ISBLANK(Table1[[#This Row],[Age]]),AVERAGE(Table1[Age]),Table1[[#This Row],[Age]])</f>
        <v>30.023333333333333</v>
      </c>
      <c r="S125" t="str">
        <f>PROPER(Table1[[#This Row],[Country]])</f>
        <v>United States</v>
      </c>
      <c r="T125" t="str">
        <f>TRIM(Table1[[#This Row],[Profession]])</f>
        <v>UNKNOWN</v>
      </c>
      <c r="U125" s="5">
        <f>IF(ISBLANK(H125),AVERAGEIF(Table1[Profession imputed],T125,Table1[Monthly_Income]),H125)</f>
        <v>0</v>
      </c>
      <c r="V125" s="6" t="str">
        <f>PROPER(TRIM(Table1[AI_Tool]))</f>
        <v>Unknown</v>
      </c>
      <c r="W125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126" spans="1:23" x14ac:dyDescent="0.25">
      <c r="A126" t="s">
        <v>292</v>
      </c>
      <c r="B126">
        <v>22</v>
      </c>
      <c r="C126" t="s">
        <v>22</v>
      </c>
      <c r="D126" t="s">
        <v>52</v>
      </c>
      <c r="E126" t="s">
        <v>111</v>
      </c>
      <c r="F126" t="s">
        <v>218</v>
      </c>
      <c r="G126" t="s">
        <v>270</v>
      </c>
      <c r="H126">
        <v>46</v>
      </c>
      <c r="I126" t="s">
        <v>37</v>
      </c>
      <c r="J126" s="6" t="s">
        <v>33</v>
      </c>
      <c r="K126" s="15">
        <v>9.8000000000000007</v>
      </c>
      <c r="L126" s="5">
        <v>0</v>
      </c>
      <c r="M126" s="15">
        <v>9.1</v>
      </c>
      <c r="N126">
        <v>4</v>
      </c>
      <c r="O126">
        <v>9</v>
      </c>
      <c r="P126">
        <v>15.8</v>
      </c>
      <c r="Q126">
        <v>5.2</v>
      </c>
      <c r="R126" s="2">
        <f>IF(ISBLANK(Table1[[#This Row],[Age]]),AVERAGE(Table1[Age]),Table1[[#This Row],[Age]])</f>
        <v>22</v>
      </c>
      <c r="S126" t="str">
        <f>PROPER(Table1[[#This Row],[Country]])</f>
        <v>India</v>
      </c>
      <c r="T126" t="str">
        <f>TRIM(Table1[[#This Row],[Profession]])</f>
        <v>Computer Science Student</v>
      </c>
      <c r="U126" s="5">
        <f>IF(ISBLANK(H126),AVERAGEIF(Table1[Profession imputed],T126,Table1[Monthly_Income]),H126)</f>
        <v>46</v>
      </c>
      <c r="V126" s="6" t="str">
        <f>PROPER(TRIM(Table1[AI_Tool]))</f>
        <v>Grammarly</v>
      </c>
      <c r="W126" s="8">
        <f>IF(ISBLANK(Table1[[#This Row],[Time_Saved_Hours_Per_Week]]),AVERAGEIF(Table1[Satisfaction_Score],Table1[[#This Row],[Satisfaction_Score]],Table1[Time_Saved_Hours_Per_Week]),Table1[[#This Row],[Time_Saved_Hours_Per_Week]])</f>
        <v>15.8</v>
      </c>
    </row>
    <row r="127" spans="1:23" x14ac:dyDescent="0.25">
      <c r="A127" t="s">
        <v>861</v>
      </c>
      <c r="B127">
        <v>26</v>
      </c>
      <c r="C127" t="s">
        <v>29</v>
      </c>
      <c r="D127" t="s">
        <v>57</v>
      </c>
      <c r="E127" t="s">
        <v>111</v>
      </c>
      <c r="F127" t="s">
        <v>218</v>
      </c>
      <c r="G127" t="s">
        <v>851</v>
      </c>
      <c r="H127">
        <v>46</v>
      </c>
      <c r="I127" t="s">
        <v>271</v>
      </c>
      <c r="J127" s="6" t="s">
        <v>130</v>
      </c>
      <c r="K127" s="15">
        <v>2.7</v>
      </c>
      <c r="L127" s="5">
        <v>20</v>
      </c>
      <c r="M127" s="15">
        <v>0</v>
      </c>
      <c r="N127">
        <v>3</v>
      </c>
      <c r="O127">
        <v>5</v>
      </c>
      <c r="P127">
        <v>5</v>
      </c>
      <c r="Q127">
        <v>6.9</v>
      </c>
      <c r="R127" s="2">
        <f>IF(ISBLANK(Table1[[#This Row],[Age]]),AVERAGE(Table1[Age]),Table1[[#This Row],[Age]])</f>
        <v>26</v>
      </c>
      <c r="S127" t="str">
        <f>PROPER(Table1[[#This Row],[Country]])</f>
        <v>Pakistan</v>
      </c>
      <c r="T127" t="str">
        <f>TRIM(Table1[[#This Row],[Profession]])</f>
        <v>Mechanical Engineering Student</v>
      </c>
      <c r="U127" s="5">
        <f>IF(ISBLANK(H127),AVERAGEIF(Table1[[#This Row],[Profession imputed]],T127,Table1[Monthly_Income]),H127)</f>
        <v>46</v>
      </c>
      <c r="V127" s="6" t="str">
        <f>PROPER(TRIM(Table1[AI_Tool]))</f>
        <v>Chat Gpt</v>
      </c>
      <c r="W127" s="8">
        <f>IF(ISBLANK(Table1[[#This Row],[Time_Saved_Hours_Per_Week]]),AVERAGEIF(Table1[Satisfaction_Score],Table1[[#This Row],[Satisfaction_Score]],Table1[Time_Saved_Hours_Per_Week]),Table1[[#This Row],[Time_Saved_Hours_Per_Week]])</f>
        <v>5</v>
      </c>
    </row>
    <row r="128" spans="1:23" x14ac:dyDescent="0.25">
      <c r="A128" t="s">
        <v>231</v>
      </c>
      <c r="B128">
        <v>19</v>
      </c>
      <c r="C128" t="s">
        <v>29</v>
      </c>
      <c r="D128" t="s">
        <v>92</v>
      </c>
      <c r="E128" t="s">
        <v>111</v>
      </c>
      <c r="F128" t="s">
        <v>218</v>
      </c>
      <c r="G128" t="s">
        <v>213</v>
      </c>
      <c r="H128">
        <v>48</v>
      </c>
      <c r="I128" t="s">
        <v>1186</v>
      </c>
      <c r="J128" s="6" t="s">
        <v>124</v>
      </c>
      <c r="K128" s="15">
        <v>1.7</v>
      </c>
      <c r="L128" s="5">
        <v>30</v>
      </c>
      <c r="M128" s="15">
        <v>4.9000000000000004</v>
      </c>
      <c r="N128">
        <v>3</v>
      </c>
      <c r="O128">
        <v>5</v>
      </c>
      <c r="P128">
        <v>1.9</v>
      </c>
      <c r="Q128">
        <v>4.3</v>
      </c>
      <c r="R128" s="2">
        <f>IF(ISBLANK(Table1[[#This Row],[Age]]),AVERAGE(Table1[Age]),Table1[[#This Row],[Age]])</f>
        <v>19</v>
      </c>
      <c r="S128" t="str">
        <f>PROPER(Table1[[#This Row],[Country]])</f>
        <v>Canada</v>
      </c>
      <c r="T128" t="str">
        <f>TRIM(Table1[[#This Row],[Profession]])</f>
        <v>Business Administration Student</v>
      </c>
      <c r="U128" s="5">
        <f>IF(ISBLANK(H128),AVERAGEIF(Table1[Profession imputed],T128,Table1[Monthly_Income]),H128)</f>
        <v>48</v>
      </c>
      <c r="V128" s="6" t="str">
        <f>PROPER(TRIM(Table1[AI_Tool]))</f>
        <v>Google Gemini</v>
      </c>
      <c r="W128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129" spans="1:23" x14ac:dyDescent="0.25">
      <c r="A129" t="s">
        <v>223</v>
      </c>
      <c r="B129">
        <v>19</v>
      </c>
      <c r="C129" t="s">
        <v>29</v>
      </c>
      <c r="D129" t="s">
        <v>92</v>
      </c>
      <c r="E129" t="s">
        <v>111</v>
      </c>
      <c r="F129" t="s">
        <v>218</v>
      </c>
      <c r="G129" t="s">
        <v>213</v>
      </c>
      <c r="H129">
        <v>50</v>
      </c>
      <c r="I129" t="s">
        <v>1186</v>
      </c>
      <c r="J129" s="6" t="s">
        <v>124</v>
      </c>
      <c r="K129" s="15">
        <v>1.7</v>
      </c>
      <c r="L129" s="5">
        <v>30</v>
      </c>
      <c r="M129" s="15">
        <v>4.9000000000000004</v>
      </c>
      <c r="N129">
        <v>3</v>
      </c>
      <c r="O129">
        <v>5</v>
      </c>
      <c r="P129">
        <v>1.9</v>
      </c>
      <c r="Q129">
        <v>4.3</v>
      </c>
      <c r="R129" s="2">
        <f>IF(ISBLANK(Table1[[#This Row],[Age]]),AVERAGE(Table1[Age]),Table1[[#This Row],[Age]])</f>
        <v>19</v>
      </c>
      <c r="S129" t="str">
        <f>PROPER(Table1[[#This Row],[Country]])</f>
        <v>Canada</v>
      </c>
      <c r="T129" t="str">
        <f>TRIM(Table1[[#This Row],[Profession]])</f>
        <v>Business Administration Student</v>
      </c>
      <c r="U129" s="5">
        <f>IF(ISBLANK(H129),AVERAGEIF(Table1[Profession imputed],T129,Table1[Monthly_Income]),H129)</f>
        <v>50</v>
      </c>
      <c r="V129" s="6" t="str">
        <f>PROPER(TRIM(Table1[AI_Tool]))</f>
        <v>Google Gemini</v>
      </c>
      <c r="W129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130" spans="1:23" x14ac:dyDescent="0.25">
      <c r="A130" t="s">
        <v>286</v>
      </c>
      <c r="B130">
        <v>23</v>
      </c>
      <c r="C130" t="s">
        <v>22</v>
      </c>
      <c r="D130" t="s">
        <v>52</v>
      </c>
      <c r="E130" t="s">
        <v>111</v>
      </c>
      <c r="F130" t="s">
        <v>218</v>
      </c>
      <c r="G130" t="s">
        <v>270</v>
      </c>
      <c r="H130">
        <v>50</v>
      </c>
      <c r="I130" t="s">
        <v>37</v>
      </c>
      <c r="J130" s="6" t="s">
        <v>33</v>
      </c>
      <c r="K130" s="15">
        <v>9.8000000000000007</v>
      </c>
      <c r="L130" s="5">
        <v>0</v>
      </c>
      <c r="M130" s="15">
        <v>9.1</v>
      </c>
      <c r="N130">
        <v>4</v>
      </c>
      <c r="O130">
        <v>9</v>
      </c>
      <c r="P130">
        <v>15.8</v>
      </c>
      <c r="Q130">
        <v>5.2</v>
      </c>
      <c r="R130" s="2">
        <f>IF(ISBLANK(Table1[[#This Row],[Age]]),AVERAGE(Table1[Age]),Table1[[#This Row],[Age]])</f>
        <v>23</v>
      </c>
      <c r="S130" t="str">
        <f>PROPER(Table1[[#This Row],[Country]])</f>
        <v>India</v>
      </c>
      <c r="T130" t="str">
        <f>TRIM(Table1[[#This Row],[Profession]])</f>
        <v>Computer Science Student</v>
      </c>
      <c r="U130" s="5">
        <f>IF(ISBLANK(H130),AVERAGEIF(Table1[Profession imputed],T130,Table1[Monthly_Income]),H130)</f>
        <v>50</v>
      </c>
      <c r="V130" s="6" t="str">
        <f>PROPER(TRIM(Table1[AI_Tool]))</f>
        <v>Grammarly</v>
      </c>
      <c r="W130" s="8">
        <f>IF(ISBLANK(Table1[[#This Row],[Time_Saved_Hours_Per_Week]]),AVERAGEIF(Table1[Satisfaction_Score],Table1[[#This Row],[Satisfaction_Score]],Table1[Time_Saved_Hours_Per_Week]),Table1[[#This Row],[Time_Saved_Hours_Per_Week]])</f>
        <v>15.8</v>
      </c>
    </row>
    <row r="131" spans="1:23" x14ac:dyDescent="0.25">
      <c r="A131" t="s">
        <v>308</v>
      </c>
      <c r="B131">
        <v>21</v>
      </c>
      <c r="C131" t="s">
        <v>22</v>
      </c>
      <c r="D131" t="s">
        <v>52</v>
      </c>
      <c r="E131" t="s">
        <v>111</v>
      </c>
      <c r="F131" t="s">
        <v>218</v>
      </c>
      <c r="G131" t="s">
        <v>270</v>
      </c>
      <c r="H131">
        <v>52</v>
      </c>
      <c r="I131" t="s">
        <v>37</v>
      </c>
      <c r="J131" s="6" t="s">
        <v>33</v>
      </c>
      <c r="K131" s="15">
        <v>9.8000000000000007</v>
      </c>
      <c r="L131" s="5">
        <v>0</v>
      </c>
      <c r="M131" s="15">
        <v>9.1</v>
      </c>
      <c r="N131">
        <v>4</v>
      </c>
      <c r="O131">
        <v>9</v>
      </c>
      <c r="P131">
        <v>15.8</v>
      </c>
      <c r="Q131">
        <v>5.2</v>
      </c>
      <c r="R131" s="2">
        <f>IF(ISBLANK(Table1[[#This Row],[Age]]),AVERAGE(Table1[Age]),Table1[[#This Row],[Age]])</f>
        <v>21</v>
      </c>
      <c r="S131" t="str">
        <f>PROPER(Table1[[#This Row],[Country]])</f>
        <v>India</v>
      </c>
      <c r="T131" t="str">
        <f>TRIM(Table1[[#This Row],[Profession]])</f>
        <v>Computer Science Student</v>
      </c>
      <c r="U131" s="5">
        <f>IF(ISBLANK(H131),AVERAGEIF(Table1[Profession imputed],T131,Table1[Monthly_Income]),H131)</f>
        <v>52</v>
      </c>
      <c r="V131" s="6" t="str">
        <f>PROPER(TRIM(Table1[AI_Tool]))</f>
        <v>Grammarly</v>
      </c>
      <c r="W131" s="8">
        <f>IF(ISBLANK(Table1[[#This Row],[Time_Saved_Hours_Per_Week]]),AVERAGEIF(Table1[Satisfaction_Score],Table1[[#This Row],[Satisfaction_Score]],Table1[Time_Saved_Hours_Per_Week]),Table1[[#This Row],[Time_Saved_Hours_Per_Week]])</f>
        <v>15.8</v>
      </c>
    </row>
    <row r="132" spans="1:23" x14ac:dyDescent="0.25">
      <c r="A132" t="s">
        <v>755</v>
      </c>
      <c r="B132">
        <v>20</v>
      </c>
      <c r="C132" t="s">
        <v>29</v>
      </c>
      <c r="D132" t="s">
        <v>57</v>
      </c>
      <c r="E132" t="s">
        <v>111</v>
      </c>
      <c r="F132" t="s">
        <v>132</v>
      </c>
      <c r="G132" t="s">
        <v>671</v>
      </c>
      <c r="H132">
        <v>54</v>
      </c>
      <c r="I132" t="s">
        <v>271</v>
      </c>
      <c r="J132" s="6" t="s">
        <v>38</v>
      </c>
      <c r="K132" s="15">
        <v>6.3</v>
      </c>
      <c r="L132" s="5">
        <v>0</v>
      </c>
      <c r="M132" s="15">
        <v>8.8000000000000007</v>
      </c>
      <c r="N132">
        <v>3</v>
      </c>
      <c r="O132">
        <v>8</v>
      </c>
      <c r="P132">
        <v>10</v>
      </c>
      <c r="Q132">
        <v>7.3</v>
      </c>
      <c r="R132" s="2">
        <f>IF(ISBLANK(Table1[[#This Row],[Age]]),AVERAGE(Table1[Age]),Table1[[#This Row],[Age]])</f>
        <v>20</v>
      </c>
      <c r="S132" t="str">
        <f>PROPER(Table1[[#This Row],[Country]])</f>
        <v>Pakistan</v>
      </c>
      <c r="T132" t="str">
        <f>TRIM(Table1[[#This Row],[Profession]])</f>
        <v>English Literature Student</v>
      </c>
      <c r="U132" s="5">
        <f>IF(ISBLANK(H132),AVERAGEIF(Table1[[#This Row],[Profession imputed]],T132,Table1[Monthly_Income]),H132)</f>
        <v>54</v>
      </c>
      <c r="V132" s="6" t="str">
        <f>PROPER(TRIM(Table1[AI_Tool]))</f>
        <v>Chat Gpt</v>
      </c>
      <c r="W132" s="8">
        <f>IF(ISBLANK(Table1[[#This Row],[Time_Saved_Hours_Per_Week]]),AVERAGEIF(Table1[Satisfaction_Score],Table1[[#This Row],[Satisfaction_Score]],Table1[Time_Saved_Hours_Per_Week]),Table1[[#This Row],[Time_Saved_Hours_Per_Week]])</f>
        <v>10</v>
      </c>
    </row>
    <row r="133" spans="1:23" x14ac:dyDescent="0.25">
      <c r="A133" t="s">
        <v>857</v>
      </c>
      <c r="B133">
        <v>26</v>
      </c>
      <c r="C133" t="s">
        <v>29</v>
      </c>
      <c r="D133" t="s">
        <v>57</v>
      </c>
      <c r="E133" t="s">
        <v>111</v>
      </c>
      <c r="F133" t="s">
        <v>132</v>
      </c>
      <c r="G133" t="s">
        <v>851</v>
      </c>
      <c r="H133">
        <v>54</v>
      </c>
      <c r="I133" t="s">
        <v>271</v>
      </c>
      <c r="J133" s="6" t="s">
        <v>130</v>
      </c>
      <c r="K133" s="15">
        <v>2.7</v>
      </c>
      <c r="L133" s="5">
        <v>20</v>
      </c>
      <c r="M133" s="15">
        <v>0</v>
      </c>
      <c r="N133">
        <v>3</v>
      </c>
      <c r="O133">
        <v>5</v>
      </c>
      <c r="P133">
        <v>5</v>
      </c>
      <c r="Q133">
        <v>6.9</v>
      </c>
      <c r="R133" s="2">
        <f>IF(ISBLANK(Table1[[#This Row],[Age]]),AVERAGE(Table1[Age]),Table1[[#This Row],[Age]])</f>
        <v>26</v>
      </c>
      <c r="S133" t="str">
        <f>PROPER(Table1[[#This Row],[Country]])</f>
        <v>Pakistan</v>
      </c>
      <c r="T133" t="str">
        <f>TRIM(Table1[[#This Row],[Profession]])</f>
        <v>Mechanical Engineering Student</v>
      </c>
      <c r="U133" s="5">
        <f>IF(ISBLANK(H133),AVERAGEIF(Table1[[#This Row],[Profession imputed]],T133,Table1[Monthly_Income]),H133)</f>
        <v>54</v>
      </c>
      <c r="V133" s="6" t="str">
        <f>PROPER(TRIM(Table1[AI_Tool]))</f>
        <v>Chat Gpt</v>
      </c>
      <c r="W133" s="8">
        <f>IF(ISBLANK(Table1[[#This Row],[Time_Saved_Hours_Per_Week]]),AVERAGEIF(Table1[Satisfaction_Score],Table1[[#This Row],[Satisfaction_Score]],Table1[Time_Saved_Hours_Per_Week]),Table1[[#This Row],[Time_Saved_Hours_Per_Week]])</f>
        <v>5</v>
      </c>
    </row>
    <row r="134" spans="1:23" x14ac:dyDescent="0.25">
      <c r="A134" t="s">
        <v>200</v>
      </c>
      <c r="B134">
        <v>26</v>
      </c>
      <c r="C134" t="s">
        <v>22</v>
      </c>
      <c r="D134" t="s">
        <v>52</v>
      </c>
      <c r="E134" t="s">
        <v>111</v>
      </c>
      <c r="F134" t="s">
        <v>31</v>
      </c>
      <c r="G134" t="s">
        <v>198</v>
      </c>
      <c r="H134">
        <v>55</v>
      </c>
      <c r="I134" t="s">
        <v>37</v>
      </c>
      <c r="J134" s="6" t="s">
        <v>124</v>
      </c>
      <c r="K134" s="15">
        <v>3.4</v>
      </c>
      <c r="L134" s="5">
        <v>50</v>
      </c>
      <c r="M134" s="15">
        <v>4.9000000000000004</v>
      </c>
      <c r="N134">
        <v>4</v>
      </c>
      <c r="O134">
        <v>8</v>
      </c>
      <c r="P134">
        <v>7.2</v>
      </c>
      <c r="Q134">
        <v>8</v>
      </c>
      <c r="R134" s="2">
        <f>IF(ISBLANK(Table1[[#This Row],[Age]]),AVERAGE(Table1[Age]),Table1[[#This Row],[Age]])</f>
        <v>26</v>
      </c>
      <c r="S134" t="str">
        <f>PROPER(Table1[[#This Row],[Country]])</f>
        <v>India</v>
      </c>
      <c r="T134" t="str">
        <f>TRIM(Table1[[#This Row],[Profession]])</f>
        <v>Biotechnology PhD Student</v>
      </c>
      <c r="U134" s="5">
        <f>IF(ISBLANK(H134),AVERAGEIF(Table1[Profession imputed],T134,Table1[Monthly_Income]),H134)</f>
        <v>55</v>
      </c>
      <c r="V134" s="6" t="str">
        <f>PROPER(TRIM(Table1[AI_Tool]))</f>
        <v>Grammarly</v>
      </c>
      <c r="W134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135" spans="1:23" x14ac:dyDescent="0.25">
      <c r="A135" t="s">
        <v>217</v>
      </c>
      <c r="B135">
        <v>18</v>
      </c>
      <c r="C135" t="s">
        <v>29</v>
      </c>
      <c r="D135" t="s">
        <v>92</v>
      </c>
      <c r="E135" t="s">
        <v>111</v>
      </c>
      <c r="F135" t="s">
        <v>218</v>
      </c>
      <c r="G135" t="s">
        <v>213</v>
      </c>
      <c r="H135">
        <v>56</v>
      </c>
      <c r="I135" t="s">
        <v>1186</v>
      </c>
      <c r="J135" s="6" t="s">
        <v>124</v>
      </c>
      <c r="K135" s="15">
        <v>1.7</v>
      </c>
      <c r="L135" s="5">
        <v>30</v>
      </c>
      <c r="M135" s="15">
        <v>4.9000000000000004</v>
      </c>
      <c r="N135">
        <v>3</v>
      </c>
      <c r="O135">
        <v>5</v>
      </c>
      <c r="P135">
        <v>1.9</v>
      </c>
      <c r="Q135">
        <v>4.3</v>
      </c>
      <c r="R135" s="2">
        <f>IF(ISBLANK(Table1[[#This Row],[Age]]),AVERAGE(Table1[Age]),Table1[[#This Row],[Age]])</f>
        <v>18</v>
      </c>
      <c r="S135" t="str">
        <f>PROPER(Table1[[#This Row],[Country]])</f>
        <v>Canada</v>
      </c>
      <c r="T135" t="str">
        <f>TRIM(Table1[[#This Row],[Profession]])</f>
        <v>Business Administration Student</v>
      </c>
      <c r="U135" s="5">
        <f>IF(ISBLANK(H135),AVERAGEIF(Table1[Profession imputed],T135,Table1[Monthly_Income]),H135)</f>
        <v>56</v>
      </c>
      <c r="V135" s="6" t="str">
        <f>PROPER(TRIM(Table1[AI_Tool]))</f>
        <v>Google Gemini</v>
      </c>
      <c r="W135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136" spans="1:23" x14ac:dyDescent="0.25">
      <c r="A136" t="s">
        <v>225</v>
      </c>
      <c r="B136">
        <v>18</v>
      </c>
      <c r="C136" t="s">
        <v>29</v>
      </c>
      <c r="D136" t="s">
        <v>92</v>
      </c>
      <c r="E136" t="s">
        <v>111</v>
      </c>
      <c r="F136" t="s">
        <v>218</v>
      </c>
      <c r="G136" t="s">
        <v>213</v>
      </c>
      <c r="H136">
        <v>56</v>
      </c>
      <c r="I136" t="s">
        <v>1186</v>
      </c>
      <c r="J136" s="6" t="s">
        <v>124</v>
      </c>
      <c r="K136" s="15">
        <v>1.7</v>
      </c>
      <c r="L136" s="5">
        <v>30</v>
      </c>
      <c r="M136" s="15">
        <v>4.9000000000000004</v>
      </c>
      <c r="N136">
        <v>3</v>
      </c>
      <c r="O136">
        <v>5</v>
      </c>
      <c r="P136">
        <v>1.9</v>
      </c>
      <c r="Q136">
        <v>4.3</v>
      </c>
      <c r="R136" s="2">
        <f>IF(ISBLANK(Table1[[#This Row],[Age]]),AVERAGE(Table1[Age]),Table1[[#This Row],[Age]])</f>
        <v>18</v>
      </c>
      <c r="S136" t="str">
        <f>PROPER(Table1[[#This Row],[Country]])</f>
        <v>Canada</v>
      </c>
      <c r="T136" t="str">
        <f>TRIM(Table1[[#This Row],[Profession]])</f>
        <v>Business Administration Student</v>
      </c>
      <c r="U136" s="5">
        <f>IF(ISBLANK(H136),AVERAGEIF(Table1[Profession imputed],T136,Table1[Monthly_Income]),H136)</f>
        <v>56</v>
      </c>
      <c r="V136" s="6" t="str">
        <f>PROPER(TRIM(Table1[AI_Tool]))</f>
        <v>Google Gemini</v>
      </c>
      <c r="W136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137" spans="1:23" x14ac:dyDescent="0.25">
      <c r="A137" t="s">
        <v>728</v>
      </c>
      <c r="B137">
        <v>19</v>
      </c>
      <c r="C137" t="s">
        <v>29</v>
      </c>
      <c r="D137" t="s">
        <v>73</v>
      </c>
      <c r="E137" t="s">
        <v>111</v>
      </c>
      <c r="F137" t="s">
        <v>50</v>
      </c>
      <c r="G137" t="s">
        <v>671</v>
      </c>
      <c r="H137">
        <v>56</v>
      </c>
      <c r="I137" t="s">
        <v>271</v>
      </c>
      <c r="J137" s="6" t="s">
        <v>38</v>
      </c>
      <c r="K137" s="15">
        <v>3</v>
      </c>
      <c r="L137" s="5">
        <v>25</v>
      </c>
      <c r="M137" s="15">
        <v>4.5</v>
      </c>
      <c r="N137">
        <v>4</v>
      </c>
      <c r="O137">
        <v>7</v>
      </c>
      <c r="P137">
        <v>4.9000000000000004</v>
      </c>
      <c r="Q137">
        <v>8.4</v>
      </c>
      <c r="R137" s="2">
        <f>IF(ISBLANK(Table1[[#This Row],[Age]]),AVERAGE(Table1[Age]),Table1[[#This Row],[Age]])</f>
        <v>19</v>
      </c>
      <c r="S137" t="str">
        <f>PROPER(Table1[[#This Row],[Country]])</f>
        <v>Unknown</v>
      </c>
      <c r="T137" t="str">
        <f>TRIM(Table1[[#This Row],[Profession]])</f>
        <v>English Literature Student</v>
      </c>
      <c r="U137" s="5">
        <f>IF(ISBLANK(H137),AVERAGEIF(Table1[[#This Row],[Profession imputed]],T137,Table1[Monthly_Income]),H137)</f>
        <v>56</v>
      </c>
      <c r="V137" s="6" t="str">
        <f>PROPER(TRIM(Table1[AI_Tool]))</f>
        <v>Chat Gpt</v>
      </c>
      <c r="W137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138" spans="1:23" x14ac:dyDescent="0.25">
      <c r="A138" t="s">
        <v>871</v>
      </c>
      <c r="B138">
        <v>26</v>
      </c>
      <c r="C138" t="s">
        <v>29</v>
      </c>
      <c r="D138" t="s">
        <v>57</v>
      </c>
      <c r="E138" t="s">
        <v>111</v>
      </c>
      <c r="F138" t="s">
        <v>218</v>
      </c>
      <c r="G138" t="s">
        <v>851</v>
      </c>
      <c r="H138">
        <v>56</v>
      </c>
      <c r="I138" t="s">
        <v>271</v>
      </c>
      <c r="J138" s="6" t="s">
        <v>130</v>
      </c>
      <c r="K138" s="15">
        <v>2.7</v>
      </c>
      <c r="L138" s="5">
        <v>20</v>
      </c>
      <c r="M138" s="15">
        <v>0</v>
      </c>
      <c r="N138">
        <v>3</v>
      </c>
      <c r="O138">
        <v>5</v>
      </c>
      <c r="P138">
        <v>5</v>
      </c>
      <c r="Q138">
        <v>6.9</v>
      </c>
      <c r="R138" s="2">
        <f>IF(ISBLANK(Table1[[#This Row],[Age]]),AVERAGE(Table1[Age]),Table1[[#This Row],[Age]])</f>
        <v>26</v>
      </c>
      <c r="S138" t="str">
        <f>PROPER(Table1[[#This Row],[Country]])</f>
        <v>Pakistan</v>
      </c>
      <c r="T138" t="str">
        <f>TRIM(Table1[[#This Row],[Profession]])</f>
        <v>Mechanical Engineering Student</v>
      </c>
      <c r="U138" s="5">
        <f>IF(ISBLANK(H138),AVERAGEIF(Table1[[#This Row],[Profession imputed]],T138,Table1[Monthly_Income]),H138)</f>
        <v>56</v>
      </c>
      <c r="V138" s="6" t="str">
        <f>PROPER(TRIM(Table1[AI_Tool]))</f>
        <v>Chat Gpt</v>
      </c>
      <c r="W138" s="8">
        <f>IF(ISBLANK(Table1[[#This Row],[Time_Saved_Hours_Per_Week]]),AVERAGEIF(Table1[Satisfaction_Score],Table1[[#This Row],[Satisfaction_Score]],Table1[Time_Saved_Hours_Per_Week]),Table1[[#This Row],[Time_Saved_Hours_Per_Week]])</f>
        <v>5</v>
      </c>
    </row>
    <row r="139" spans="1:23" x14ac:dyDescent="0.25">
      <c r="A139" t="s">
        <v>1165</v>
      </c>
      <c r="B139">
        <v>16</v>
      </c>
      <c r="C139" t="s">
        <v>22</v>
      </c>
      <c r="D139" t="s">
        <v>73</v>
      </c>
      <c r="E139" t="s">
        <v>111</v>
      </c>
      <c r="F139" t="s">
        <v>132</v>
      </c>
      <c r="G139" t="s">
        <v>73</v>
      </c>
      <c r="H139">
        <v>56</v>
      </c>
      <c r="I139" t="s">
        <v>69</v>
      </c>
      <c r="J139" s="6" t="s">
        <v>130</v>
      </c>
      <c r="K139" s="15">
        <v>1.9</v>
      </c>
      <c r="L139" s="5">
        <v>0</v>
      </c>
      <c r="M139" s="15">
        <v>3.5</v>
      </c>
      <c r="N139">
        <v>3</v>
      </c>
      <c r="O139">
        <v>5</v>
      </c>
      <c r="P139">
        <v>3</v>
      </c>
      <c r="Q139">
        <v>5.4</v>
      </c>
      <c r="R139" s="2">
        <f>IF(ISBLANK(Table1[[#This Row],[Age]]),AVERAGE(Table1[Age]),Table1[[#This Row],[Age]])</f>
        <v>16</v>
      </c>
      <c r="S139" t="str">
        <f>PROPER(Table1[[#This Row],[Country]])</f>
        <v>Unknown</v>
      </c>
      <c r="T139" t="str">
        <f>TRIM(Table1[[#This Row],[Profession]])</f>
        <v>UNKNOWN</v>
      </c>
      <c r="U139" s="5">
        <f>IF(ISBLANK(H139),AVERAGEIF(Table1[[#This Row],[Profession imputed]],T139,Table1[Monthly_Income]),H139)</f>
        <v>56</v>
      </c>
      <c r="V139" s="6" t="str">
        <f>PROPER(TRIM(Table1[AI_Tool]))</f>
        <v>Perplexity Ai</v>
      </c>
      <c r="W139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140" spans="1:23" x14ac:dyDescent="0.25">
      <c r="A140" t="s">
        <v>228</v>
      </c>
      <c r="B140">
        <v>17</v>
      </c>
      <c r="C140" t="s">
        <v>29</v>
      </c>
      <c r="D140" t="s">
        <v>92</v>
      </c>
      <c r="E140" t="s">
        <v>111</v>
      </c>
      <c r="F140" t="s">
        <v>218</v>
      </c>
      <c r="G140" t="s">
        <v>213</v>
      </c>
      <c r="H140">
        <v>57</v>
      </c>
      <c r="I140" t="s">
        <v>1186</v>
      </c>
      <c r="J140" s="6" t="s">
        <v>124</v>
      </c>
      <c r="K140" s="15">
        <v>1.7</v>
      </c>
      <c r="L140" s="5">
        <v>30</v>
      </c>
      <c r="M140" s="15">
        <v>4.9000000000000004</v>
      </c>
      <c r="N140">
        <v>3</v>
      </c>
      <c r="O140">
        <v>5</v>
      </c>
      <c r="P140">
        <v>1.9</v>
      </c>
      <c r="Q140">
        <v>4.3</v>
      </c>
      <c r="R140" s="2">
        <f>IF(ISBLANK(Table1[[#This Row],[Age]]),AVERAGE(Table1[Age]),Table1[[#This Row],[Age]])</f>
        <v>17</v>
      </c>
      <c r="S140" t="str">
        <f>PROPER(Table1[[#This Row],[Country]])</f>
        <v>Canada</v>
      </c>
      <c r="T140" t="str">
        <f>TRIM(Table1[[#This Row],[Profession]])</f>
        <v>Business Administration Student</v>
      </c>
      <c r="U140" s="5">
        <f>IF(ISBLANK(H140),AVERAGEIF(Table1[Profession imputed],T140,Table1[Monthly_Income]),H140)</f>
        <v>57</v>
      </c>
      <c r="V140" s="6" t="str">
        <f>PROPER(TRIM(Table1[AI_Tool]))</f>
        <v>Google Gemini</v>
      </c>
      <c r="W140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141" spans="1:23" x14ac:dyDescent="0.25">
      <c r="A141" t="s">
        <v>687</v>
      </c>
      <c r="B141">
        <v>19</v>
      </c>
      <c r="C141" t="s">
        <v>29</v>
      </c>
      <c r="D141" t="s">
        <v>57</v>
      </c>
      <c r="E141" t="s">
        <v>111</v>
      </c>
      <c r="F141" t="s">
        <v>132</v>
      </c>
      <c r="G141" t="s">
        <v>671</v>
      </c>
      <c r="H141">
        <v>58</v>
      </c>
      <c r="I141" t="s">
        <v>271</v>
      </c>
      <c r="J141" s="6" t="s">
        <v>38</v>
      </c>
      <c r="K141" s="15">
        <v>6.3</v>
      </c>
      <c r="L141" s="5">
        <v>0</v>
      </c>
      <c r="M141" s="15">
        <v>8.8000000000000007</v>
      </c>
      <c r="N141">
        <v>3</v>
      </c>
      <c r="O141">
        <v>8</v>
      </c>
      <c r="P141">
        <v>10</v>
      </c>
      <c r="Q141">
        <v>7.3</v>
      </c>
      <c r="R141" s="2">
        <f>IF(ISBLANK(Table1[[#This Row],[Age]]),AVERAGE(Table1[Age]),Table1[[#This Row],[Age]])</f>
        <v>19</v>
      </c>
      <c r="S141" t="str">
        <f>PROPER(Table1[[#This Row],[Country]])</f>
        <v>Pakistan</v>
      </c>
      <c r="T141" t="str">
        <f>TRIM(Table1[[#This Row],[Profession]])</f>
        <v>English Literature Student</v>
      </c>
      <c r="U141" s="5">
        <f>IF(ISBLANK(H141),AVERAGEIF(Table1[[#This Row],[Profession imputed]],T141,Table1[Monthly_Income]),H141)</f>
        <v>58</v>
      </c>
      <c r="V141" s="6" t="str">
        <f>PROPER(TRIM(Table1[AI_Tool]))</f>
        <v>Chat Gpt</v>
      </c>
      <c r="W141" s="8">
        <f>IF(ISBLANK(Table1[[#This Row],[Time_Saved_Hours_Per_Week]]),AVERAGEIF(Table1[Satisfaction_Score],Table1[[#This Row],[Satisfaction_Score]],Table1[Time_Saved_Hours_Per_Week]),Table1[[#This Row],[Time_Saved_Hours_Per_Week]])</f>
        <v>10</v>
      </c>
    </row>
    <row r="142" spans="1:23" x14ac:dyDescent="0.25">
      <c r="A142" t="s">
        <v>742</v>
      </c>
      <c r="B142">
        <v>22</v>
      </c>
      <c r="C142" t="s">
        <v>29</v>
      </c>
      <c r="D142" t="s">
        <v>35</v>
      </c>
      <c r="E142" t="s">
        <v>111</v>
      </c>
      <c r="F142" t="s">
        <v>50</v>
      </c>
      <c r="G142" t="s">
        <v>671</v>
      </c>
      <c r="H142">
        <v>58</v>
      </c>
      <c r="I142" t="s">
        <v>58</v>
      </c>
      <c r="J142" s="6" t="s">
        <v>38</v>
      </c>
      <c r="K142" s="15">
        <v>3</v>
      </c>
      <c r="L142" s="5">
        <v>0</v>
      </c>
      <c r="M142" s="15">
        <v>7</v>
      </c>
      <c r="N142">
        <v>4</v>
      </c>
      <c r="O142">
        <v>9</v>
      </c>
      <c r="P142">
        <v>10.5</v>
      </c>
      <c r="Q142">
        <v>6.4</v>
      </c>
      <c r="R142" s="2">
        <f>IF(ISBLANK(Table1[[#This Row],[Age]]),AVERAGE(Table1[Age]),Table1[[#This Row],[Age]])</f>
        <v>22</v>
      </c>
      <c r="S142" t="str">
        <f>PROPER(Table1[[#This Row],[Country]])</f>
        <v>Philippines</v>
      </c>
      <c r="T142" t="str">
        <f>TRIM(Table1[[#This Row],[Profession]])</f>
        <v>English Literature Student</v>
      </c>
      <c r="U142" s="5">
        <f>IF(ISBLANK(H142),AVERAGEIF(Table1[[#This Row],[Profession imputed]],T142,Table1[Monthly_Income]),H142)</f>
        <v>58</v>
      </c>
      <c r="V142" s="6" t="str">
        <f>PROPER(TRIM(Table1[AI_Tool]))</f>
        <v>Claude</v>
      </c>
      <c r="W142" s="8">
        <f>IF(ISBLANK(Table1[[#This Row],[Time_Saved_Hours_Per_Week]]),AVERAGEIF(Table1[Satisfaction_Score],Table1[[#This Row],[Satisfaction_Score]],Table1[Time_Saved_Hours_Per_Week]),Table1[[#This Row],[Time_Saved_Hours_Per_Week]])</f>
        <v>10.5</v>
      </c>
    </row>
    <row r="143" spans="1:23" x14ac:dyDescent="0.25">
      <c r="A143" t="s">
        <v>680</v>
      </c>
      <c r="B143">
        <v>21</v>
      </c>
      <c r="C143" t="s">
        <v>29</v>
      </c>
      <c r="D143" t="s">
        <v>73</v>
      </c>
      <c r="E143" t="s">
        <v>111</v>
      </c>
      <c r="F143" t="s">
        <v>50</v>
      </c>
      <c r="G143" t="s">
        <v>671</v>
      </c>
      <c r="H143">
        <v>59</v>
      </c>
      <c r="I143" t="s">
        <v>271</v>
      </c>
      <c r="J143" s="6" t="s">
        <v>38</v>
      </c>
      <c r="K143" s="15">
        <v>3</v>
      </c>
      <c r="L143" s="5">
        <v>25</v>
      </c>
      <c r="M143" s="15">
        <v>4.5</v>
      </c>
      <c r="N143">
        <v>4</v>
      </c>
      <c r="O143">
        <v>7</v>
      </c>
      <c r="P143">
        <v>4.9000000000000004</v>
      </c>
      <c r="Q143">
        <v>8.4</v>
      </c>
      <c r="R143" s="2">
        <f>IF(ISBLANK(Table1[[#This Row],[Age]]),AVERAGE(Table1[Age]),Table1[[#This Row],[Age]])</f>
        <v>21</v>
      </c>
      <c r="S143" t="str">
        <f>PROPER(Table1[[#This Row],[Country]])</f>
        <v>Unknown</v>
      </c>
      <c r="T143" t="str">
        <f>TRIM(Table1[[#This Row],[Profession]])</f>
        <v>English Literature Student</v>
      </c>
      <c r="U143" s="5">
        <f>IF(ISBLANK(H143),AVERAGEIF(Table1[[#This Row],[Profession imputed]],T143,Table1[Monthly_Income]),H143)</f>
        <v>59</v>
      </c>
      <c r="V143" s="6" t="str">
        <f>PROPER(TRIM(Table1[AI_Tool]))</f>
        <v>Chat Gpt</v>
      </c>
      <c r="W143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144" spans="1:23" x14ac:dyDescent="0.25">
      <c r="A144" t="s">
        <v>197</v>
      </c>
      <c r="B144">
        <v>25</v>
      </c>
      <c r="C144" t="s">
        <v>22</v>
      </c>
      <c r="D144" t="s">
        <v>52</v>
      </c>
      <c r="E144" t="s">
        <v>111</v>
      </c>
      <c r="F144" t="s">
        <v>31</v>
      </c>
      <c r="G144" t="s">
        <v>198</v>
      </c>
      <c r="H144">
        <v>60</v>
      </c>
      <c r="I144" t="s">
        <v>37</v>
      </c>
      <c r="J144" s="6" t="s">
        <v>124</v>
      </c>
      <c r="K144" s="15">
        <v>3.4</v>
      </c>
      <c r="L144" s="5">
        <v>50</v>
      </c>
      <c r="M144" s="15">
        <v>4.9000000000000004</v>
      </c>
      <c r="N144">
        <v>4</v>
      </c>
      <c r="O144">
        <v>8</v>
      </c>
      <c r="P144">
        <v>7.2</v>
      </c>
      <c r="Q144">
        <v>8</v>
      </c>
      <c r="R144" s="2">
        <f>IF(ISBLANK(Table1[[#This Row],[Age]]),AVERAGE(Table1[Age]),Table1[[#This Row],[Age]])</f>
        <v>25</v>
      </c>
      <c r="S144" t="str">
        <f>PROPER(Table1[[#This Row],[Country]])</f>
        <v>India</v>
      </c>
      <c r="T144" t="str">
        <f>TRIM(Table1[[#This Row],[Profession]])</f>
        <v>Biotechnology PhD Student</v>
      </c>
      <c r="U144" s="5">
        <f>IF(ISBLANK(H144),AVERAGEIF(Table1[Profession imputed],T144,Table1[Monthly_Income]),H144)</f>
        <v>60</v>
      </c>
      <c r="V144" s="6" t="str">
        <f>PROPER(TRIM(Table1[AI_Tool]))</f>
        <v>Grammarly</v>
      </c>
      <c r="W144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145" spans="1:23" x14ac:dyDescent="0.25">
      <c r="A145" t="s">
        <v>718</v>
      </c>
      <c r="B145">
        <v>20</v>
      </c>
      <c r="C145" t="s">
        <v>29</v>
      </c>
      <c r="D145" t="s">
        <v>57</v>
      </c>
      <c r="E145" t="s">
        <v>111</v>
      </c>
      <c r="F145" t="s">
        <v>132</v>
      </c>
      <c r="G145" t="s">
        <v>671</v>
      </c>
      <c r="H145">
        <v>60</v>
      </c>
      <c r="I145" t="s">
        <v>271</v>
      </c>
      <c r="J145" s="6" t="s">
        <v>38</v>
      </c>
      <c r="K145" s="15">
        <v>6.3</v>
      </c>
      <c r="L145" s="5">
        <v>0</v>
      </c>
      <c r="M145" s="15">
        <v>8.8000000000000007</v>
      </c>
      <c r="N145">
        <v>3</v>
      </c>
      <c r="O145">
        <v>8</v>
      </c>
      <c r="P145">
        <v>10</v>
      </c>
      <c r="Q145">
        <v>7.3</v>
      </c>
      <c r="R145" s="2">
        <f>IF(ISBLANK(Table1[[#This Row],[Age]]),AVERAGE(Table1[Age]),Table1[[#This Row],[Age]])</f>
        <v>20</v>
      </c>
      <c r="S145" t="str">
        <f>PROPER(Table1[[#This Row],[Country]])</f>
        <v>Pakistan</v>
      </c>
      <c r="T145" t="str">
        <f>TRIM(Table1[[#This Row],[Profession]])</f>
        <v>English Literature Student</v>
      </c>
      <c r="U145" s="5">
        <f>IF(ISBLANK(H145),AVERAGEIF(Table1[[#This Row],[Profession imputed]],T145,Table1[Monthly_Income]),H145)</f>
        <v>60</v>
      </c>
      <c r="V145" s="6" t="str">
        <f>PROPER(TRIM(Table1[AI_Tool]))</f>
        <v>Chat Gpt</v>
      </c>
      <c r="W145" s="8">
        <f>IF(ISBLANK(Table1[[#This Row],[Time_Saved_Hours_Per_Week]]),AVERAGEIF(Table1[Satisfaction_Score],Table1[[#This Row],[Satisfaction_Score]],Table1[Time_Saved_Hours_Per_Week]),Table1[[#This Row],[Time_Saved_Hours_Per_Week]])</f>
        <v>10</v>
      </c>
    </row>
    <row r="146" spans="1:23" x14ac:dyDescent="0.25">
      <c r="A146" t="s">
        <v>648</v>
      </c>
      <c r="B146">
        <v>21</v>
      </c>
      <c r="C146" t="s">
        <v>29</v>
      </c>
      <c r="D146" t="s">
        <v>57</v>
      </c>
      <c r="E146" t="s">
        <v>111</v>
      </c>
      <c r="F146" t="s">
        <v>50</v>
      </c>
      <c r="G146" t="s">
        <v>649</v>
      </c>
      <c r="H146">
        <v>62</v>
      </c>
      <c r="I146" t="s">
        <v>271</v>
      </c>
      <c r="J146" s="6" t="s">
        <v>75</v>
      </c>
      <c r="K146" s="15">
        <v>7.2</v>
      </c>
      <c r="L146" s="5">
        <v>10</v>
      </c>
      <c r="M146" s="15">
        <v>6.8</v>
      </c>
      <c r="N146">
        <v>4</v>
      </c>
      <c r="O146">
        <v>7</v>
      </c>
      <c r="P146">
        <v>13.2</v>
      </c>
      <c r="Q146">
        <v>6.1</v>
      </c>
      <c r="R146" s="2">
        <f>IF(ISBLANK(Table1[[#This Row],[Age]]),AVERAGE(Table1[Age]),Table1[[#This Row],[Age]])</f>
        <v>21</v>
      </c>
      <c r="S146" t="str">
        <f>PROPER(Table1[[#This Row],[Country]])</f>
        <v>Pakistan</v>
      </c>
      <c r="T146" t="str">
        <f>TRIM(Table1[[#This Row],[Profession]])</f>
        <v>Digital Media Student</v>
      </c>
      <c r="U146" s="5">
        <f>IF(ISBLANK(H146),AVERAGEIF(Table1[Profession imputed],T146,Table1[Monthly_Income]),H146)</f>
        <v>62</v>
      </c>
      <c r="V146" s="6" t="str">
        <f>PROPER(TRIM(Table1[AI_Tool]))</f>
        <v>Chat Gpt</v>
      </c>
      <c r="W146" s="8">
        <f>IF(ISBLANK(Table1[[#This Row],[Time_Saved_Hours_Per_Week]]),AVERAGEIF(Table1[Satisfaction_Score],Table1[[#This Row],[Satisfaction_Score]],Table1[Time_Saved_Hours_Per_Week]),Table1[[#This Row],[Time_Saved_Hours_Per_Week]])</f>
        <v>13.2</v>
      </c>
    </row>
    <row r="147" spans="1:23" x14ac:dyDescent="0.25">
      <c r="A147" t="s">
        <v>678</v>
      </c>
      <c r="B147">
        <v>24</v>
      </c>
      <c r="C147" t="s">
        <v>29</v>
      </c>
      <c r="D147" t="s">
        <v>35</v>
      </c>
      <c r="E147" t="s">
        <v>111</v>
      </c>
      <c r="F147" t="s">
        <v>50</v>
      </c>
      <c r="G147" t="s">
        <v>671</v>
      </c>
      <c r="H147">
        <v>63</v>
      </c>
      <c r="I147" t="s">
        <v>58</v>
      </c>
      <c r="J147" s="6" t="s">
        <v>38</v>
      </c>
      <c r="K147" s="15">
        <v>3</v>
      </c>
      <c r="L147" s="5">
        <v>0</v>
      </c>
      <c r="M147" s="15">
        <v>7</v>
      </c>
      <c r="N147">
        <v>4</v>
      </c>
      <c r="O147">
        <v>9</v>
      </c>
      <c r="P147">
        <v>10.5</v>
      </c>
      <c r="Q147">
        <v>6.4</v>
      </c>
      <c r="R147" s="2">
        <f>IF(ISBLANK(Table1[[#This Row],[Age]]),AVERAGE(Table1[Age]),Table1[[#This Row],[Age]])</f>
        <v>24</v>
      </c>
      <c r="S147" t="str">
        <f>PROPER(Table1[[#This Row],[Country]])</f>
        <v>Philippines</v>
      </c>
      <c r="T147" t="str">
        <f>TRIM(Table1[[#This Row],[Profession]])</f>
        <v>English Literature Student</v>
      </c>
      <c r="U147" s="5">
        <f>IF(ISBLANK(H147),AVERAGEIF(Table1[[#This Row],[Profession imputed]],T147,Table1[Monthly_Income]),H147)</f>
        <v>63</v>
      </c>
      <c r="V147" s="6" t="str">
        <f>PROPER(TRIM(Table1[AI_Tool]))</f>
        <v>Claude</v>
      </c>
      <c r="W147" s="8">
        <f>IF(ISBLANK(Table1[[#This Row],[Time_Saved_Hours_Per_Week]]),AVERAGEIF(Table1[Satisfaction_Score],Table1[[#This Row],[Satisfaction_Score]],Table1[Time_Saved_Hours_Per_Week]),Table1[[#This Row],[Time_Saved_Hours_Per_Week]])</f>
        <v>10.5</v>
      </c>
    </row>
    <row r="148" spans="1:23" x14ac:dyDescent="0.25">
      <c r="A148" t="s">
        <v>726</v>
      </c>
      <c r="B148">
        <v>24</v>
      </c>
      <c r="C148" t="s">
        <v>29</v>
      </c>
      <c r="D148" t="s">
        <v>35</v>
      </c>
      <c r="E148" t="s">
        <v>111</v>
      </c>
      <c r="F148" t="s">
        <v>50</v>
      </c>
      <c r="G148" t="s">
        <v>671</v>
      </c>
      <c r="H148">
        <v>63</v>
      </c>
      <c r="I148" t="s">
        <v>58</v>
      </c>
      <c r="J148" s="6" t="s">
        <v>38</v>
      </c>
      <c r="K148" s="15">
        <v>3</v>
      </c>
      <c r="L148" s="5">
        <v>0</v>
      </c>
      <c r="M148" s="15">
        <v>7</v>
      </c>
      <c r="N148">
        <v>4</v>
      </c>
      <c r="O148">
        <v>9</v>
      </c>
      <c r="P148">
        <v>10.5</v>
      </c>
      <c r="Q148">
        <v>6.4</v>
      </c>
      <c r="R148" s="2">
        <f>IF(ISBLANK(Table1[[#This Row],[Age]]),AVERAGE(Table1[Age]),Table1[[#This Row],[Age]])</f>
        <v>24</v>
      </c>
      <c r="S148" t="str">
        <f>PROPER(Table1[[#This Row],[Country]])</f>
        <v>Philippines</v>
      </c>
      <c r="T148" t="str">
        <f>TRIM(Table1[[#This Row],[Profession]])</f>
        <v>English Literature Student</v>
      </c>
      <c r="U148" s="5">
        <f>IF(ISBLANK(H148),AVERAGEIF(Table1[[#This Row],[Profession imputed]],T148,Table1[Monthly_Income]),H148)</f>
        <v>63</v>
      </c>
      <c r="V148" s="6" t="str">
        <f>PROPER(TRIM(Table1[AI_Tool]))</f>
        <v>Claude</v>
      </c>
      <c r="W148" s="8">
        <f>IF(ISBLANK(Table1[[#This Row],[Time_Saved_Hours_Per_Week]]),AVERAGEIF(Table1[Satisfaction_Score],Table1[[#This Row],[Satisfaction_Score]],Table1[Time_Saved_Hours_Per_Week]),Table1[[#This Row],[Time_Saved_Hours_Per_Week]])</f>
        <v>10.5</v>
      </c>
    </row>
    <row r="149" spans="1:23" x14ac:dyDescent="0.25">
      <c r="A149" t="s">
        <v>741</v>
      </c>
      <c r="B149">
        <v>18</v>
      </c>
      <c r="C149" t="s">
        <v>29</v>
      </c>
      <c r="D149" t="s">
        <v>57</v>
      </c>
      <c r="E149" t="s">
        <v>111</v>
      </c>
      <c r="F149" t="s">
        <v>132</v>
      </c>
      <c r="G149" t="s">
        <v>671</v>
      </c>
      <c r="H149">
        <v>63</v>
      </c>
      <c r="I149" t="s">
        <v>271</v>
      </c>
      <c r="J149" s="6" t="s">
        <v>38</v>
      </c>
      <c r="K149" s="15">
        <v>6.3</v>
      </c>
      <c r="L149" s="5">
        <v>0</v>
      </c>
      <c r="M149" s="15">
        <v>8.8000000000000007</v>
      </c>
      <c r="N149">
        <v>3</v>
      </c>
      <c r="O149">
        <v>8</v>
      </c>
      <c r="P149">
        <v>10</v>
      </c>
      <c r="Q149">
        <v>7.3</v>
      </c>
      <c r="R149" s="2">
        <f>IF(ISBLANK(Table1[[#This Row],[Age]]),AVERAGE(Table1[Age]),Table1[[#This Row],[Age]])</f>
        <v>18</v>
      </c>
      <c r="S149" t="str">
        <f>PROPER(Table1[[#This Row],[Country]])</f>
        <v>Pakistan</v>
      </c>
      <c r="T149" t="str">
        <f>TRIM(Table1[[#This Row],[Profession]])</f>
        <v>English Literature Student</v>
      </c>
      <c r="U149" s="5">
        <f>IF(ISBLANK(H149),AVERAGEIF(Table1[[#This Row],[Profession imputed]],T149,Table1[Monthly_Income]),H149)</f>
        <v>63</v>
      </c>
      <c r="V149" s="6" t="str">
        <f>PROPER(TRIM(Table1[AI_Tool]))</f>
        <v>Chat Gpt</v>
      </c>
      <c r="W149" s="8">
        <f>IF(ISBLANK(Table1[[#This Row],[Time_Saved_Hours_Per_Week]]),AVERAGEIF(Table1[Satisfaction_Score],Table1[[#This Row],[Satisfaction_Score]],Table1[Time_Saved_Hours_Per_Week]),Table1[[#This Row],[Time_Saved_Hours_Per_Week]])</f>
        <v>10</v>
      </c>
    </row>
    <row r="150" spans="1:23" x14ac:dyDescent="0.25">
      <c r="A150" t="s">
        <v>751</v>
      </c>
      <c r="B150">
        <v>22</v>
      </c>
      <c r="C150" t="s">
        <v>29</v>
      </c>
      <c r="D150" t="s">
        <v>73</v>
      </c>
      <c r="E150" t="s">
        <v>111</v>
      </c>
      <c r="F150" t="s">
        <v>50</v>
      </c>
      <c r="G150" t="s">
        <v>671</v>
      </c>
      <c r="H150">
        <v>63</v>
      </c>
      <c r="I150" t="s">
        <v>271</v>
      </c>
      <c r="J150" s="6" t="s">
        <v>38</v>
      </c>
      <c r="K150" s="15">
        <v>3</v>
      </c>
      <c r="L150" s="5">
        <v>25</v>
      </c>
      <c r="M150" s="15">
        <v>4.5</v>
      </c>
      <c r="N150">
        <v>4</v>
      </c>
      <c r="O150">
        <v>7</v>
      </c>
      <c r="P150">
        <v>4.9000000000000004</v>
      </c>
      <c r="Q150">
        <v>8.4</v>
      </c>
      <c r="R150" s="2">
        <f>IF(ISBLANK(Table1[[#This Row],[Age]]),AVERAGE(Table1[Age]),Table1[[#This Row],[Age]])</f>
        <v>22</v>
      </c>
      <c r="S150" t="str">
        <f>PROPER(Table1[[#This Row],[Country]])</f>
        <v>Unknown</v>
      </c>
      <c r="T150" t="str">
        <f>TRIM(Table1[[#This Row],[Profession]])</f>
        <v>English Literature Student</v>
      </c>
      <c r="U150" s="5">
        <f>IF(ISBLANK(H150),AVERAGEIF(Table1[[#This Row],[Profession imputed]],T150,Table1[Monthly_Income]),H150)</f>
        <v>63</v>
      </c>
      <c r="V150" s="6" t="str">
        <f>PROPER(TRIM(Table1[AI_Tool]))</f>
        <v>Chat Gpt</v>
      </c>
      <c r="W150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151" spans="1:23" x14ac:dyDescent="0.25">
      <c r="A151" t="s">
        <v>1134</v>
      </c>
      <c r="B151">
        <v>16</v>
      </c>
      <c r="C151" t="s">
        <v>22</v>
      </c>
      <c r="D151" t="s">
        <v>73</v>
      </c>
      <c r="E151" t="s">
        <v>111</v>
      </c>
      <c r="F151" t="s">
        <v>132</v>
      </c>
      <c r="G151" t="s">
        <v>73</v>
      </c>
      <c r="H151">
        <v>63</v>
      </c>
      <c r="I151" t="s">
        <v>69</v>
      </c>
      <c r="J151" s="6" t="s">
        <v>130</v>
      </c>
      <c r="K151" s="15">
        <v>1.9</v>
      </c>
      <c r="L151" s="5">
        <v>0</v>
      </c>
      <c r="M151" s="15">
        <v>3.5</v>
      </c>
      <c r="N151">
        <v>3</v>
      </c>
      <c r="O151">
        <v>5</v>
      </c>
      <c r="P151">
        <v>3</v>
      </c>
      <c r="Q151">
        <v>5.4</v>
      </c>
      <c r="R151" s="2">
        <f>IF(ISBLANK(Table1[[#This Row],[Age]]),AVERAGE(Table1[Age]),Table1[[#This Row],[Age]])</f>
        <v>16</v>
      </c>
      <c r="S151" t="str">
        <f>PROPER(Table1[[#This Row],[Country]])</f>
        <v>Unknown</v>
      </c>
      <c r="T151" t="str">
        <f>TRIM(Table1[[#This Row],[Profession]])</f>
        <v>UNKNOWN</v>
      </c>
      <c r="U151" s="5">
        <f>IF(ISBLANK(H151),AVERAGEIF(Table1[[#This Row],[Profession imputed]],T151,Table1[Monthly_Income]),H151)</f>
        <v>63</v>
      </c>
      <c r="V151" s="6" t="str">
        <f>PROPER(TRIM(Table1[AI_Tool]))</f>
        <v>Perplexity Ai</v>
      </c>
      <c r="W151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152" spans="1:23" x14ac:dyDescent="0.25">
      <c r="A152" t="s">
        <v>199</v>
      </c>
      <c r="B152">
        <v>26</v>
      </c>
      <c r="C152" t="s">
        <v>22</v>
      </c>
      <c r="D152" t="s">
        <v>52</v>
      </c>
      <c r="E152" t="s">
        <v>111</v>
      </c>
      <c r="F152" t="s">
        <v>31</v>
      </c>
      <c r="G152" t="s">
        <v>198</v>
      </c>
      <c r="H152">
        <v>64</v>
      </c>
      <c r="I152" t="s">
        <v>37</v>
      </c>
      <c r="J152" s="6" t="s">
        <v>124</v>
      </c>
      <c r="K152" s="15">
        <v>3.4</v>
      </c>
      <c r="L152" s="5">
        <v>50</v>
      </c>
      <c r="M152" s="15">
        <v>4.9000000000000004</v>
      </c>
      <c r="N152">
        <v>4</v>
      </c>
      <c r="O152">
        <v>8</v>
      </c>
      <c r="P152">
        <v>7.2</v>
      </c>
      <c r="Q152">
        <v>8</v>
      </c>
      <c r="R152" s="2">
        <f>IF(ISBLANK(Table1[[#This Row],[Age]]),AVERAGE(Table1[Age]),Table1[[#This Row],[Age]])</f>
        <v>26</v>
      </c>
      <c r="S152" t="str">
        <f>PROPER(Table1[[#This Row],[Country]])</f>
        <v>India</v>
      </c>
      <c r="T152" t="str">
        <f>TRIM(Table1[[#This Row],[Profession]])</f>
        <v>Biotechnology PhD Student</v>
      </c>
      <c r="U152" s="5">
        <f>IF(ISBLANK(H152),AVERAGEIF(Table1[Profession imputed],T152,Table1[Monthly_Income]),H152)</f>
        <v>64</v>
      </c>
      <c r="V152" s="6" t="str">
        <f>PROPER(TRIM(Table1[AI_Tool]))</f>
        <v>Grammarly</v>
      </c>
      <c r="W152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153" spans="1:23" x14ac:dyDescent="0.25">
      <c r="A153" t="s">
        <v>730</v>
      </c>
      <c r="B153">
        <v>23</v>
      </c>
      <c r="C153" t="s">
        <v>29</v>
      </c>
      <c r="D153" t="s">
        <v>73</v>
      </c>
      <c r="E153" t="s">
        <v>111</v>
      </c>
      <c r="F153" t="s">
        <v>50</v>
      </c>
      <c r="G153" t="s">
        <v>671</v>
      </c>
      <c r="H153">
        <v>64</v>
      </c>
      <c r="I153" t="s">
        <v>271</v>
      </c>
      <c r="J153" s="6" t="s">
        <v>38</v>
      </c>
      <c r="K153" s="15">
        <v>3</v>
      </c>
      <c r="L153" s="5">
        <v>25</v>
      </c>
      <c r="M153" s="15">
        <v>4.5</v>
      </c>
      <c r="N153">
        <v>4</v>
      </c>
      <c r="O153">
        <v>7</v>
      </c>
      <c r="P153">
        <v>4.9000000000000004</v>
      </c>
      <c r="Q153">
        <v>8.4</v>
      </c>
      <c r="R153" s="2">
        <f>IF(ISBLANK(Table1[[#This Row],[Age]]),AVERAGE(Table1[Age]),Table1[[#This Row],[Age]])</f>
        <v>23</v>
      </c>
      <c r="S153" t="str">
        <f>PROPER(Table1[[#This Row],[Country]])</f>
        <v>Unknown</v>
      </c>
      <c r="T153" t="str">
        <f>TRIM(Table1[[#This Row],[Profession]])</f>
        <v>English Literature Student</v>
      </c>
      <c r="U153" s="5">
        <f>IF(ISBLANK(H153),AVERAGEIF(Table1[[#This Row],[Profession imputed]],T153,Table1[Monthly_Income]),H153)</f>
        <v>64</v>
      </c>
      <c r="V153" s="6" t="str">
        <f>PROPER(TRIM(Table1[AI_Tool]))</f>
        <v>Chat Gpt</v>
      </c>
      <c r="W153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154" spans="1:23" x14ac:dyDescent="0.25">
      <c r="A154" t="s">
        <v>714</v>
      </c>
      <c r="B154">
        <v>20</v>
      </c>
      <c r="C154" t="s">
        <v>29</v>
      </c>
      <c r="D154" t="s">
        <v>73</v>
      </c>
      <c r="E154" t="s">
        <v>111</v>
      </c>
      <c r="F154" t="s">
        <v>50</v>
      </c>
      <c r="G154" t="s">
        <v>671</v>
      </c>
      <c r="H154">
        <v>65</v>
      </c>
      <c r="I154" t="s">
        <v>271</v>
      </c>
      <c r="J154" s="6" t="s">
        <v>38</v>
      </c>
      <c r="K154" s="15">
        <v>3</v>
      </c>
      <c r="L154" s="5">
        <v>25</v>
      </c>
      <c r="M154" s="15">
        <v>4.5</v>
      </c>
      <c r="N154">
        <v>4</v>
      </c>
      <c r="O154">
        <v>7</v>
      </c>
      <c r="P154">
        <v>4.9000000000000004</v>
      </c>
      <c r="Q154">
        <v>8.4</v>
      </c>
      <c r="R154" s="2">
        <f>IF(ISBLANK(Table1[[#This Row],[Age]]),AVERAGE(Table1[Age]),Table1[[#This Row],[Age]])</f>
        <v>20</v>
      </c>
      <c r="S154" t="str">
        <f>PROPER(Table1[[#This Row],[Country]])</f>
        <v>Unknown</v>
      </c>
      <c r="T154" t="str">
        <f>TRIM(Table1[[#This Row],[Profession]])</f>
        <v>English Literature Student</v>
      </c>
      <c r="U154" s="5">
        <f>IF(ISBLANK(H154),AVERAGEIF(Table1[[#This Row],[Profession imputed]],T154,Table1[Monthly_Income]),H154)</f>
        <v>65</v>
      </c>
      <c r="V154" s="6" t="str">
        <f>PROPER(TRIM(Table1[AI_Tool]))</f>
        <v>Chat Gpt</v>
      </c>
      <c r="W154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155" spans="1:23" x14ac:dyDescent="0.25">
      <c r="A155" t="s">
        <v>796</v>
      </c>
      <c r="B155">
        <v>17</v>
      </c>
      <c r="C155" t="s">
        <v>22</v>
      </c>
      <c r="D155" t="s">
        <v>52</v>
      </c>
      <c r="E155" t="s">
        <v>111</v>
      </c>
      <c r="F155" t="s">
        <v>132</v>
      </c>
      <c r="G155" t="s">
        <v>787</v>
      </c>
      <c r="H155">
        <v>65</v>
      </c>
      <c r="I155" t="s">
        <v>271</v>
      </c>
      <c r="J155" s="6" t="s">
        <v>124</v>
      </c>
      <c r="K155" s="15">
        <v>1.1000000000000001</v>
      </c>
      <c r="L155" s="5">
        <v>20</v>
      </c>
      <c r="M155" s="15">
        <v>4.0999999999999996</v>
      </c>
      <c r="N155" s="7">
        <v>4</v>
      </c>
      <c r="O155">
        <v>7</v>
      </c>
      <c r="P155">
        <v>5.6</v>
      </c>
      <c r="Q155">
        <v>6.3</v>
      </c>
      <c r="R155" s="2">
        <f>IF(ISBLANK(Table1[[#This Row],[Age]]),AVERAGE(Table1[Age]),Table1[[#This Row],[Age]])</f>
        <v>17</v>
      </c>
      <c r="S155" t="str">
        <f>PROPER(Table1[[#This Row],[Country]])</f>
        <v>India</v>
      </c>
      <c r="T155" t="str">
        <f>TRIM(Table1[[#This Row],[Profession]])</f>
        <v>Information Technology Student</v>
      </c>
      <c r="U155" s="5">
        <f>IF(ISBLANK(H155),AVERAGEIF(Table1[[#This Row],[Profession imputed]],T155,Table1[Monthly_Income]),H155)</f>
        <v>65</v>
      </c>
      <c r="V155" s="6" t="str">
        <f>PROPER(TRIM(Table1[AI_Tool]))</f>
        <v>Chat Gpt</v>
      </c>
      <c r="W155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156" spans="1:23" x14ac:dyDescent="0.25">
      <c r="A156" t="s">
        <v>822</v>
      </c>
      <c r="B156">
        <v>28</v>
      </c>
      <c r="C156" t="s">
        <v>29</v>
      </c>
      <c r="D156" t="s">
        <v>30</v>
      </c>
      <c r="E156" t="s">
        <v>111</v>
      </c>
      <c r="F156" t="s">
        <v>132</v>
      </c>
      <c r="G156" t="s">
        <v>820</v>
      </c>
      <c r="H156">
        <v>65</v>
      </c>
      <c r="I156" t="s">
        <v>271</v>
      </c>
      <c r="J156" s="6" t="s">
        <v>38</v>
      </c>
      <c r="K156" s="15">
        <v>0</v>
      </c>
      <c r="L156" s="5">
        <v>0</v>
      </c>
      <c r="M156" s="15">
        <v>3.4</v>
      </c>
      <c r="N156">
        <v>2</v>
      </c>
      <c r="O156">
        <v>4</v>
      </c>
      <c r="P156">
        <v>1.5</v>
      </c>
      <c r="Q156">
        <v>5.8</v>
      </c>
      <c r="R156" s="2">
        <f>IF(ISBLANK(Table1[[#This Row],[Age]]),AVERAGE(Table1[Age]),Table1[[#This Row],[Age]])</f>
        <v>28</v>
      </c>
      <c r="S156" t="str">
        <f>PROPER(Table1[[#This Row],[Country]])</f>
        <v>Brazil</v>
      </c>
      <c r="T156" t="str">
        <f>TRIM(Table1[[#This Row],[Profession]])</f>
        <v>Literature Student</v>
      </c>
      <c r="U156" s="5">
        <f>IF(ISBLANK(H156),AVERAGEIF(Table1[[#This Row],[Profession imputed]],T156,Table1[Monthly_Income]),H156)</f>
        <v>65</v>
      </c>
      <c r="V156" s="6" t="str">
        <f>PROPER(TRIM(Table1[AI_Tool]))</f>
        <v>Chat Gpt</v>
      </c>
      <c r="W156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57" spans="1:23" x14ac:dyDescent="0.25">
      <c r="A157" t="s">
        <v>789</v>
      </c>
      <c r="B157">
        <v>18</v>
      </c>
      <c r="C157" t="s">
        <v>22</v>
      </c>
      <c r="D157" t="s">
        <v>52</v>
      </c>
      <c r="E157" t="s">
        <v>111</v>
      </c>
      <c r="F157" t="s">
        <v>132</v>
      </c>
      <c r="G157" t="s">
        <v>787</v>
      </c>
      <c r="H157">
        <v>66</v>
      </c>
      <c r="I157" t="s">
        <v>271</v>
      </c>
      <c r="J157" s="6" t="s">
        <v>124</v>
      </c>
      <c r="K157" s="15">
        <v>1.1000000000000001</v>
      </c>
      <c r="L157" s="5">
        <v>20</v>
      </c>
      <c r="M157" s="15">
        <v>4.0999999999999996</v>
      </c>
      <c r="N157" s="7">
        <v>4</v>
      </c>
      <c r="O157">
        <v>7</v>
      </c>
      <c r="P157">
        <v>5.6</v>
      </c>
      <c r="Q157">
        <v>6.3</v>
      </c>
      <c r="R157" s="2">
        <f>IF(ISBLANK(Table1[[#This Row],[Age]]),AVERAGE(Table1[Age]),Table1[[#This Row],[Age]])</f>
        <v>18</v>
      </c>
      <c r="S157" t="str">
        <f>PROPER(Table1[[#This Row],[Country]])</f>
        <v>India</v>
      </c>
      <c r="T157" t="str">
        <f>TRIM(Table1[[#This Row],[Profession]])</f>
        <v>Information Technology Student</v>
      </c>
      <c r="U157" s="5">
        <f>IF(ISBLANK(H157),AVERAGEIF(Table1[[#This Row],[Profession imputed]],T157,Table1[Monthly_Income]),H157)</f>
        <v>66</v>
      </c>
      <c r="V157" s="6" t="str">
        <f>PROPER(TRIM(Table1[AI_Tool]))</f>
        <v>Chat Gpt</v>
      </c>
      <c r="W157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158" spans="1:23" x14ac:dyDescent="0.25">
      <c r="A158" t="s">
        <v>618</v>
      </c>
      <c r="B158">
        <v>29</v>
      </c>
      <c r="C158" t="s">
        <v>22</v>
      </c>
      <c r="D158" t="s">
        <v>57</v>
      </c>
      <c r="E158" t="s">
        <v>111</v>
      </c>
      <c r="F158" t="s">
        <v>132</v>
      </c>
      <c r="G158" t="s">
        <v>611</v>
      </c>
      <c r="H158">
        <v>67</v>
      </c>
      <c r="I158" t="s">
        <v>271</v>
      </c>
      <c r="J158" s="6" t="s">
        <v>75</v>
      </c>
      <c r="K158" s="15">
        <v>1.9</v>
      </c>
      <c r="L158" s="5">
        <v>0</v>
      </c>
      <c r="M158" s="15">
        <v>0</v>
      </c>
      <c r="N158">
        <v>4</v>
      </c>
      <c r="O158">
        <v>7</v>
      </c>
      <c r="P158">
        <v>1.4</v>
      </c>
      <c r="Q158">
        <v>7.4</v>
      </c>
      <c r="R158" s="2">
        <f>IF(ISBLANK(Table1[[#This Row],[Age]]),AVERAGE(Table1[Age]),Table1[[#This Row],[Age]])</f>
        <v>29</v>
      </c>
      <c r="S158" t="str">
        <f>PROPER(Table1[[#This Row],[Country]])</f>
        <v>Pakistan</v>
      </c>
      <c r="T158" t="str">
        <f>TRIM(Table1[[#This Row],[Profession]])</f>
        <v>Digital Marketing Student</v>
      </c>
      <c r="U158" s="5">
        <f>IF(ISBLANK(H158),AVERAGEIF(Table1[Profession imputed],T158,Table1[Monthly_Income]),H158)</f>
        <v>67</v>
      </c>
      <c r="V158" s="6" t="str">
        <f>PROPER(TRIM(Table1[AI_Tool]))</f>
        <v>Chat Gpt</v>
      </c>
      <c r="W158" s="8">
        <f>IF(ISBLANK(Table1[[#This Row],[Time_Saved_Hours_Per_Week]]),AVERAGEIF(Table1[Satisfaction_Score],Table1[[#This Row],[Satisfaction_Score]],Table1[Time_Saved_Hours_Per_Week]),Table1[[#This Row],[Time_Saved_Hours_Per_Week]])</f>
        <v>1.4</v>
      </c>
    </row>
    <row r="159" spans="1:23" x14ac:dyDescent="0.25">
      <c r="A159" t="s">
        <v>1058</v>
      </c>
      <c r="B159">
        <v>30</v>
      </c>
      <c r="C159" t="s">
        <v>22</v>
      </c>
      <c r="D159" t="s">
        <v>57</v>
      </c>
      <c r="E159" t="s">
        <v>111</v>
      </c>
      <c r="F159" t="s">
        <v>132</v>
      </c>
      <c r="G159" t="s">
        <v>1055</v>
      </c>
      <c r="H159">
        <v>67</v>
      </c>
      <c r="I159" t="s">
        <v>271</v>
      </c>
      <c r="J159" s="6" t="s">
        <v>33</v>
      </c>
      <c r="K159" s="15">
        <v>1.4</v>
      </c>
      <c r="L159" s="5">
        <v>20</v>
      </c>
      <c r="M159" s="15">
        <v>2.9</v>
      </c>
      <c r="N159">
        <v>3</v>
      </c>
      <c r="O159">
        <v>3</v>
      </c>
      <c r="P159">
        <v>0.8</v>
      </c>
      <c r="Q159">
        <v>5.6</v>
      </c>
      <c r="R159" s="2">
        <f>IF(ISBLANK(Table1[[#This Row],[Age]]),AVERAGE(Table1[Age]),Table1[[#This Row],[Age]])</f>
        <v>30</v>
      </c>
      <c r="S159" t="str">
        <f>PROPER(Table1[[#This Row],[Country]])</f>
        <v>Pakistan</v>
      </c>
      <c r="T159" t="str">
        <f>TRIM(Table1[[#This Row],[Profession]])</f>
        <v>Software Engineering Student</v>
      </c>
      <c r="U159" s="5">
        <f>IF(ISBLANK(H159),AVERAGEIF(Table1[[#This Row],[Profession imputed]],T159,Table1[Monthly_Income]),H159)</f>
        <v>67</v>
      </c>
      <c r="V159" s="6" t="str">
        <f>PROPER(TRIM(Table1[AI_Tool]))</f>
        <v>Chat Gpt</v>
      </c>
      <c r="W159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160" spans="1:23" x14ac:dyDescent="0.25">
      <c r="A160" t="s">
        <v>201</v>
      </c>
      <c r="B160">
        <v>23</v>
      </c>
      <c r="C160" t="s">
        <v>22</v>
      </c>
      <c r="D160" t="s">
        <v>52</v>
      </c>
      <c r="E160" t="s">
        <v>111</v>
      </c>
      <c r="F160" t="s">
        <v>31</v>
      </c>
      <c r="G160" t="s">
        <v>198</v>
      </c>
      <c r="H160">
        <v>68</v>
      </c>
      <c r="I160" t="s">
        <v>37</v>
      </c>
      <c r="J160" s="6" t="s">
        <v>124</v>
      </c>
      <c r="K160" s="15">
        <v>3.4</v>
      </c>
      <c r="L160" s="5">
        <v>50</v>
      </c>
      <c r="M160" s="15">
        <v>4.9000000000000004</v>
      </c>
      <c r="N160">
        <v>4</v>
      </c>
      <c r="O160">
        <v>8</v>
      </c>
      <c r="P160">
        <v>7.2</v>
      </c>
      <c r="Q160">
        <v>8</v>
      </c>
      <c r="R160" s="2">
        <f>IF(ISBLANK(Table1[[#This Row],[Age]]),AVERAGE(Table1[Age]),Table1[[#This Row],[Age]])</f>
        <v>23</v>
      </c>
      <c r="S160" t="str">
        <f>PROPER(Table1[[#This Row],[Country]])</f>
        <v>India</v>
      </c>
      <c r="T160" t="str">
        <f>TRIM(Table1[[#This Row],[Profession]])</f>
        <v>Biotechnology PhD Student</v>
      </c>
      <c r="U160" s="5">
        <f>IF(ISBLANK(H160),AVERAGEIF(Table1[Profession imputed],T160,Table1[Monthly_Income]),H160)</f>
        <v>68</v>
      </c>
      <c r="V160" s="6" t="str">
        <f>PROPER(TRIM(Table1[AI_Tool]))</f>
        <v>Grammarly</v>
      </c>
      <c r="W160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161" spans="1:23" x14ac:dyDescent="0.25">
      <c r="A161" t="s">
        <v>202</v>
      </c>
      <c r="B161">
        <v>22</v>
      </c>
      <c r="C161" t="s">
        <v>29</v>
      </c>
      <c r="D161" t="s">
        <v>52</v>
      </c>
      <c r="E161" t="s">
        <v>111</v>
      </c>
      <c r="F161" t="s">
        <v>132</v>
      </c>
      <c r="G161" t="s">
        <v>203</v>
      </c>
      <c r="H161">
        <v>68</v>
      </c>
      <c r="I161" t="s">
        <v>271</v>
      </c>
      <c r="J161" s="6" t="s">
        <v>124</v>
      </c>
      <c r="K161" s="15">
        <v>0.7</v>
      </c>
      <c r="L161" s="5">
        <v>0</v>
      </c>
      <c r="M161" s="15">
        <v>4.0999999999999996</v>
      </c>
      <c r="N161">
        <v>4</v>
      </c>
      <c r="O161">
        <v>6</v>
      </c>
      <c r="P161">
        <v>2.1</v>
      </c>
      <c r="Q161">
        <v>8.6</v>
      </c>
      <c r="R161" s="2">
        <f>IF(ISBLANK(Table1[[#This Row],[Age]]),AVERAGE(Table1[Age]),Table1[[#This Row],[Age]])</f>
        <v>22</v>
      </c>
      <c r="S161" t="str">
        <f>PROPER(Table1[[#This Row],[Country]])</f>
        <v>India</v>
      </c>
      <c r="T161" t="str">
        <f>TRIM(Table1[[#This Row],[Profession]])</f>
        <v>Biotechnology Student</v>
      </c>
      <c r="U161" s="5">
        <f>IF(ISBLANK(H161),AVERAGEIF(Table1[Profession imputed],T161,Table1[Monthly_Income]),H161)</f>
        <v>68</v>
      </c>
      <c r="V161" s="6" t="str">
        <f>PROPER(TRIM(Table1[AI_Tool]))</f>
        <v>Chat Gpt</v>
      </c>
      <c r="W161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162" spans="1:23" x14ac:dyDescent="0.25">
      <c r="A162" t="s">
        <v>821</v>
      </c>
      <c r="B162">
        <v>26</v>
      </c>
      <c r="C162" t="s">
        <v>29</v>
      </c>
      <c r="D162" t="s">
        <v>30</v>
      </c>
      <c r="E162" t="s">
        <v>111</v>
      </c>
      <c r="F162" t="s">
        <v>132</v>
      </c>
      <c r="G162" t="s">
        <v>820</v>
      </c>
      <c r="H162">
        <v>68</v>
      </c>
      <c r="I162" t="s">
        <v>271</v>
      </c>
      <c r="J162" s="6" t="s">
        <v>38</v>
      </c>
      <c r="K162" s="15">
        <v>0</v>
      </c>
      <c r="L162" s="5">
        <v>0</v>
      </c>
      <c r="M162" s="15">
        <v>3.4</v>
      </c>
      <c r="N162">
        <v>2</v>
      </c>
      <c r="O162">
        <v>4</v>
      </c>
      <c r="P162">
        <v>1.5</v>
      </c>
      <c r="Q162">
        <v>5.8</v>
      </c>
      <c r="R162" s="2">
        <f>IF(ISBLANK(Table1[[#This Row],[Age]]),AVERAGE(Table1[Age]),Table1[[#This Row],[Age]])</f>
        <v>26</v>
      </c>
      <c r="S162" t="str">
        <f>PROPER(Table1[[#This Row],[Country]])</f>
        <v>Brazil</v>
      </c>
      <c r="T162" t="str">
        <f>TRIM(Table1[[#This Row],[Profession]])</f>
        <v>Literature Student</v>
      </c>
      <c r="U162" s="5">
        <f>IF(ISBLANK(H162),AVERAGEIF(Table1[[#This Row],[Profession imputed]],T162,Table1[Monthly_Income]),H162)</f>
        <v>68</v>
      </c>
      <c r="V162" s="6" t="str">
        <f>PROPER(TRIM(Table1[AI_Tool]))</f>
        <v>Chat Gpt</v>
      </c>
      <c r="W162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63" spans="1:23" x14ac:dyDescent="0.25">
      <c r="A163" t="s">
        <v>636</v>
      </c>
      <c r="B163">
        <v>22</v>
      </c>
      <c r="C163" t="s">
        <v>29</v>
      </c>
      <c r="D163" t="s">
        <v>52</v>
      </c>
      <c r="E163" t="s">
        <v>111</v>
      </c>
      <c r="F163" t="s">
        <v>132</v>
      </c>
      <c r="G163" t="s">
        <v>630</v>
      </c>
      <c r="H163">
        <v>69</v>
      </c>
      <c r="I163" t="s">
        <v>1186</v>
      </c>
      <c r="J163" s="6" t="s">
        <v>75</v>
      </c>
      <c r="K163" s="15">
        <v>3.5</v>
      </c>
      <c r="L163" s="5">
        <v>20</v>
      </c>
      <c r="M163" s="15">
        <v>4.7</v>
      </c>
      <c r="N163">
        <v>4</v>
      </c>
      <c r="O163">
        <v>7</v>
      </c>
      <c r="P163">
        <v>8.3000000000000007</v>
      </c>
      <c r="Q163">
        <v>6.2</v>
      </c>
      <c r="R163" s="2">
        <f>IF(ISBLANK(Table1[[#This Row],[Age]]),AVERAGE(Table1[Age]),Table1[[#This Row],[Age]])</f>
        <v>22</v>
      </c>
      <c r="S163" t="str">
        <f>PROPER(Table1[[#This Row],[Country]])</f>
        <v>India</v>
      </c>
      <c r="T163" t="str">
        <f>TRIM(Table1[[#This Row],[Profession]])</f>
        <v>Digital Media and Communications Student</v>
      </c>
      <c r="U163" s="5">
        <f>IF(ISBLANK(H163),AVERAGEIF(Table1[Profession imputed],T163,Table1[Monthly_Income]),H163)</f>
        <v>69</v>
      </c>
      <c r="V163" s="6" t="str">
        <f>PROPER(TRIM(Table1[AI_Tool]))</f>
        <v>Google Gemini</v>
      </c>
      <c r="W163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164" spans="1:23" x14ac:dyDescent="0.25">
      <c r="A164" t="s">
        <v>625</v>
      </c>
      <c r="B164">
        <v>29</v>
      </c>
      <c r="C164" t="s">
        <v>22</v>
      </c>
      <c r="D164" t="s">
        <v>57</v>
      </c>
      <c r="E164" t="s">
        <v>111</v>
      </c>
      <c r="F164" t="s">
        <v>132</v>
      </c>
      <c r="G164" t="s">
        <v>611</v>
      </c>
      <c r="H164">
        <v>70</v>
      </c>
      <c r="I164" t="s">
        <v>271</v>
      </c>
      <c r="J164" s="6" t="s">
        <v>75</v>
      </c>
      <c r="K164" s="15">
        <v>1.9</v>
      </c>
      <c r="L164" s="5">
        <v>0</v>
      </c>
      <c r="M164" s="15">
        <v>0</v>
      </c>
      <c r="N164">
        <v>4</v>
      </c>
      <c r="O164">
        <v>7</v>
      </c>
      <c r="P164">
        <v>1.4</v>
      </c>
      <c r="Q164">
        <v>7.4</v>
      </c>
      <c r="R164" s="2">
        <f>IF(ISBLANK(Table1[[#This Row],[Age]]),AVERAGE(Table1[Age]),Table1[[#This Row],[Age]])</f>
        <v>29</v>
      </c>
      <c r="S164" t="str">
        <f>PROPER(Table1[[#This Row],[Country]])</f>
        <v>Pakistan</v>
      </c>
      <c r="T164" t="str">
        <f>TRIM(Table1[[#This Row],[Profession]])</f>
        <v>Digital Marketing Student</v>
      </c>
      <c r="U164" s="5">
        <f>IF(ISBLANK(H164),AVERAGEIF(Table1[Profession imputed],T164,Table1[Monthly_Income]),H164)</f>
        <v>70</v>
      </c>
      <c r="V164" s="6" t="str">
        <f>PROPER(TRIM(Table1[AI_Tool]))</f>
        <v>Chat Gpt</v>
      </c>
      <c r="W164" s="8">
        <f>IF(ISBLANK(Table1[[#This Row],[Time_Saved_Hours_Per_Week]]),AVERAGEIF(Table1[Satisfaction_Score],Table1[[#This Row],[Satisfaction_Score]],Table1[Time_Saved_Hours_Per_Week]),Table1[[#This Row],[Time_Saved_Hours_Per_Week]])</f>
        <v>1.4</v>
      </c>
    </row>
    <row r="165" spans="1:23" x14ac:dyDescent="0.25">
      <c r="A165" t="s">
        <v>1072</v>
      </c>
      <c r="B165">
        <v>31</v>
      </c>
      <c r="C165" t="s">
        <v>22</v>
      </c>
      <c r="D165" t="s">
        <v>57</v>
      </c>
      <c r="E165" t="s">
        <v>111</v>
      </c>
      <c r="F165" t="s">
        <v>218</v>
      </c>
      <c r="G165" t="s">
        <v>1055</v>
      </c>
      <c r="H165">
        <v>70</v>
      </c>
      <c r="I165" t="s">
        <v>271</v>
      </c>
      <c r="J165" s="6" t="s">
        <v>33</v>
      </c>
      <c r="K165" s="15">
        <v>1.4</v>
      </c>
      <c r="L165" s="5">
        <v>20</v>
      </c>
      <c r="M165" s="15">
        <v>2.9</v>
      </c>
      <c r="N165">
        <v>3</v>
      </c>
      <c r="O165">
        <v>3</v>
      </c>
      <c r="P165">
        <v>0.8</v>
      </c>
      <c r="Q165">
        <v>5.6</v>
      </c>
      <c r="R165" s="2">
        <f>IF(ISBLANK(Table1[[#This Row],[Age]]),AVERAGE(Table1[Age]),Table1[[#This Row],[Age]])</f>
        <v>31</v>
      </c>
      <c r="S165" t="str">
        <f>PROPER(Table1[[#This Row],[Country]])</f>
        <v>Pakistan</v>
      </c>
      <c r="T165" t="str">
        <f>TRIM(Table1[[#This Row],[Profession]])</f>
        <v>Software Engineering Student</v>
      </c>
      <c r="U165" s="5">
        <f>IF(ISBLANK(H165),AVERAGEIF(Table1[[#This Row],[Profession imputed]],T165,Table1[Monthly_Income]),H165)</f>
        <v>70</v>
      </c>
      <c r="V165" s="6" t="str">
        <f>PROPER(TRIM(Table1[AI_Tool]))</f>
        <v>Chat Gpt</v>
      </c>
      <c r="W165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166" spans="1:23" x14ac:dyDescent="0.25">
      <c r="A166" t="s">
        <v>535</v>
      </c>
      <c r="B166">
        <v>21</v>
      </c>
      <c r="C166" t="s">
        <v>29</v>
      </c>
      <c r="D166" t="s">
        <v>52</v>
      </c>
      <c r="E166" t="s">
        <v>111</v>
      </c>
      <c r="F166" t="s">
        <v>132</v>
      </c>
      <c r="G166" t="s">
        <v>520</v>
      </c>
      <c r="H166">
        <v>71</v>
      </c>
      <c r="I166" t="s">
        <v>37</v>
      </c>
      <c r="J166" s="6" t="s">
        <v>130</v>
      </c>
      <c r="K166" s="15">
        <v>1.5</v>
      </c>
      <c r="L166" s="5">
        <v>0</v>
      </c>
      <c r="M166" s="15">
        <v>3.4</v>
      </c>
      <c r="N166">
        <v>2</v>
      </c>
      <c r="O166">
        <v>4</v>
      </c>
      <c r="P166">
        <v>2.2000000000000002</v>
      </c>
      <c r="Q166">
        <v>8</v>
      </c>
      <c r="R166" s="2">
        <f>IF(ISBLANK(Table1[[#This Row],[Age]]),AVERAGE(Table1[Age]),Table1[[#This Row],[Age]])</f>
        <v>21</v>
      </c>
      <c r="S166" t="str">
        <f>PROPER(Table1[[#This Row],[Country]])</f>
        <v>India</v>
      </c>
      <c r="T166" t="str">
        <f>TRIM(Table1[[#This Row],[Profession]])</f>
        <v>Data Science Student</v>
      </c>
      <c r="U166" s="5">
        <f>IF(ISBLANK(H166),AVERAGEIF(Table1[Profession imputed],T166,Table1[Monthly_Income]),H166)</f>
        <v>71</v>
      </c>
      <c r="V166" s="6" t="str">
        <f>PROPER(TRIM(Table1[AI_Tool]))</f>
        <v>Grammarly</v>
      </c>
      <c r="W166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167" spans="1:23" x14ac:dyDescent="0.25">
      <c r="A167" t="s">
        <v>1065</v>
      </c>
      <c r="B167">
        <v>28</v>
      </c>
      <c r="C167" t="s">
        <v>22</v>
      </c>
      <c r="D167" t="s">
        <v>30</v>
      </c>
      <c r="E167" t="s">
        <v>111</v>
      </c>
      <c r="F167" t="s">
        <v>55</v>
      </c>
      <c r="G167" t="s">
        <v>1055</v>
      </c>
      <c r="H167">
        <v>71</v>
      </c>
      <c r="I167" t="s">
        <v>1186</v>
      </c>
      <c r="J167" s="6" t="s">
        <v>33</v>
      </c>
      <c r="K167" s="15">
        <v>0.8</v>
      </c>
      <c r="L167" s="5">
        <v>0</v>
      </c>
      <c r="M167" s="15">
        <v>2.1</v>
      </c>
      <c r="N167">
        <v>4</v>
      </c>
      <c r="O167">
        <v>6</v>
      </c>
      <c r="P167">
        <v>1.2</v>
      </c>
      <c r="Q167">
        <v>8.3000000000000007</v>
      </c>
      <c r="R167" s="2">
        <f>IF(ISBLANK(Table1[[#This Row],[Age]]),AVERAGE(Table1[Age]),Table1[[#This Row],[Age]])</f>
        <v>28</v>
      </c>
      <c r="S167" t="str">
        <f>PROPER(Table1[[#This Row],[Country]])</f>
        <v>Brazil</v>
      </c>
      <c r="T167" t="str">
        <f>TRIM(Table1[[#This Row],[Profession]])</f>
        <v>Software Engineering Student</v>
      </c>
      <c r="U167" s="5">
        <f>IF(ISBLANK(H167),AVERAGEIF(Table1[[#This Row],[Profession imputed]],T167,Table1[Monthly_Income]),H167)</f>
        <v>71</v>
      </c>
      <c r="V167" s="6" t="str">
        <f>PROPER(TRIM(Table1[AI_Tool]))</f>
        <v>Google Gemini</v>
      </c>
      <c r="W167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168" spans="1:23" x14ac:dyDescent="0.25">
      <c r="A168" t="s">
        <v>826</v>
      </c>
      <c r="B168">
        <v>27</v>
      </c>
      <c r="C168" t="s">
        <v>29</v>
      </c>
      <c r="D168" t="s">
        <v>30</v>
      </c>
      <c r="E168" t="s">
        <v>111</v>
      </c>
      <c r="F168" t="s">
        <v>132</v>
      </c>
      <c r="G168" t="s">
        <v>820</v>
      </c>
      <c r="H168">
        <v>72</v>
      </c>
      <c r="I168" t="s">
        <v>271</v>
      </c>
      <c r="J168" s="6" t="s">
        <v>38</v>
      </c>
      <c r="K168" s="15">
        <v>0</v>
      </c>
      <c r="L168" s="5">
        <v>0</v>
      </c>
      <c r="M168" s="15">
        <v>3.4</v>
      </c>
      <c r="N168">
        <v>2</v>
      </c>
      <c r="O168">
        <v>4</v>
      </c>
      <c r="P168">
        <v>1.5</v>
      </c>
      <c r="Q168">
        <v>5.8</v>
      </c>
      <c r="R168" s="2">
        <f>IF(ISBLANK(Table1[[#This Row],[Age]]),AVERAGE(Table1[Age]),Table1[[#This Row],[Age]])</f>
        <v>27</v>
      </c>
      <c r="S168" t="str">
        <f>PROPER(Table1[[#This Row],[Country]])</f>
        <v>Brazil</v>
      </c>
      <c r="T168" t="str">
        <f>TRIM(Table1[[#This Row],[Profession]])</f>
        <v>Literature Student</v>
      </c>
      <c r="U168" s="5">
        <f>IF(ISBLANK(H168),AVERAGEIF(Table1[[#This Row],[Profession imputed]],T168,Table1[Monthly_Income]),H168)</f>
        <v>72</v>
      </c>
      <c r="V168" s="6" t="str">
        <f>PROPER(TRIM(Table1[AI_Tool]))</f>
        <v>Chat Gpt</v>
      </c>
      <c r="W168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69" spans="1:23" x14ac:dyDescent="0.25">
      <c r="A169" t="s">
        <v>1160</v>
      </c>
      <c r="B169">
        <v>16</v>
      </c>
      <c r="C169" t="s">
        <v>22</v>
      </c>
      <c r="D169" t="s">
        <v>73</v>
      </c>
      <c r="E169" t="s">
        <v>111</v>
      </c>
      <c r="F169" t="s">
        <v>132</v>
      </c>
      <c r="G169" t="s">
        <v>73</v>
      </c>
      <c r="H169">
        <v>72</v>
      </c>
      <c r="I169" t="s">
        <v>69</v>
      </c>
      <c r="J169" s="6" t="s">
        <v>130</v>
      </c>
      <c r="K169" s="15">
        <v>1.9</v>
      </c>
      <c r="L169" s="5">
        <v>0</v>
      </c>
      <c r="M169" s="15">
        <v>3.5</v>
      </c>
      <c r="N169">
        <v>3</v>
      </c>
      <c r="O169">
        <v>5</v>
      </c>
      <c r="P169">
        <v>3</v>
      </c>
      <c r="Q169">
        <v>5.4</v>
      </c>
      <c r="R169" s="2">
        <f>IF(ISBLANK(Table1[[#This Row],[Age]]),AVERAGE(Table1[Age]),Table1[[#This Row],[Age]])</f>
        <v>16</v>
      </c>
      <c r="S169" t="str">
        <f>PROPER(Table1[[#This Row],[Country]])</f>
        <v>Unknown</v>
      </c>
      <c r="T169" t="str">
        <f>TRIM(Table1[[#This Row],[Profession]])</f>
        <v>UNKNOWN</v>
      </c>
      <c r="U169" s="5">
        <f>IF(ISBLANK(H169),AVERAGEIF(Table1[[#This Row],[Profession imputed]],T169,Table1[Monthly_Income]),H169)</f>
        <v>72</v>
      </c>
      <c r="V169" s="6" t="str">
        <f>PROPER(TRIM(Table1[AI_Tool]))</f>
        <v>Perplexity Ai</v>
      </c>
      <c r="W169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170" spans="1:23" x14ac:dyDescent="0.25">
      <c r="A170" t="s">
        <v>207</v>
      </c>
      <c r="B170">
        <v>24</v>
      </c>
      <c r="C170" t="s">
        <v>29</v>
      </c>
      <c r="D170" t="s">
        <v>52</v>
      </c>
      <c r="E170" t="s">
        <v>111</v>
      </c>
      <c r="F170" t="s">
        <v>132</v>
      </c>
      <c r="G170" t="s">
        <v>203</v>
      </c>
      <c r="H170">
        <v>73</v>
      </c>
      <c r="I170" t="s">
        <v>271</v>
      </c>
      <c r="J170" s="6" t="s">
        <v>130</v>
      </c>
      <c r="K170" s="15">
        <v>0.7</v>
      </c>
      <c r="L170" s="5">
        <v>0</v>
      </c>
      <c r="M170" s="15">
        <v>4.0999999999999996</v>
      </c>
      <c r="N170">
        <v>4</v>
      </c>
      <c r="O170">
        <v>6</v>
      </c>
      <c r="P170">
        <v>2.1</v>
      </c>
      <c r="Q170">
        <v>8.6</v>
      </c>
      <c r="R170" s="2">
        <f>IF(ISBLANK(Table1[[#This Row],[Age]]),AVERAGE(Table1[Age]),Table1[[#This Row],[Age]])</f>
        <v>24</v>
      </c>
      <c r="S170" t="str">
        <f>PROPER(Table1[[#This Row],[Country]])</f>
        <v>India</v>
      </c>
      <c r="T170" t="str">
        <f>TRIM(Table1[[#This Row],[Profession]])</f>
        <v>Biotechnology Student</v>
      </c>
      <c r="U170" s="5">
        <f>IF(ISBLANK(H170),AVERAGEIF(Table1[Profession imputed],T170,Table1[Monthly_Income]),H170)</f>
        <v>73</v>
      </c>
      <c r="V170" s="6" t="str">
        <f>PROPER(TRIM(Table1[AI_Tool]))</f>
        <v>Chat Gpt</v>
      </c>
      <c r="W170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171" spans="1:23" x14ac:dyDescent="0.25">
      <c r="A171" t="s">
        <v>797</v>
      </c>
      <c r="B171">
        <v>18</v>
      </c>
      <c r="C171" t="s">
        <v>22</v>
      </c>
      <c r="D171" t="s">
        <v>52</v>
      </c>
      <c r="E171" t="s">
        <v>111</v>
      </c>
      <c r="F171" t="s">
        <v>132</v>
      </c>
      <c r="G171" t="s">
        <v>787</v>
      </c>
      <c r="H171">
        <v>73</v>
      </c>
      <c r="I171" t="s">
        <v>271</v>
      </c>
      <c r="J171" s="6" t="s">
        <v>124</v>
      </c>
      <c r="K171" s="15">
        <v>1.1000000000000001</v>
      </c>
      <c r="L171" s="5">
        <v>20</v>
      </c>
      <c r="M171" s="15">
        <v>4.0999999999999996</v>
      </c>
      <c r="N171" s="7">
        <v>4</v>
      </c>
      <c r="O171">
        <v>7</v>
      </c>
      <c r="P171">
        <v>5.6</v>
      </c>
      <c r="Q171">
        <v>6.3</v>
      </c>
      <c r="R171" s="2">
        <f>IF(ISBLANK(Table1[[#This Row],[Age]]),AVERAGE(Table1[Age]),Table1[[#This Row],[Age]])</f>
        <v>18</v>
      </c>
      <c r="S171" t="str">
        <f>PROPER(Table1[[#This Row],[Country]])</f>
        <v>India</v>
      </c>
      <c r="T171" t="str">
        <f>TRIM(Table1[[#This Row],[Profession]])</f>
        <v>Information Technology Student</v>
      </c>
      <c r="U171" s="5">
        <f>IF(ISBLANK(H171),AVERAGEIF(Table1[[#This Row],[Profession imputed]],T171,Table1[Monthly_Income]),H171)</f>
        <v>73</v>
      </c>
      <c r="V171" s="6" t="str">
        <f>PROPER(TRIM(Table1[AI_Tool]))</f>
        <v>Chat Gpt</v>
      </c>
      <c r="W171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172" spans="1:23" x14ac:dyDescent="0.25">
      <c r="A172" t="s">
        <v>819</v>
      </c>
      <c r="B172">
        <v>26</v>
      </c>
      <c r="C172" t="s">
        <v>29</v>
      </c>
      <c r="D172" t="s">
        <v>30</v>
      </c>
      <c r="E172" t="s">
        <v>111</v>
      </c>
      <c r="F172" t="s">
        <v>132</v>
      </c>
      <c r="G172" t="s">
        <v>820</v>
      </c>
      <c r="H172">
        <v>73</v>
      </c>
      <c r="I172" t="s">
        <v>271</v>
      </c>
      <c r="J172" s="6" t="s">
        <v>38</v>
      </c>
      <c r="K172" s="15">
        <v>0</v>
      </c>
      <c r="L172" s="5">
        <v>0</v>
      </c>
      <c r="M172" s="15">
        <v>3.4</v>
      </c>
      <c r="N172">
        <v>2</v>
      </c>
      <c r="O172">
        <v>4</v>
      </c>
      <c r="P172">
        <v>1.5</v>
      </c>
      <c r="Q172">
        <v>5.8</v>
      </c>
      <c r="R172" s="2">
        <f>IF(ISBLANK(Table1[[#This Row],[Age]]),AVERAGE(Table1[Age]),Table1[[#This Row],[Age]])</f>
        <v>26</v>
      </c>
      <c r="S172" t="str">
        <f>PROPER(Table1[[#This Row],[Country]])</f>
        <v>Brazil</v>
      </c>
      <c r="T172" t="str">
        <f>TRIM(Table1[[#This Row],[Profession]])</f>
        <v>Literature Student</v>
      </c>
      <c r="U172" s="5">
        <f>IF(ISBLANK(H172),AVERAGEIF(Table1[[#This Row],[Profession imputed]],T172,Table1[Monthly_Income]),H172)</f>
        <v>73</v>
      </c>
      <c r="V172" s="6" t="str">
        <f>PROPER(TRIM(Table1[AI_Tool]))</f>
        <v>Chat Gpt</v>
      </c>
      <c r="W172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73" spans="1:23" x14ac:dyDescent="0.25">
      <c r="A173" t="s">
        <v>824</v>
      </c>
      <c r="B173">
        <v>27</v>
      </c>
      <c r="C173" t="s">
        <v>29</v>
      </c>
      <c r="D173" t="s">
        <v>30</v>
      </c>
      <c r="E173" t="s">
        <v>111</v>
      </c>
      <c r="F173" t="s">
        <v>132</v>
      </c>
      <c r="G173" t="s">
        <v>820</v>
      </c>
      <c r="H173">
        <v>73</v>
      </c>
      <c r="I173" t="s">
        <v>271</v>
      </c>
      <c r="J173" s="6" t="s">
        <v>38</v>
      </c>
      <c r="K173" s="15">
        <v>0</v>
      </c>
      <c r="L173" s="5">
        <v>0</v>
      </c>
      <c r="M173" s="15">
        <v>3.4</v>
      </c>
      <c r="N173">
        <v>2</v>
      </c>
      <c r="O173">
        <v>4</v>
      </c>
      <c r="P173">
        <v>1.5</v>
      </c>
      <c r="Q173">
        <v>5.8</v>
      </c>
      <c r="R173" s="2">
        <f>IF(ISBLANK(Table1[[#This Row],[Age]]),AVERAGE(Table1[Age]),Table1[[#This Row],[Age]])</f>
        <v>27</v>
      </c>
      <c r="S173" t="str">
        <f>PROPER(Table1[[#This Row],[Country]])</f>
        <v>Brazil</v>
      </c>
      <c r="T173" t="str">
        <f>TRIM(Table1[[#This Row],[Profession]])</f>
        <v>Literature Student</v>
      </c>
      <c r="U173" s="5">
        <f>IF(ISBLANK(H173),AVERAGEIF(Table1[[#This Row],[Profession imputed]],T173,Table1[Monthly_Income]),H173)</f>
        <v>73</v>
      </c>
      <c r="V173" s="6" t="str">
        <f>PROPER(TRIM(Table1[AI_Tool]))</f>
        <v>Chat Gpt</v>
      </c>
      <c r="W173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74" spans="1:23" x14ac:dyDescent="0.25">
      <c r="A174" t="s">
        <v>613</v>
      </c>
      <c r="B174">
        <v>27</v>
      </c>
      <c r="C174" t="s">
        <v>22</v>
      </c>
      <c r="D174" t="s">
        <v>57</v>
      </c>
      <c r="E174" t="s">
        <v>111</v>
      </c>
      <c r="F174" t="s">
        <v>132</v>
      </c>
      <c r="G174" t="s">
        <v>611</v>
      </c>
      <c r="H174">
        <v>74</v>
      </c>
      <c r="I174" t="s">
        <v>271</v>
      </c>
      <c r="J174" s="6" t="s">
        <v>75</v>
      </c>
      <c r="K174" s="15">
        <v>1.9</v>
      </c>
      <c r="L174" s="5">
        <v>0</v>
      </c>
      <c r="M174" s="15">
        <v>0</v>
      </c>
      <c r="N174">
        <v>4</v>
      </c>
      <c r="O174">
        <v>7</v>
      </c>
      <c r="P174">
        <v>1.4</v>
      </c>
      <c r="Q174">
        <v>7.4</v>
      </c>
      <c r="R174" s="2">
        <f>IF(ISBLANK(Table1[[#This Row],[Age]]),AVERAGE(Table1[Age]),Table1[[#This Row],[Age]])</f>
        <v>27</v>
      </c>
      <c r="S174" t="str">
        <f>PROPER(Table1[[#This Row],[Country]])</f>
        <v>Pakistan</v>
      </c>
      <c r="T174" t="str">
        <f>TRIM(Table1[[#This Row],[Profession]])</f>
        <v>Digital Marketing Student</v>
      </c>
      <c r="U174" s="5">
        <f>IF(ISBLANK(H174),AVERAGEIF(Table1[Profession imputed],T174,Table1[Monthly_Income]),H174)</f>
        <v>74</v>
      </c>
      <c r="V174" s="6" t="str">
        <f>PROPER(TRIM(Table1[AI_Tool]))</f>
        <v>Chat Gpt</v>
      </c>
      <c r="W174" s="8">
        <f>IF(ISBLANK(Table1[[#This Row],[Time_Saved_Hours_Per_Week]]),AVERAGEIF(Table1[Satisfaction_Score],Table1[[#This Row],[Satisfaction_Score]],Table1[Time_Saved_Hours_Per_Week]),Table1[[#This Row],[Time_Saved_Hours_Per_Week]])</f>
        <v>1.4</v>
      </c>
    </row>
    <row r="175" spans="1:23" x14ac:dyDescent="0.25">
      <c r="A175" t="s">
        <v>823</v>
      </c>
      <c r="B175">
        <v>28</v>
      </c>
      <c r="C175" t="s">
        <v>29</v>
      </c>
      <c r="D175" t="s">
        <v>30</v>
      </c>
      <c r="E175" t="s">
        <v>111</v>
      </c>
      <c r="F175" t="s">
        <v>132</v>
      </c>
      <c r="G175" t="s">
        <v>820</v>
      </c>
      <c r="H175">
        <v>74</v>
      </c>
      <c r="I175" t="s">
        <v>271</v>
      </c>
      <c r="J175" s="6" t="s">
        <v>38</v>
      </c>
      <c r="K175" s="15">
        <v>0</v>
      </c>
      <c r="L175" s="5">
        <v>0</v>
      </c>
      <c r="M175" s="15">
        <v>3.4</v>
      </c>
      <c r="N175">
        <v>2</v>
      </c>
      <c r="O175">
        <v>4</v>
      </c>
      <c r="P175">
        <v>1.5</v>
      </c>
      <c r="Q175">
        <v>5.8</v>
      </c>
      <c r="R175" s="2">
        <f>IF(ISBLANK(Table1[[#This Row],[Age]]),AVERAGE(Table1[Age]),Table1[[#This Row],[Age]])</f>
        <v>28</v>
      </c>
      <c r="S175" t="str">
        <f>PROPER(Table1[[#This Row],[Country]])</f>
        <v>Brazil</v>
      </c>
      <c r="T175" t="str">
        <f>TRIM(Table1[[#This Row],[Profession]])</f>
        <v>Literature Student</v>
      </c>
      <c r="U175" s="5">
        <f>IF(ISBLANK(H175),AVERAGEIF(Table1[[#This Row],[Profession imputed]],T175,Table1[Monthly_Income]),H175)</f>
        <v>74</v>
      </c>
      <c r="V175" s="6" t="str">
        <f>PROPER(TRIM(Table1[AI_Tool]))</f>
        <v>Chat Gpt</v>
      </c>
      <c r="W175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76" spans="1:23" x14ac:dyDescent="0.25">
      <c r="A176" t="s">
        <v>1066</v>
      </c>
      <c r="B176">
        <v>27</v>
      </c>
      <c r="C176" t="s">
        <v>22</v>
      </c>
      <c r="D176" t="s">
        <v>30</v>
      </c>
      <c r="E176" t="s">
        <v>111</v>
      </c>
      <c r="F176" t="s">
        <v>55</v>
      </c>
      <c r="G176" t="s">
        <v>1055</v>
      </c>
      <c r="H176">
        <v>74</v>
      </c>
      <c r="I176" t="s">
        <v>1186</v>
      </c>
      <c r="J176" s="6" t="s">
        <v>33</v>
      </c>
      <c r="K176" s="15">
        <v>0.8</v>
      </c>
      <c r="L176" s="5">
        <v>0</v>
      </c>
      <c r="M176" s="15">
        <v>2.1</v>
      </c>
      <c r="N176">
        <v>4</v>
      </c>
      <c r="O176">
        <v>6</v>
      </c>
      <c r="P176">
        <v>1.2</v>
      </c>
      <c r="Q176">
        <v>8.3000000000000007</v>
      </c>
      <c r="R176" s="2">
        <f>IF(ISBLANK(Table1[[#This Row],[Age]]),AVERAGE(Table1[Age]),Table1[[#This Row],[Age]])</f>
        <v>27</v>
      </c>
      <c r="S176" t="str">
        <f>PROPER(Table1[[#This Row],[Country]])</f>
        <v>Brazil</v>
      </c>
      <c r="T176" t="str">
        <f>TRIM(Table1[[#This Row],[Profession]])</f>
        <v>Software Engineering Student</v>
      </c>
      <c r="U176" s="5">
        <f>IF(ISBLANK(H176),AVERAGEIF(Table1[[#This Row],[Profession imputed]],T176,Table1[Monthly_Income]),H176)</f>
        <v>74</v>
      </c>
      <c r="V176" s="6" t="str">
        <f>PROPER(TRIM(Table1[AI_Tool]))</f>
        <v>Google Gemini</v>
      </c>
      <c r="W176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177" spans="1:23" x14ac:dyDescent="0.25">
      <c r="A177" t="s">
        <v>537</v>
      </c>
      <c r="B177">
        <v>22</v>
      </c>
      <c r="C177" t="s">
        <v>29</v>
      </c>
      <c r="D177" t="s">
        <v>52</v>
      </c>
      <c r="E177" t="s">
        <v>111</v>
      </c>
      <c r="F177" t="s">
        <v>132</v>
      </c>
      <c r="G177" t="s">
        <v>520</v>
      </c>
      <c r="H177">
        <v>75</v>
      </c>
      <c r="I177" t="s">
        <v>37</v>
      </c>
      <c r="J177" s="6" t="s">
        <v>130</v>
      </c>
      <c r="K177" s="15">
        <v>1.5</v>
      </c>
      <c r="L177" s="5">
        <v>0</v>
      </c>
      <c r="M177" s="15">
        <v>3.4</v>
      </c>
      <c r="N177">
        <v>2</v>
      </c>
      <c r="O177">
        <v>4</v>
      </c>
      <c r="P177">
        <v>2.2000000000000002</v>
      </c>
      <c r="Q177">
        <v>8</v>
      </c>
      <c r="R177" s="2">
        <f>IF(ISBLANK(Table1[[#This Row],[Age]]),AVERAGE(Table1[Age]),Table1[[#This Row],[Age]])</f>
        <v>22</v>
      </c>
      <c r="S177" t="str">
        <f>PROPER(Table1[[#This Row],[Country]])</f>
        <v>India</v>
      </c>
      <c r="T177" t="str">
        <f>TRIM(Table1[[#This Row],[Profession]])</f>
        <v>Data Science Student</v>
      </c>
      <c r="U177" s="5">
        <f>IF(ISBLANK(H177),AVERAGEIF(Table1[Profession imputed],T177,Table1[Monthly_Income]),H177)</f>
        <v>75</v>
      </c>
      <c r="V177" s="6" t="str">
        <f>PROPER(TRIM(Table1[AI_Tool]))</f>
        <v>Grammarly</v>
      </c>
      <c r="W177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178" spans="1:23" x14ac:dyDescent="0.25">
      <c r="A178" t="s">
        <v>634</v>
      </c>
      <c r="B178">
        <v>22</v>
      </c>
      <c r="C178" t="s">
        <v>29</v>
      </c>
      <c r="D178" t="s">
        <v>52</v>
      </c>
      <c r="E178" t="s">
        <v>111</v>
      </c>
      <c r="F178" t="s">
        <v>132</v>
      </c>
      <c r="G178" t="s">
        <v>630</v>
      </c>
      <c r="H178">
        <v>75</v>
      </c>
      <c r="I178" t="s">
        <v>1186</v>
      </c>
      <c r="J178" s="6" t="s">
        <v>75</v>
      </c>
      <c r="K178" s="15">
        <v>3.5</v>
      </c>
      <c r="L178" s="5">
        <v>20</v>
      </c>
      <c r="M178" s="15">
        <v>4.7</v>
      </c>
      <c r="N178">
        <v>4</v>
      </c>
      <c r="O178">
        <v>7</v>
      </c>
      <c r="P178">
        <v>8.3000000000000007</v>
      </c>
      <c r="Q178">
        <v>6.2</v>
      </c>
      <c r="R178" s="2">
        <f>IF(ISBLANK(Table1[[#This Row],[Age]]),AVERAGE(Table1[Age]),Table1[[#This Row],[Age]])</f>
        <v>22</v>
      </c>
      <c r="S178" t="str">
        <f>PROPER(Table1[[#This Row],[Country]])</f>
        <v>India</v>
      </c>
      <c r="T178" t="str">
        <f>TRIM(Table1[[#This Row],[Profession]])</f>
        <v>Digital Media and Communications Student</v>
      </c>
      <c r="U178" s="5">
        <f>IF(ISBLANK(H178),AVERAGEIF(Table1[Profession imputed],T178,Table1[Monthly_Income]),H178)</f>
        <v>75</v>
      </c>
      <c r="V178" s="6" t="str">
        <f>PROPER(TRIM(Table1[AI_Tool]))</f>
        <v>Google Gemini</v>
      </c>
      <c r="W178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179" spans="1:23" x14ac:dyDescent="0.25">
      <c r="A179" t="s">
        <v>664</v>
      </c>
      <c r="B179">
        <v>17</v>
      </c>
      <c r="C179" t="s">
        <v>29</v>
      </c>
      <c r="D179" t="s">
        <v>57</v>
      </c>
      <c r="E179" t="s">
        <v>111</v>
      </c>
      <c r="F179" t="s">
        <v>25</v>
      </c>
      <c r="G179" t="s">
        <v>663</v>
      </c>
      <c r="H179">
        <v>75</v>
      </c>
      <c r="I179" t="s">
        <v>139</v>
      </c>
      <c r="J179" s="6" t="s">
        <v>124</v>
      </c>
      <c r="K179" s="15">
        <v>5.9</v>
      </c>
      <c r="L179" s="5">
        <v>0</v>
      </c>
      <c r="M179" s="15">
        <v>6.1</v>
      </c>
      <c r="N179">
        <v>2</v>
      </c>
      <c r="O179">
        <v>5</v>
      </c>
      <c r="P179">
        <v>12.1</v>
      </c>
      <c r="Q179">
        <v>0</v>
      </c>
      <c r="R179" s="2">
        <f>IF(ISBLANK(Table1[[#This Row],[Age]]),AVERAGE(Table1[Age]),Table1[[#This Row],[Age]])</f>
        <v>17</v>
      </c>
      <c r="S179" t="str">
        <f>PROPER(Table1[[#This Row],[Country]])</f>
        <v>Pakistan</v>
      </c>
      <c r="T179" t="str">
        <f>TRIM(Table1[[#This Row],[Profession]])</f>
        <v>Engineering Student</v>
      </c>
      <c r="U179" s="5">
        <f>IF(ISBLANK(H179),AVERAGEIF(Table1[Profession imputed],T179,Table1[Monthly_Income]),H179)</f>
        <v>75</v>
      </c>
      <c r="V179" s="6" t="str">
        <f>PROPER(TRIM(Table1[AI_Tool]))</f>
        <v>Microsoft Copilot</v>
      </c>
      <c r="W179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180" spans="1:23" x14ac:dyDescent="0.25">
      <c r="A180" t="s">
        <v>206</v>
      </c>
      <c r="B180">
        <v>21</v>
      </c>
      <c r="C180" t="s">
        <v>29</v>
      </c>
      <c r="D180" t="s">
        <v>52</v>
      </c>
      <c r="E180" t="s">
        <v>111</v>
      </c>
      <c r="F180" t="s">
        <v>132</v>
      </c>
      <c r="G180" t="s">
        <v>203</v>
      </c>
      <c r="H180">
        <v>76</v>
      </c>
      <c r="I180" t="s">
        <v>271</v>
      </c>
      <c r="J180" s="6" t="s">
        <v>130</v>
      </c>
      <c r="K180" s="15">
        <v>0.7</v>
      </c>
      <c r="L180" s="5">
        <v>0</v>
      </c>
      <c r="M180" s="15">
        <v>4.0999999999999996</v>
      </c>
      <c r="N180">
        <v>4</v>
      </c>
      <c r="O180">
        <v>6</v>
      </c>
      <c r="P180">
        <v>2.1</v>
      </c>
      <c r="Q180">
        <v>8.6</v>
      </c>
      <c r="R180" s="2">
        <f>IF(ISBLANK(Table1[[#This Row],[Age]]),AVERAGE(Table1[Age]),Table1[[#This Row],[Age]])</f>
        <v>21</v>
      </c>
      <c r="S180" t="str">
        <f>PROPER(Table1[[#This Row],[Country]])</f>
        <v>India</v>
      </c>
      <c r="T180" t="str">
        <f>TRIM(Table1[[#This Row],[Profession]])</f>
        <v>Biotechnology Student</v>
      </c>
      <c r="U180" s="5">
        <f>IF(ISBLANK(H180),AVERAGEIF(Table1[Profession imputed],T180,Table1[Monthly_Income]),H180)</f>
        <v>76</v>
      </c>
      <c r="V180" s="6" t="str">
        <f>PROPER(TRIM(Table1[AI_Tool]))</f>
        <v>Chat Gpt</v>
      </c>
      <c r="W180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181" spans="1:23" x14ac:dyDescent="0.25">
      <c r="A181" t="s">
        <v>791</v>
      </c>
      <c r="B181">
        <v>16</v>
      </c>
      <c r="C181" t="s">
        <v>22</v>
      </c>
      <c r="D181" t="s">
        <v>35</v>
      </c>
      <c r="E181" t="s">
        <v>111</v>
      </c>
      <c r="F181" t="s">
        <v>132</v>
      </c>
      <c r="G181" t="s">
        <v>787</v>
      </c>
      <c r="H181">
        <v>76</v>
      </c>
      <c r="I181" t="s">
        <v>271</v>
      </c>
      <c r="J181" s="6" t="s">
        <v>106</v>
      </c>
      <c r="K181" s="15">
        <v>1.2</v>
      </c>
      <c r="L181" s="5">
        <v>0</v>
      </c>
      <c r="M181" s="15">
        <v>3.4</v>
      </c>
      <c r="N181">
        <v>3</v>
      </c>
      <c r="O181">
        <v>5</v>
      </c>
      <c r="P181">
        <v>3.7</v>
      </c>
      <c r="Q181">
        <v>8.1999999999999993</v>
      </c>
      <c r="R181" s="2">
        <f>IF(ISBLANK(Table1[[#This Row],[Age]]),AVERAGE(Table1[Age]),Table1[[#This Row],[Age]])</f>
        <v>16</v>
      </c>
      <c r="S181" t="str">
        <f>PROPER(Table1[[#This Row],[Country]])</f>
        <v>Philippines</v>
      </c>
      <c r="T181" t="str">
        <f>TRIM(Table1[[#This Row],[Profession]])</f>
        <v>Information Technology Student</v>
      </c>
      <c r="U181" s="5">
        <f>IF(ISBLANK(H181),AVERAGEIF(Table1[[#This Row],[Profession imputed]],T181,Table1[Monthly_Income]),H181)</f>
        <v>76</v>
      </c>
      <c r="V181" s="6" t="str">
        <f>PROPER(TRIM(Table1[AI_Tool]))</f>
        <v>Chat Gpt</v>
      </c>
      <c r="W181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182" spans="1:23" x14ac:dyDescent="0.25">
      <c r="A182" t="s">
        <v>825</v>
      </c>
      <c r="B182">
        <v>28</v>
      </c>
      <c r="C182" t="s">
        <v>29</v>
      </c>
      <c r="D182" t="s">
        <v>30</v>
      </c>
      <c r="E182" t="s">
        <v>111</v>
      </c>
      <c r="F182" t="s">
        <v>132</v>
      </c>
      <c r="G182" t="s">
        <v>820</v>
      </c>
      <c r="H182">
        <v>76</v>
      </c>
      <c r="I182" t="s">
        <v>271</v>
      </c>
      <c r="J182" s="6" t="s">
        <v>38</v>
      </c>
      <c r="K182" s="15">
        <v>0</v>
      </c>
      <c r="L182" s="5">
        <v>0</v>
      </c>
      <c r="M182" s="15">
        <v>3.4</v>
      </c>
      <c r="N182">
        <v>2</v>
      </c>
      <c r="O182">
        <v>4</v>
      </c>
      <c r="P182">
        <v>1.5</v>
      </c>
      <c r="Q182">
        <v>5.8</v>
      </c>
      <c r="R182" s="2">
        <f>IF(ISBLANK(Table1[[#This Row],[Age]]),AVERAGE(Table1[Age]),Table1[[#This Row],[Age]])</f>
        <v>28</v>
      </c>
      <c r="S182" t="str">
        <f>PROPER(Table1[[#This Row],[Country]])</f>
        <v>Brazil</v>
      </c>
      <c r="T182" t="str">
        <f>TRIM(Table1[[#This Row],[Profession]])</f>
        <v>Literature Student</v>
      </c>
      <c r="U182" s="5">
        <f>IF(ISBLANK(H182),AVERAGEIF(Table1[[#This Row],[Profession imputed]],T182,Table1[Monthly_Income]),H182)</f>
        <v>76</v>
      </c>
      <c r="V182" s="6" t="str">
        <f>PROPER(TRIM(Table1[AI_Tool]))</f>
        <v>Chat Gpt</v>
      </c>
      <c r="W182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83" spans="1:23" x14ac:dyDescent="0.25">
      <c r="A183" t="s">
        <v>827</v>
      </c>
      <c r="B183">
        <v>25</v>
      </c>
      <c r="C183" t="s">
        <v>29</v>
      </c>
      <c r="D183" t="s">
        <v>30</v>
      </c>
      <c r="E183" t="s">
        <v>111</v>
      </c>
      <c r="F183" t="s">
        <v>132</v>
      </c>
      <c r="G183" t="s">
        <v>820</v>
      </c>
      <c r="H183">
        <v>76</v>
      </c>
      <c r="I183" t="s">
        <v>271</v>
      </c>
      <c r="J183" s="6" t="s">
        <v>38</v>
      </c>
      <c r="K183" s="15">
        <v>0</v>
      </c>
      <c r="L183" s="5">
        <v>0</v>
      </c>
      <c r="M183" s="15">
        <v>3.4</v>
      </c>
      <c r="N183">
        <v>2</v>
      </c>
      <c r="O183">
        <v>4</v>
      </c>
      <c r="P183">
        <v>1.5</v>
      </c>
      <c r="Q183">
        <v>5.8</v>
      </c>
      <c r="R183" s="2">
        <f>IF(ISBLANK(Table1[[#This Row],[Age]]),AVERAGE(Table1[Age]),Table1[[#This Row],[Age]])</f>
        <v>25</v>
      </c>
      <c r="S183" t="str">
        <f>PROPER(Table1[[#This Row],[Country]])</f>
        <v>Brazil</v>
      </c>
      <c r="T183" t="str">
        <f>TRIM(Table1[[#This Row],[Profession]])</f>
        <v>Literature Student</v>
      </c>
      <c r="U183" s="5">
        <f>IF(ISBLANK(H183),AVERAGEIF(Table1[[#This Row],[Profession imputed]],T183,Table1[Monthly_Income]),H183)</f>
        <v>76</v>
      </c>
      <c r="V183" s="6" t="str">
        <f>PROPER(TRIM(Table1[AI_Tool]))</f>
        <v>Chat Gpt</v>
      </c>
      <c r="W183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184" spans="1:23" x14ac:dyDescent="0.25">
      <c r="A184" t="s">
        <v>524</v>
      </c>
      <c r="B184">
        <v>23</v>
      </c>
      <c r="C184" t="s">
        <v>29</v>
      </c>
      <c r="D184" t="s">
        <v>52</v>
      </c>
      <c r="E184" t="s">
        <v>111</v>
      </c>
      <c r="F184" t="s">
        <v>132</v>
      </c>
      <c r="G184" t="s">
        <v>520</v>
      </c>
      <c r="H184">
        <v>77</v>
      </c>
      <c r="I184" t="s">
        <v>37</v>
      </c>
      <c r="J184" s="6" t="s">
        <v>130</v>
      </c>
      <c r="K184" s="15">
        <v>1.5</v>
      </c>
      <c r="L184" s="5">
        <v>0</v>
      </c>
      <c r="M184" s="15">
        <v>3.4</v>
      </c>
      <c r="N184">
        <v>2</v>
      </c>
      <c r="O184">
        <v>4</v>
      </c>
      <c r="P184">
        <v>2.2000000000000002</v>
      </c>
      <c r="Q184">
        <v>8</v>
      </c>
      <c r="R184" s="2">
        <f>IF(ISBLANK(Table1[[#This Row],[Age]]),AVERAGE(Table1[Age]),Table1[[#This Row],[Age]])</f>
        <v>23</v>
      </c>
      <c r="S184" t="str">
        <f>PROPER(Table1[[#This Row],[Country]])</f>
        <v>India</v>
      </c>
      <c r="T184" t="str">
        <f>TRIM(Table1[[#This Row],[Profession]])</f>
        <v>Data Science Student</v>
      </c>
      <c r="U184" s="5">
        <f>IF(ISBLANK(H184),AVERAGEIF(Table1[Profession imputed],T184,Table1[Monthly_Income]),H184)</f>
        <v>77</v>
      </c>
      <c r="V184" s="6" t="str">
        <f>PROPER(TRIM(Table1[AI_Tool]))</f>
        <v>Grammarly</v>
      </c>
      <c r="W184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185" spans="1:23" x14ac:dyDescent="0.25">
      <c r="A185" t="s">
        <v>211</v>
      </c>
      <c r="B185">
        <v>22</v>
      </c>
      <c r="C185" t="s">
        <v>29</v>
      </c>
      <c r="D185" t="s">
        <v>52</v>
      </c>
      <c r="E185" t="s">
        <v>111</v>
      </c>
      <c r="F185" t="s">
        <v>132</v>
      </c>
      <c r="G185" t="s">
        <v>203</v>
      </c>
      <c r="H185">
        <v>78</v>
      </c>
      <c r="I185" t="s">
        <v>271</v>
      </c>
      <c r="J185" s="6" t="s">
        <v>124</v>
      </c>
      <c r="K185" s="15">
        <v>0.7</v>
      </c>
      <c r="L185" s="5">
        <v>0</v>
      </c>
      <c r="M185" s="15">
        <v>4.0999999999999996</v>
      </c>
      <c r="N185">
        <v>4</v>
      </c>
      <c r="O185">
        <v>6</v>
      </c>
      <c r="P185">
        <v>2.1</v>
      </c>
      <c r="Q185">
        <v>8.6</v>
      </c>
      <c r="R185" s="2">
        <f>IF(ISBLANK(Table1[[#This Row],[Age]]),AVERAGE(Table1[Age]),Table1[[#This Row],[Age]])</f>
        <v>22</v>
      </c>
      <c r="S185" t="str">
        <f>PROPER(Table1[[#This Row],[Country]])</f>
        <v>India</v>
      </c>
      <c r="T185" t="str">
        <f>TRIM(Table1[[#This Row],[Profession]])</f>
        <v>Biotechnology Student</v>
      </c>
      <c r="U185" s="5">
        <f>IF(ISBLANK(H185),AVERAGEIF(Table1[Profession imputed],T185,Table1[Monthly_Income]),H185)</f>
        <v>78</v>
      </c>
      <c r="V185" s="6" t="str">
        <f>PROPER(TRIM(Table1[AI_Tool]))</f>
        <v>Chat Gpt</v>
      </c>
      <c r="W185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186" spans="1:23" x14ac:dyDescent="0.25">
      <c r="A186" t="s">
        <v>632</v>
      </c>
      <c r="B186">
        <v>18</v>
      </c>
      <c r="C186" t="s">
        <v>29</v>
      </c>
      <c r="D186" t="s">
        <v>52</v>
      </c>
      <c r="E186" t="s">
        <v>111</v>
      </c>
      <c r="F186" t="s">
        <v>132</v>
      </c>
      <c r="G186" t="s">
        <v>630</v>
      </c>
      <c r="H186">
        <v>78</v>
      </c>
      <c r="I186" t="s">
        <v>1186</v>
      </c>
      <c r="J186" s="6" t="s">
        <v>75</v>
      </c>
      <c r="K186" s="15">
        <v>3.5</v>
      </c>
      <c r="L186" s="5">
        <v>20</v>
      </c>
      <c r="M186" s="15">
        <v>4.7</v>
      </c>
      <c r="N186">
        <v>4</v>
      </c>
      <c r="O186">
        <v>7</v>
      </c>
      <c r="P186">
        <v>8.3000000000000007</v>
      </c>
      <c r="Q186">
        <v>6.2</v>
      </c>
      <c r="R186" s="2">
        <f>IF(ISBLANK(Table1[[#This Row],[Age]]),AVERAGE(Table1[Age]),Table1[[#This Row],[Age]])</f>
        <v>18</v>
      </c>
      <c r="S186" t="str">
        <f>PROPER(Table1[[#This Row],[Country]])</f>
        <v>India</v>
      </c>
      <c r="T186" t="str">
        <f>TRIM(Table1[[#This Row],[Profession]])</f>
        <v>Digital Media and Communications Student</v>
      </c>
      <c r="U186" s="5">
        <f>IF(ISBLANK(H186),AVERAGEIF(Table1[Profession imputed],T186,Table1[Monthly_Income]),H186)</f>
        <v>78</v>
      </c>
      <c r="V186" s="6" t="str">
        <f>PROPER(TRIM(Table1[AI_Tool]))</f>
        <v>Google Gemini</v>
      </c>
      <c r="W186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187" spans="1:23" x14ac:dyDescent="0.25">
      <c r="A187" t="s">
        <v>629</v>
      </c>
      <c r="B187">
        <v>20</v>
      </c>
      <c r="C187" t="s">
        <v>29</v>
      </c>
      <c r="D187" t="s">
        <v>52</v>
      </c>
      <c r="E187" t="s">
        <v>111</v>
      </c>
      <c r="F187" t="s">
        <v>132</v>
      </c>
      <c r="G187" t="s">
        <v>630</v>
      </c>
      <c r="H187">
        <v>79</v>
      </c>
      <c r="I187" t="s">
        <v>1186</v>
      </c>
      <c r="J187" s="6" t="s">
        <v>75</v>
      </c>
      <c r="K187" s="15">
        <v>3.5</v>
      </c>
      <c r="L187" s="5">
        <v>20</v>
      </c>
      <c r="M187" s="15">
        <v>4.7</v>
      </c>
      <c r="N187">
        <v>4</v>
      </c>
      <c r="O187">
        <v>7</v>
      </c>
      <c r="P187">
        <v>8.3000000000000007</v>
      </c>
      <c r="Q187">
        <v>6.2</v>
      </c>
      <c r="R187" s="2">
        <f>IF(ISBLANK(Table1[[#This Row],[Age]]),AVERAGE(Table1[Age]),Table1[[#This Row],[Age]])</f>
        <v>20</v>
      </c>
      <c r="S187" t="str">
        <f>PROPER(Table1[[#This Row],[Country]])</f>
        <v>India</v>
      </c>
      <c r="T187" t="str">
        <f>TRIM(Table1[[#This Row],[Profession]])</f>
        <v>Digital Media and Communications Student</v>
      </c>
      <c r="U187" s="5">
        <f>IF(ISBLANK(H187),AVERAGEIF(Table1[Profession imputed],T187,Table1[Monthly_Income]),H187)</f>
        <v>79</v>
      </c>
      <c r="V187" s="6" t="str">
        <f>PROPER(TRIM(Table1[AI_Tool]))</f>
        <v>Google Gemini</v>
      </c>
      <c r="W187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188" spans="1:23" x14ac:dyDescent="0.25">
      <c r="A188" t="s">
        <v>668</v>
      </c>
      <c r="B188">
        <v>16</v>
      </c>
      <c r="C188" t="s">
        <v>29</v>
      </c>
      <c r="D188" t="s">
        <v>57</v>
      </c>
      <c r="E188" t="s">
        <v>111</v>
      </c>
      <c r="F188" t="s">
        <v>25</v>
      </c>
      <c r="G188" t="s">
        <v>663</v>
      </c>
      <c r="H188">
        <v>79</v>
      </c>
      <c r="I188" t="s">
        <v>139</v>
      </c>
      <c r="J188" s="6" t="s">
        <v>124</v>
      </c>
      <c r="K188" s="15">
        <v>5.9</v>
      </c>
      <c r="L188" s="5">
        <v>0</v>
      </c>
      <c r="M188" s="15">
        <v>6.1</v>
      </c>
      <c r="N188">
        <v>2</v>
      </c>
      <c r="O188">
        <v>5</v>
      </c>
      <c r="P188">
        <v>12.1</v>
      </c>
      <c r="Q188">
        <v>0</v>
      </c>
      <c r="R188" s="2">
        <f>IF(ISBLANK(Table1[[#This Row],[Age]]),AVERAGE(Table1[Age]),Table1[[#This Row],[Age]])</f>
        <v>16</v>
      </c>
      <c r="S188" t="str">
        <f>PROPER(Table1[[#This Row],[Country]])</f>
        <v>Pakistan</v>
      </c>
      <c r="T188" t="str">
        <f>TRIM(Table1[[#This Row],[Profession]])</f>
        <v>Engineering Student</v>
      </c>
      <c r="U188" s="5">
        <f>IF(ISBLANK(H188),AVERAGEIF(Table1[Profession imputed],T188,Table1[Monthly_Income]),H188)</f>
        <v>79</v>
      </c>
      <c r="V188" s="6" t="str">
        <f>PROPER(TRIM(Table1[AI_Tool]))</f>
        <v>Microsoft Copilot</v>
      </c>
      <c r="W188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189" spans="1:23" x14ac:dyDescent="0.25">
      <c r="A189" t="s">
        <v>792</v>
      </c>
      <c r="B189">
        <v>18</v>
      </c>
      <c r="C189" t="s">
        <v>22</v>
      </c>
      <c r="D189" t="s">
        <v>35</v>
      </c>
      <c r="E189" t="s">
        <v>111</v>
      </c>
      <c r="F189" t="s">
        <v>132</v>
      </c>
      <c r="G189" t="s">
        <v>787</v>
      </c>
      <c r="H189">
        <v>79</v>
      </c>
      <c r="I189" t="s">
        <v>271</v>
      </c>
      <c r="J189" s="6" t="s">
        <v>106</v>
      </c>
      <c r="K189" s="15">
        <v>1.2</v>
      </c>
      <c r="L189" s="5">
        <v>0</v>
      </c>
      <c r="M189" s="15">
        <v>3.4</v>
      </c>
      <c r="N189">
        <v>3</v>
      </c>
      <c r="O189">
        <v>5</v>
      </c>
      <c r="P189">
        <v>3.7</v>
      </c>
      <c r="Q189">
        <v>8.1999999999999993</v>
      </c>
      <c r="R189" s="2">
        <f>IF(ISBLANK(Table1[[#This Row],[Age]]),AVERAGE(Table1[Age]),Table1[[#This Row],[Age]])</f>
        <v>18</v>
      </c>
      <c r="S189" t="str">
        <f>PROPER(Table1[[#This Row],[Country]])</f>
        <v>Philippines</v>
      </c>
      <c r="T189" t="str">
        <f>TRIM(Table1[[#This Row],[Profession]])</f>
        <v>Information Technology Student</v>
      </c>
      <c r="U189" s="5">
        <f>IF(ISBLANK(H189),AVERAGEIF(Table1[[#This Row],[Profession imputed]],T189,Table1[Monthly_Income]),H189)</f>
        <v>79</v>
      </c>
      <c r="V189" s="6" t="str">
        <f>PROPER(TRIM(Table1[AI_Tool]))</f>
        <v>Chat Gpt</v>
      </c>
      <c r="W189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190" spans="1:23" x14ac:dyDescent="0.25">
      <c r="A190" t="s">
        <v>181</v>
      </c>
      <c r="B190">
        <v>18</v>
      </c>
      <c r="C190" t="s">
        <v>22</v>
      </c>
      <c r="D190" t="s">
        <v>57</v>
      </c>
      <c r="E190" t="s">
        <v>111</v>
      </c>
      <c r="F190" t="s">
        <v>132</v>
      </c>
      <c r="G190" t="s">
        <v>179</v>
      </c>
      <c r="H190">
        <v>80</v>
      </c>
      <c r="I190" t="s">
        <v>37</v>
      </c>
      <c r="J190" s="6" t="s">
        <v>130</v>
      </c>
      <c r="K190" s="15">
        <v>4.0999999999999996</v>
      </c>
      <c r="L190" s="5">
        <v>20</v>
      </c>
      <c r="M190" s="15">
        <v>7</v>
      </c>
      <c r="N190">
        <v>5</v>
      </c>
      <c r="O190">
        <v>8</v>
      </c>
      <c r="P190">
        <v>10.5</v>
      </c>
      <c r="Q190">
        <v>5.8</v>
      </c>
      <c r="R190" s="2">
        <f>IF(ISBLANK(Table1[[#This Row],[Age]]),AVERAGE(Table1[Age]),Table1[[#This Row],[Age]])</f>
        <v>18</v>
      </c>
      <c r="S190" t="str">
        <f>PROPER(Table1[[#This Row],[Country]])</f>
        <v>Pakistan</v>
      </c>
      <c r="T190" t="str">
        <f>TRIM(Table1[[#This Row],[Profession]])</f>
        <v>Biomedical Engineering Student</v>
      </c>
      <c r="U190" s="5">
        <f>IF(ISBLANK(H190),AVERAGEIF(Table1[Profession imputed],T190,Table1[Monthly_Income]),H190)</f>
        <v>80</v>
      </c>
      <c r="V190" s="6" t="str">
        <f>PROPER(TRIM(Table1[AI_Tool]))</f>
        <v>Grammarly</v>
      </c>
      <c r="W190" s="8">
        <f>IF(ISBLANK(Table1[[#This Row],[Time_Saved_Hours_Per_Week]]),AVERAGEIF(Table1[Satisfaction_Score],Table1[[#This Row],[Satisfaction_Score]],Table1[Time_Saved_Hours_Per_Week]),Table1[[#This Row],[Time_Saved_Hours_Per_Week]])</f>
        <v>10.5</v>
      </c>
    </row>
    <row r="191" spans="1:23" x14ac:dyDescent="0.25">
      <c r="A191" t="s">
        <v>1062</v>
      </c>
      <c r="C191" t="s">
        <v>29</v>
      </c>
      <c r="D191" t="s">
        <v>57</v>
      </c>
      <c r="E191" t="s">
        <v>111</v>
      </c>
      <c r="F191" t="s">
        <v>25</v>
      </c>
      <c r="G191" t="s">
        <v>1055</v>
      </c>
      <c r="H191">
        <v>80</v>
      </c>
      <c r="I191" t="s">
        <v>58</v>
      </c>
      <c r="J191" s="6" t="s">
        <v>124</v>
      </c>
      <c r="K191" s="15">
        <v>2.2999999999999998</v>
      </c>
      <c r="L191" s="5">
        <v>20</v>
      </c>
      <c r="M191" s="15">
        <v>6.1</v>
      </c>
      <c r="N191">
        <v>3</v>
      </c>
      <c r="O191">
        <v>5</v>
      </c>
      <c r="P191">
        <v>2.2999999999999998</v>
      </c>
      <c r="Q191">
        <v>6.4</v>
      </c>
      <c r="R191" s="2">
        <f>IF(ISBLANK(Table1[[#This Row],[Age]]),AVERAGE(Table1[Age]),Table1[[#This Row],[Age]])</f>
        <v>30.023333333333333</v>
      </c>
      <c r="S191" t="str">
        <f>PROPER(Table1[[#This Row],[Country]])</f>
        <v>Pakistan</v>
      </c>
      <c r="T191" t="str">
        <f>TRIM(Table1[[#This Row],[Profession]])</f>
        <v>Software Engineering Student</v>
      </c>
      <c r="U191" s="5">
        <f>IF(ISBLANK(H191),AVERAGEIF(Table1[[#This Row],[Profession imputed]],T191,Table1[Monthly_Income]),H191)</f>
        <v>80</v>
      </c>
      <c r="V191" s="6" t="str">
        <f>PROPER(TRIM(Table1[AI_Tool]))</f>
        <v>Claude</v>
      </c>
      <c r="W191" s="8">
        <f>IF(ISBLANK(Table1[[#This Row],[Time_Saved_Hours_Per_Week]]),AVERAGEIF(Table1[Satisfaction_Score],Table1[[#This Row],[Satisfaction_Score]],Table1[Time_Saved_Hours_Per_Week]),Table1[[#This Row],[Time_Saved_Hours_Per_Week]])</f>
        <v>2.2999999999999998</v>
      </c>
    </row>
    <row r="192" spans="1:23" x14ac:dyDescent="0.25">
      <c r="A192" t="s">
        <v>665</v>
      </c>
      <c r="B192">
        <v>19</v>
      </c>
      <c r="C192" t="s">
        <v>29</v>
      </c>
      <c r="D192" t="s">
        <v>57</v>
      </c>
      <c r="E192" t="s">
        <v>111</v>
      </c>
      <c r="F192" t="s">
        <v>25</v>
      </c>
      <c r="G192" t="s">
        <v>663</v>
      </c>
      <c r="H192">
        <v>81</v>
      </c>
      <c r="I192" t="s">
        <v>139</v>
      </c>
      <c r="J192" s="6" t="s">
        <v>124</v>
      </c>
      <c r="K192" s="15">
        <v>5.9</v>
      </c>
      <c r="L192" s="5">
        <v>0</v>
      </c>
      <c r="M192" s="15">
        <v>6.1</v>
      </c>
      <c r="N192">
        <v>2</v>
      </c>
      <c r="O192">
        <v>5</v>
      </c>
      <c r="P192">
        <v>12.1</v>
      </c>
      <c r="Q192">
        <v>0</v>
      </c>
      <c r="R192" s="2">
        <f>IF(ISBLANK(Table1[[#This Row],[Age]]),AVERAGE(Table1[Age]),Table1[[#This Row],[Age]])</f>
        <v>19</v>
      </c>
      <c r="S192" t="str">
        <f>PROPER(Table1[[#This Row],[Country]])</f>
        <v>Pakistan</v>
      </c>
      <c r="T192" t="str">
        <f>TRIM(Table1[[#This Row],[Profession]])</f>
        <v>Engineering Student</v>
      </c>
      <c r="U192" s="5">
        <f>IF(ISBLANK(H192),AVERAGEIF(Table1[Profession imputed],T192,Table1[Monthly_Income]),H192)</f>
        <v>81</v>
      </c>
      <c r="V192" s="6" t="str">
        <f>PROPER(TRIM(Table1[AI_Tool]))</f>
        <v>Microsoft Copilot</v>
      </c>
      <c r="W192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193" spans="1:23" x14ac:dyDescent="0.25">
      <c r="A193" t="s">
        <v>635</v>
      </c>
      <c r="B193">
        <v>19</v>
      </c>
      <c r="C193" t="s">
        <v>29</v>
      </c>
      <c r="D193" t="s">
        <v>52</v>
      </c>
      <c r="E193" t="s">
        <v>111</v>
      </c>
      <c r="F193" t="s">
        <v>132</v>
      </c>
      <c r="G193" t="s">
        <v>630</v>
      </c>
      <c r="H193">
        <v>82</v>
      </c>
      <c r="I193" t="s">
        <v>1186</v>
      </c>
      <c r="J193" s="6" t="s">
        <v>75</v>
      </c>
      <c r="K193" s="15">
        <v>3.5</v>
      </c>
      <c r="L193" s="5">
        <v>20</v>
      </c>
      <c r="M193" s="15">
        <v>4.7</v>
      </c>
      <c r="N193">
        <v>4</v>
      </c>
      <c r="O193">
        <v>7</v>
      </c>
      <c r="P193">
        <v>8.3000000000000007</v>
      </c>
      <c r="Q193">
        <v>6.2</v>
      </c>
      <c r="R193" s="2">
        <f>IF(ISBLANK(Table1[[#This Row],[Age]]),AVERAGE(Table1[Age]),Table1[[#This Row],[Age]])</f>
        <v>19</v>
      </c>
      <c r="S193" t="str">
        <f>PROPER(Table1[[#This Row],[Country]])</f>
        <v>India</v>
      </c>
      <c r="T193" t="str">
        <f>TRIM(Table1[[#This Row],[Profession]])</f>
        <v>Digital Media and Communications Student</v>
      </c>
      <c r="U193" s="5">
        <f>IF(ISBLANK(H193),AVERAGEIF(Table1[Profession imputed],T193,Table1[Monthly_Income]),H193)</f>
        <v>82</v>
      </c>
      <c r="V193" s="6" t="str">
        <f>PROPER(TRIM(Table1[AI_Tool]))</f>
        <v>Google Gemini</v>
      </c>
      <c r="W193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194" spans="1:23" x14ac:dyDescent="0.25">
      <c r="A194" t="s">
        <v>893</v>
      </c>
      <c r="B194">
        <v>18</v>
      </c>
      <c r="C194" t="s">
        <v>29</v>
      </c>
      <c r="D194" t="s">
        <v>52</v>
      </c>
      <c r="E194" t="s">
        <v>111</v>
      </c>
      <c r="F194" t="s">
        <v>55</v>
      </c>
      <c r="G194" t="s">
        <v>891</v>
      </c>
      <c r="H194">
        <v>82</v>
      </c>
      <c r="I194" t="s">
        <v>271</v>
      </c>
      <c r="J194" s="6" t="s">
        <v>124</v>
      </c>
      <c r="K194" s="15">
        <v>0.7</v>
      </c>
      <c r="L194" s="5">
        <v>0</v>
      </c>
      <c r="M194" s="15">
        <v>4.3</v>
      </c>
      <c r="N194">
        <v>4</v>
      </c>
      <c r="O194">
        <v>7</v>
      </c>
      <c r="P194">
        <v>0</v>
      </c>
      <c r="Q194">
        <v>0</v>
      </c>
      <c r="R194" s="2">
        <f>IF(ISBLANK(Table1[[#This Row],[Age]]),AVERAGE(Table1[Age]),Table1[[#This Row],[Age]])</f>
        <v>18</v>
      </c>
      <c r="S194" t="str">
        <f>PROPER(Table1[[#This Row],[Country]])</f>
        <v>India</v>
      </c>
      <c r="T194" t="str">
        <f>TRIM(Table1[[#This Row],[Profession]])</f>
        <v>Physics Student</v>
      </c>
      <c r="U194" s="5">
        <f>IF(ISBLANK(H194),AVERAGEIF(Table1[[#This Row],[Profession imputed]],T194,Table1[Monthly_Income]),H194)</f>
        <v>82</v>
      </c>
      <c r="V194" s="6" t="str">
        <f>PROPER(TRIM(Table1[AI_Tool]))</f>
        <v>Chat Gpt</v>
      </c>
      <c r="W194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195" spans="1:23" x14ac:dyDescent="0.25">
      <c r="A195" t="s">
        <v>1059</v>
      </c>
      <c r="B195">
        <v>28</v>
      </c>
      <c r="C195" t="s">
        <v>22</v>
      </c>
      <c r="D195" t="s">
        <v>30</v>
      </c>
      <c r="E195" t="s">
        <v>111</v>
      </c>
      <c r="F195" t="s">
        <v>55</v>
      </c>
      <c r="G195" t="s">
        <v>1055</v>
      </c>
      <c r="H195">
        <v>82</v>
      </c>
      <c r="I195" t="s">
        <v>1186</v>
      </c>
      <c r="J195" s="6" t="s">
        <v>33</v>
      </c>
      <c r="K195" s="15">
        <v>0.8</v>
      </c>
      <c r="L195" s="5">
        <v>0</v>
      </c>
      <c r="M195" s="15">
        <v>2.1</v>
      </c>
      <c r="N195">
        <v>4</v>
      </c>
      <c r="O195">
        <v>6</v>
      </c>
      <c r="P195">
        <v>1.2</v>
      </c>
      <c r="Q195">
        <v>8.3000000000000007</v>
      </c>
      <c r="R195" s="2">
        <f>IF(ISBLANK(Table1[[#This Row],[Age]]),AVERAGE(Table1[Age]),Table1[[#This Row],[Age]])</f>
        <v>28</v>
      </c>
      <c r="S195" t="str">
        <f>PROPER(Table1[[#This Row],[Country]])</f>
        <v>Brazil</v>
      </c>
      <c r="T195" t="str">
        <f>TRIM(Table1[[#This Row],[Profession]])</f>
        <v>Software Engineering Student</v>
      </c>
      <c r="U195" s="5">
        <f>IF(ISBLANK(H195),AVERAGEIF(Table1[[#This Row],[Profession imputed]],T195,Table1[Monthly_Income]),H195)</f>
        <v>82</v>
      </c>
      <c r="V195" s="6" t="str">
        <f>PROPER(TRIM(Table1[AI_Tool]))</f>
        <v>Google Gemini</v>
      </c>
      <c r="W195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196" spans="1:23" x14ac:dyDescent="0.25">
      <c r="A196" t="s">
        <v>1057</v>
      </c>
      <c r="C196" t="s">
        <v>29</v>
      </c>
      <c r="D196" t="s">
        <v>57</v>
      </c>
      <c r="E196" t="s">
        <v>111</v>
      </c>
      <c r="F196" t="s">
        <v>25</v>
      </c>
      <c r="G196" t="s">
        <v>1055</v>
      </c>
      <c r="H196">
        <v>83</v>
      </c>
      <c r="I196" t="s">
        <v>58</v>
      </c>
      <c r="J196" s="6" t="s">
        <v>124</v>
      </c>
      <c r="K196" s="15">
        <v>2.2999999999999998</v>
      </c>
      <c r="L196" s="5">
        <v>20</v>
      </c>
      <c r="M196" s="15">
        <v>6.1</v>
      </c>
      <c r="N196">
        <v>3</v>
      </c>
      <c r="O196">
        <v>5</v>
      </c>
      <c r="P196">
        <v>2.2999999999999998</v>
      </c>
      <c r="Q196">
        <v>6.4</v>
      </c>
      <c r="R196" s="2">
        <f>IF(ISBLANK(Table1[[#This Row],[Age]]),AVERAGE(Table1[Age]),Table1[[#This Row],[Age]])</f>
        <v>30.023333333333333</v>
      </c>
      <c r="S196" t="str">
        <f>PROPER(Table1[[#This Row],[Country]])</f>
        <v>Pakistan</v>
      </c>
      <c r="T196" t="str">
        <f>TRIM(Table1[[#This Row],[Profession]])</f>
        <v>Software Engineering Student</v>
      </c>
      <c r="U196" s="5">
        <f>IF(ISBLANK(H196),AVERAGEIF(Table1[[#This Row],[Profession imputed]],T196,Table1[Monthly_Income]),H196)</f>
        <v>83</v>
      </c>
      <c r="V196" s="6" t="str">
        <f>PROPER(TRIM(Table1[AI_Tool]))</f>
        <v>Claude</v>
      </c>
      <c r="W196" s="8">
        <f>IF(ISBLANK(Table1[[#This Row],[Time_Saved_Hours_Per_Week]]),AVERAGEIF(Table1[Satisfaction_Score],Table1[[#This Row],[Satisfaction_Score]],Table1[Time_Saved_Hours_Per_Week]),Table1[[#This Row],[Time_Saved_Hours_Per_Week]])</f>
        <v>2.2999999999999998</v>
      </c>
    </row>
    <row r="197" spans="1:23" x14ac:dyDescent="0.25">
      <c r="A197" t="s">
        <v>699</v>
      </c>
      <c r="B197">
        <v>21</v>
      </c>
      <c r="C197" t="s">
        <v>22</v>
      </c>
      <c r="D197" t="s">
        <v>35</v>
      </c>
      <c r="E197" t="s">
        <v>111</v>
      </c>
      <c r="F197" t="s">
        <v>218</v>
      </c>
      <c r="G197" t="s">
        <v>671</v>
      </c>
      <c r="H197">
        <v>84</v>
      </c>
      <c r="I197" t="s">
        <v>271</v>
      </c>
      <c r="J197" s="6" t="s">
        <v>38</v>
      </c>
      <c r="K197" s="15">
        <v>2.2999999999999998</v>
      </c>
      <c r="L197" s="5">
        <v>10</v>
      </c>
      <c r="M197" s="15">
        <v>4.2</v>
      </c>
      <c r="N197">
        <v>3</v>
      </c>
      <c r="O197">
        <v>4</v>
      </c>
      <c r="P197">
        <v>3.4</v>
      </c>
      <c r="Q197">
        <v>6.1</v>
      </c>
      <c r="R197" s="2">
        <f>IF(ISBLANK(Table1[[#This Row],[Age]]),AVERAGE(Table1[Age]),Table1[[#This Row],[Age]])</f>
        <v>21</v>
      </c>
      <c r="S197" t="str">
        <f>PROPER(Table1[[#This Row],[Country]])</f>
        <v>Philippines</v>
      </c>
      <c r="T197" t="str">
        <f>TRIM(Table1[[#This Row],[Profession]])</f>
        <v>English Literature Student</v>
      </c>
      <c r="U197" s="5">
        <f>IF(ISBLANK(H197),AVERAGEIF(Table1[[#This Row],[Profession imputed]],T197,Table1[Monthly_Income]),H197)</f>
        <v>84</v>
      </c>
      <c r="V197" s="6" t="str">
        <f>PROPER(TRIM(Table1[AI_Tool]))</f>
        <v>Chat Gpt</v>
      </c>
      <c r="W197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198" spans="1:23" x14ac:dyDescent="0.25">
      <c r="A198" t="s">
        <v>737</v>
      </c>
      <c r="B198">
        <v>23</v>
      </c>
      <c r="C198" t="s">
        <v>22</v>
      </c>
      <c r="D198" t="s">
        <v>57</v>
      </c>
      <c r="E198" t="s">
        <v>111</v>
      </c>
      <c r="F198" t="s">
        <v>218</v>
      </c>
      <c r="G198" t="s">
        <v>671</v>
      </c>
      <c r="H198">
        <v>85</v>
      </c>
      <c r="I198" t="s">
        <v>139</v>
      </c>
      <c r="J198" s="6" t="s">
        <v>38</v>
      </c>
      <c r="K198" s="15">
        <v>3.7</v>
      </c>
      <c r="L198" s="5">
        <v>0</v>
      </c>
      <c r="M198" s="15">
        <v>7.7</v>
      </c>
      <c r="N198">
        <v>4</v>
      </c>
      <c r="O198">
        <v>7</v>
      </c>
      <c r="P198">
        <v>9.9</v>
      </c>
      <c r="Q198">
        <v>9</v>
      </c>
      <c r="R198" s="2">
        <f>IF(ISBLANK(Table1[[#This Row],[Age]]),AVERAGE(Table1[Age]),Table1[[#This Row],[Age]])</f>
        <v>23</v>
      </c>
      <c r="S198" t="str">
        <f>PROPER(Table1[[#This Row],[Country]])</f>
        <v>Pakistan</v>
      </c>
      <c r="T198" t="str">
        <f>TRIM(Table1[[#This Row],[Profession]])</f>
        <v>English Literature Student</v>
      </c>
      <c r="U198" s="5">
        <f>IF(ISBLANK(H198),AVERAGEIF(Table1[[#This Row],[Profession imputed]],T198,Table1[Monthly_Income]),H198)</f>
        <v>85</v>
      </c>
      <c r="V198" s="6" t="str">
        <f>PROPER(TRIM(Table1[AI_Tool]))</f>
        <v>Microsoft Copilot</v>
      </c>
      <c r="W198" s="8">
        <f>IF(ISBLANK(Table1[[#This Row],[Time_Saved_Hours_Per_Week]]),AVERAGEIF(Table1[Satisfaction_Score],Table1[[#This Row],[Satisfaction_Score]],Table1[Time_Saved_Hours_Per_Week]),Table1[[#This Row],[Time_Saved_Hours_Per_Week]])</f>
        <v>9.9</v>
      </c>
    </row>
    <row r="199" spans="1:23" x14ac:dyDescent="0.25">
      <c r="A199" t="s">
        <v>854</v>
      </c>
      <c r="B199">
        <v>22</v>
      </c>
      <c r="C199" t="s">
        <v>29</v>
      </c>
      <c r="D199" t="s">
        <v>483</v>
      </c>
      <c r="E199" t="s">
        <v>111</v>
      </c>
      <c r="F199" t="s">
        <v>50</v>
      </c>
      <c r="G199" t="s">
        <v>851</v>
      </c>
      <c r="H199">
        <v>86</v>
      </c>
      <c r="I199" t="s">
        <v>1186</v>
      </c>
      <c r="J199" s="6" t="s">
        <v>124</v>
      </c>
      <c r="K199" s="15">
        <v>1.4</v>
      </c>
      <c r="L199" s="5">
        <v>0</v>
      </c>
      <c r="M199" s="15">
        <v>1.9</v>
      </c>
      <c r="N199">
        <v>3</v>
      </c>
      <c r="O199">
        <v>5</v>
      </c>
      <c r="P199">
        <v>1.7</v>
      </c>
      <c r="Q199">
        <v>0</v>
      </c>
      <c r="R199" s="2">
        <f>IF(ISBLANK(Table1[[#This Row],[Age]]),AVERAGE(Table1[Age]),Table1[[#This Row],[Age]])</f>
        <v>22</v>
      </c>
      <c r="S199" t="str">
        <f>PROPER(Table1[[#This Row],[Country]])</f>
        <v>Brazil</v>
      </c>
      <c r="T199" t="str">
        <f>TRIM(Table1[[#This Row],[Profession]])</f>
        <v>Mechanical Engineering Student</v>
      </c>
      <c r="U199" s="5">
        <f>IF(ISBLANK(H199),AVERAGEIF(Table1[[#This Row],[Profession imputed]],T199,Table1[Monthly_Income]),H199)</f>
        <v>86</v>
      </c>
      <c r="V199" s="6" t="str">
        <f>PROPER(TRIM(Table1[AI_Tool]))</f>
        <v>Google Gemini</v>
      </c>
      <c r="W199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200" spans="1:23" x14ac:dyDescent="0.25">
      <c r="A200" t="s">
        <v>633</v>
      </c>
      <c r="B200">
        <v>20</v>
      </c>
      <c r="C200" t="s">
        <v>29</v>
      </c>
      <c r="D200" t="s">
        <v>52</v>
      </c>
      <c r="E200" t="s">
        <v>111</v>
      </c>
      <c r="F200" t="s">
        <v>132</v>
      </c>
      <c r="G200" t="s">
        <v>630</v>
      </c>
      <c r="H200">
        <v>87</v>
      </c>
      <c r="I200" t="s">
        <v>1186</v>
      </c>
      <c r="J200" s="6" t="s">
        <v>75</v>
      </c>
      <c r="K200" s="15">
        <v>3.5</v>
      </c>
      <c r="L200" s="5">
        <v>20</v>
      </c>
      <c r="M200" s="15">
        <v>4.7</v>
      </c>
      <c r="N200">
        <v>4</v>
      </c>
      <c r="O200">
        <v>7</v>
      </c>
      <c r="P200">
        <v>8.3000000000000007</v>
      </c>
      <c r="Q200">
        <v>6.2</v>
      </c>
      <c r="R200" s="2">
        <f>IF(ISBLANK(Table1[[#This Row],[Age]]),AVERAGE(Table1[Age]),Table1[[#This Row],[Age]])</f>
        <v>20</v>
      </c>
      <c r="S200" t="str">
        <f>PROPER(Table1[[#This Row],[Country]])</f>
        <v>India</v>
      </c>
      <c r="T200" t="str">
        <f>TRIM(Table1[[#This Row],[Profession]])</f>
        <v>Digital Media and Communications Student</v>
      </c>
      <c r="U200" s="5">
        <f>IF(ISBLANK(H200),AVERAGEIF(Table1[Profession imputed],T200,Table1[Monthly_Income]),H200)</f>
        <v>87</v>
      </c>
      <c r="V200" s="6" t="str">
        <f>PROPER(TRIM(Table1[AI_Tool]))</f>
        <v>Google Gemini</v>
      </c>
      <c r="W200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201" spans="1:23" x14ac:dyDescent="0.25">
      <c r="A201" t="s">
        <v>631</v>
      </c>
      <c r="B201">
        <v>22</v>
      </c>
      <c r="C201" t="s">
        <v>29</v>
      </c>
      <c r="D201" t="s">
        <v>52</v>
      </c>
      <c r="E201" t="s">
        <v>111</v>
      </c>
      <c r="F201" t="s">
        <v>132</v>
      </c>
      <c r="G201" t="s">
        <v>630</v>
      </c>
      <c r="H201">
        <v>88</v>
      </c>
      <c r="I201" t="s">
        <v>1186</v>
      </c>
      <c r="J201" s="6" t="s">
        <v>75</v>
      </c>
      <c r="K201" s="15">
        <v>3.5</v>
      </c>
      <c r="L201" s="5">
        <v>20</v>
      </c>
      <c r="M201" s="15">
        <v>4.7</v>
      </c>
      <c r="N201">
        <v>4</v>
      </c>
      <c r="O201">
        <v>7</v>
      </c>
      <c r="P201">
        <v>8.3000000000000007</v>
      </c>
      <c r="Q201">
        <v>6.2</v>
      </c>
      <c r="R201" s="2">
        <f>IF(ISBLANK(Table1[[#This Row],[Age]]),AVERAGE(Table1[Age]),Table1[[#This Row],[Age]])</f>
        <v>22</v>
      </c>
      <c r="S201" t="str">
        <f>PROPER(Table1[[#This Row],[Country]])</f>
        <v>India</v>
      </c>
      <c r="T201" t="str">
        <f>TRIM(Table1[[#This Row],[Profession]])</f>
        <v>Digital Media and Communications Student</v>
      </c>
      <c r="U201" s="5">
        <f>IF(ISBLANK(H201),AVERAGEIF(Table1[Profession imputed],T201,Table1[Monthly_Income]),H201)</f>
        <v>88</v>
      </c>
      <c r="V201" s="6" t="str">
        <f>PROPER(TRIM(Table1[AI_Tool]))</f>
        <v>Google Gemini</v>
      </c>
      <c r="W201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202" spans="1:23" x14ac:dyDescent="0.25">
      <c r="A202" t="s">
        <v>897</v>
      </c>
      <c r="B202">
        <v>21</v>
      </c>
      <c r="C202" t="s">
        <v>22</v>
      </c>
      <c r="D202" t="s">
        <v>35</v>
      </c>
      <c r="E202" t="s">
        <v>111</v>
      </c>
      <c r="F202" t="s">
        <v>25</v>
      </c>
      <c r="G202" t="s">
        <v>898</v>
      </c>
      <c r="H202">
        <v>88</v>
      </c>
      <c r="I202" t="s">
        <v>271</v>
      </c>
      <c r="J202" s="6" t="s">
        <v>130</v>
      </c>
      <c r="K202" s="15">
        <v>1.6</v>
      </c>
      <c r="L202" s="5">
        <v>10</v>
      </c>
      <c r="M202" s="15">
        <v>3.4</v>
      </c>
      <c r="N202">
        <v>3</v>
      </c>
      <c r="O202">
        <v>5</v>
      </c>
      <c r="P202">
        <v>5.9</v>
      </c>
      <c r="Q202">
        <v>6.5</v>
      </c>
      <c r="R202" s="2">
        <f>IF(ISBLANK(Table1[[#This Row],[Age]]),AVERAGE(Table1[Age]),Table1[[#This Row],[Age]])</f>
        <v>21</v>
      </c>
      <c r="S202" t="str">
        <f>PROPER(Table1[[#This Row],[Country]])</f>
        <v>Philippines</v>
      </c>
      <c r="T202" t="str">
        <f>TRIM(Table1[[#This Row],[Profession]])</f>
        <v>Psychology Research Student</v>
      </c>
      <c r="U202" s="5">
        <f>IF(ISBLANK(H202),AVERAGEIF(Table1[[#This Row],[Profession imputed]],T202,Table1[Monthly_Income]),H202)</f>
        <v>88</v>
      </c>
      <c r="V202" s="6" t="str">
        <f>PROPER(TRIM(Table1[AI_Tool]))</f>
        <v>Chat Gpt</v>
      </c>
      <c r="W202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03" spans="1:23" x14ac:dyDescent="0.25">
      <c r="A203" t="s">
        <v>748</v>
      </c>
      <c r="B203">
        <v>22</v>
      </c>
      <c r="C203" t="s">
        <v>22</v>
      </c>
      <c r="D203" t="s">
        <v>35</v>
      </c>
      <c r="E203" t="s">
        <v>111</v>
      </c>
      <c r="F203" t="s">
        <v>218</v>
      </c>
      <c r="G203" t="s">
        <v>671</v>
      </c>
      <c r="H203">
        <v>89</v>
      </c>
      <c r="I203" t="s">
        <v>271</v>
      </c>
      <c r="J203" s="6" t="s">
        <v>38</v>
      </c>
      <c r="K203" s="15">
        <v>2.2999999999999998</v>
      </c>
      <c r="L203" s="5">
        <v>10</v>
      </c>
      <c r="M203" s="15">
        <v>4.2</v>
      </c>
      <c r="N203">
        <v>3</v>
      </c>
      <c r="O203">
        <v>4</v>
      </c>
      <c r="P203">
        <v>3.4</v>
      </c>
      <c r="Q203">
        <v>6.1</v>
      </c>
      <c r="R203" s="2">
        <f>IF(ISBLANK(Table1[[#This Row],[Age]]),AVERAGE(Table1[Age]),Table1[[#This Row],[Age]])</f>
        <v>22</v>
      </c>
      <c r="S203" t="str">
        <f>PROPER(Table1[[#This Row],[Country]])</f>
        <v>Philippines</v>
      </c>
      <c r="T203" t="str">
        <f>TRIM(Table1[[#This Row],[Profession]])</f>
        <v>English Literature Student</v>
      </c>
      <c r="U203" s="5">
        <f>IF(ISBLANK(H203),AVERAGEIF(Table1[[#This Row],[Profession imputed]],T203,Table1[Monthly_Income]),H203)</f>
        <v>89</v>
      </c>
      <c r="V203" s="6" t="str">
        <f>PROPER(TRIM(Table1[AI_Tool]))</f>
        <v>Chat Gpt</v>
      </c>
      <c r="W203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204" spans="1:23" x14ac:dyDescent="0.25">
      <c r="A204" t="s">
        <v>866</v>
      </c>
      <c r="B204">
        <v>22</v>
      </c>
      <c r="C204" t="s">
        <v>29</v>
      </c>
      <c r="D204" t="s">
        <v>483</v>
      </c>
      <c r="E204" t="s">
        <v>111</v>
      </c>
      <c r="F204" t="s">
        <v>50</v>
      </c>
      <c r="G204" t="s">
        <v>851</v>
      </c>
      <c r="H204">
        <v>89</v>
      </c>
      <c r="I204" t="s">
        <v>1186</v>
      </c>
      <c r="J204" s="6" t="s">
        <v>124</v>
      </c>
      <c r="K204" s="15">
        <v>1.4</v>
      </c>
      <c r="L204" s="5">
        <v>0</v>
      </c>
      <c r="M204" s="15">
        <v>1.9</v>
      </c>
      <c r="N204">
        <v>3</v>
      </c>
      <c r="O204">
        <v>5</v>
      </c>
      <c r="P204">
        <v>1.7</v>
      </c>
      <c r="Q204">
        <v>0</v>
      </c>
      <c r="R204" s="2">
        <f>IF(ISBLANK(Table1[[#This Row],[Age]]),AVERAGE(Table1[Age]),Table1[[#This Row],[Age]])</f>
        <v>22</v>
      </c>
      <c r="S204" t="str">
        <f>PROPER(Table1[[#This Row],[Country]])</f>
        <v>Brazil</v>
      </c>
      <c r="T204" t="str">
        <f>TRIM(Table1[[#This Row],[Profession]])</f>
        <v>Mechanical Engineering Student</v>
      </c>
      <c r="U204" s="5">
        <f>IF(ISBLANK(H204),AVERAGEIF(Table1[[#This Row],[Profession imputed]],T204,Table1[Monthly_Income]),H204)</f>
        <v>89</v>
      </c>
      <c r="V204" s="6" t="str">
        <f>PROPER(TRIM(Table1[AI_Tool]))</f>
        <v>Google Gemini</v>
      </c>
      <c r="W204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205" spans="1:23" x14ac:dyDescent="0.25">
      <c r="A205" t="s">
        <v>703</v>
      </c>
      <c r="B205">
        <v>18</v>
      </c>
      <c r="C205" t="s">
        <v>22</v>
      </c>
      <c r="D205" t="s">
        <v>35</v>
      </c>
      <c r="E205" t="s">
        <v>111</v>
      </c>
      <c r="F205" t="s">
        <v>218</v>
      </c>
      <c r="G205" t="s">
        <v>671</v>
      </c>
      <c r="H205">
        <v>90</v>
      </c>
      <c r="I205" t="s">
        <v>271</v>
      </c>
      <c r="J205" s="6" t="s">
        <v>38</v>
      </c>
      <c r="K205" s="15">
        <v>2.2999999999999998</v>
      </c>
      <c r="L205" s="5">
        <v>10</v>
      </c>
      <c r="M205" s="15">
        <v>4.2</v>
      </c>
      <c r="N205">
        <v>3</v>
      </c>
      <c r="O205">
        <v>4</v>
      </c>
      <c r="P205">
        <v>3.4</v>
      </c>
      <c r="Q205">
        <v>6.1</v>
      </c>
      <c r="R205" s="2">
        <f>IF(ISBLANK(Table1[[#This Row],[Age]]),AVERAGE(Table1[Age]),Table1[[#This Row],[Age]])</f>
        <v>18</v>
      </c>
      <c r="S205" t="str">
        <f>PROPER(Table1[[#This Row],[Country]])</f>
        <v>Philippines</v>
      </c>
      <c r="T205" t="str">
        <f>TRIM(Table1[[#This Row],[Profession]])</f>
        <v>English Literature Student</v>
      </c>
      <c r="U205" s="5">
        <f>IF(ISBLANK(H205),AVERAGEIF(Table1[[#This Row],[Profession imputed]],T205,Table1[Monthly_Income]),H205)</f>
        <v>90</v>
      </c>
      <c r="V205" s="6" t="str">
        <f>PROPER(TRIM(Table1[AI_Tool]))</f>
        <v>Chat Gpt</v>
      </c>
      <c r="W205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206" spans="1:23" x14ac:dyDescent="0.25">
      <c r="A206" t="s">
        <v>709</v>
      </c>
      <c r="B206">
        <v>21</v>
      </c>
      <c r="C206" t="s">
        <v>22</v>
      </c>
      <c r="D206" t="s">
        <v>35</v>
      </c>
      <c r="E206" t="s">
        <v>111</v>
      </c>
      <c r="F206" t="s">
        <v>218</v>
      </c>
      <c r="G206" t="s">
        <v>671</v>
      </c>
      <c r="H206">
        <v>90</v>
      </c>
      <c r="I206" t="s">
        <v>271</v>
      </c>
      <c r="J206" s="6" t="s">
        <v>38</v>
      </c>
      <c r="K206" s="15">
        <v>2.2999999999999998</v>
      </c>
      <c r="L206" s="5">
        <v>10</v>
      </c>
      <c r="M206" s="15">
        <v>4.2</v>
      </c>
      <c r="N206">
        <v>3</v>
      </c>
      <c r="O206">
        <v>4</v>
      </c>
      <c r="P206">
        <v>3.4</v>
      </c>
      <c r="Q206">
        <v>6.1</v>
      </c>
      <c r="R206" s="2">
        <f>IF(ISBLANK(Table1[[#This Row],[Age]]),AVERAGE(Table1[Age]),Table1[[#This Row],[Age]])</f>
        <v>21</v>
      </c>
      <c r="S206" t="str">
        <f>PROPER(Table1[[#This Row],[Country]])</f>
        <v>Philippines</v>
      </c>
      <c r="T206" t="str">
        <f>TRIM(Table1[[#This Row],[Profession]])</f>
        <v>English Literature Student</v>
      </c>
      <c r="U206" s="5">
        <f>IF(ISBLANK(H206),AVERAGEIF(Table1[[#This Row],[Profession imputed]],T206,Table1[Monthly_Income]),H206)</f>
        <v>90</v>
      </c>
      <c r="V206" s="6" t="str">
        <f>PROPER(TRIM(Table1[AI_Tool]))</f>
        <v>Chat Gpt</v>
      </c>
      <c r="W206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207" spans="1:23" x14ac:dyDescent="0.25">
      <c r="A207" t="s">
        <v>734</v>
      </c>
      <c r="B207">
        <v>19</v>
      </c>
      <c r="C207" t="s">
        <v>22</v>
      </c>
      <c r="D207" t="s">
        <v>35</v>
      </c>
      <c r="E207" t="s">
        <v>111</v>
      </c>
      <c r="F207" t="s">
        <v>218</v>
      </c>
      <c r="G207" t="s">
        <v>671</v>
      </c>
      <c r="H207">
        <v>90</v>
      </c>
      <c r="I207" t="s">
        <v>271</v>
      </c>
      <c r="J207" s="6" t="s">
        <v>38</v>
      </c>
      <c r="K207" s="15">
        <v>2.2999999999999998</v>
      </c>
      <c r="L207" s="5">
        <v>10</v>
      </c>
      <c r="M207" s="15">
        <v>4.2</v>
      </c>
      <c r="N207">
        <v>3</v>
      </c>
      <c r="O207">
        <v>4</v>
      </c>
      <c r="P207">
        <v>3.4</v>
      </c>
      <c r="Q207">
        <v>6.1</v>
      </c>
      <c r="R207" s="2">
        <f>IF(ISBLANK(Table1[[#This Row],[Age]]),AVERAGE(Table1[Age]),Table1[[#This Row],[Age]])</f>
        <v>19</v>
      </c>
      <c r="S207" t="str">
        <f>PROPER(Table1[[#This Row],[Country]])</f>
        <v>Philippines</v>
      </c>
      <c r="T207" t="str">
        <f>TRIM(Table1[[#This Row],[Profession]])</f>
        <v>English Literature Student</v>
      </c>
      <c r="U207" s="5">
        <f>IF(ISBLANK(H207),AVERAGEIF(Table1[[#This Row],[Profession imputed]],T207,Table1[Monthly_Income]),H207)</f>
        <v>90</v>
      </c>
      <c r="V207" s="6" t="str">
        <f>PROPER(TRIM(Table1[AI_Tool]))</f>
        <v>Chat Gpt</v>
      </c>
      <c r="W207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208" spans="1:23" x14ac:dyDescent="0.25">
      <c r="A208" t="s">
        <v>743</v>
      </c>
      <c r="C208" t="s">
        <v>29</v>
      </c>
      <c r="D208" t="s">
        <v>57</v>
      </c>
      <c r="E208" t="s">
        <v>111</v>
      </c>
      <c r="F208" t="s">
        <v>132</v>
      </c>
      <c r="G208" t="s">
        <v>671</v>
      </c>
      <c r="H208">
        <v>90</v>
      </c>
      <c r="I208" t="s">
        <v>271</v>
      </c>
      <c r="J208" s="6" t="s">
        <v>38</v>
      </c>
      <c r="K208" s="15">
        <v>1.2</v>
      </c>
      <c r="L208" s="5">
        <v>50</v>
      </c>
      <c r="M208" s="15">
        <v>5.8</v>
      </c>
      <c r="N208">
        <v>4</v>
      </c>
      <c r="O208">
        <v>7</v>
      </c>
      <c r="Q208">
        <v>5.7</v>
      </c>
      <c r="R208" s="2">
        <f>IF(ISBLANK(Table1[[#This Row],[Age]]),AVERAGE(Table1[Age]),Table1[[#This Row],[Age]])</f>
        <v>30.023333333333333</v>
      </c>
      <c r="S208" t="str">
        <f>PROPER(Table1[[#This Row],[Country]])</f>
        <v>Pakistan</v>
      </c>
      <c r="T208" t="str">
        <f>TRIM(Table1[[#This Row],[Profession]])</f>
        <v>English Literature Student</v>
      </c>
      <c r="U208" s="5">
        <f>IF(ISBLANK(H208),AVERAGEIF(Table1[[#This Row],[Profession imputed]],T208,Table1[Monthly_Income]),H208)</f>
        <v>90</v>
      </c>
      <c r="V208" s="6" t="str">
        <f>PROPER(TRIM(Table1[AI_Tool]))</f>
        <v>Chat Gpt</v>
      </c>
      <c r="W208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209" spans="1:23" x14ac:dyDescent="0.25">
      <c r="A209" t="s">
        <v>799</v>
      </c>
      <c r="B209">
        <v>22</v>
      </c>
      <c r="C209" t="s">
        <v>29</v>
      </c>
      <c r="D209" t="s">
        <v>35</v>
      </c>
      <c r="E209" t="s">
        <v>111</v>
      </c>
      <c r="F209" t="s">
        <v>132</v>
      </c>
      <c r="G209" t="s">
        <v>787</v>
      </c>
      <c r="H209">
        <v>90</v>
      </c>
      <c r="I209" t="s">
        <v>271</v>
      </c>
      <c r="J209" s="6" t="s">
        <v>106</v>
      </c>
      <c r="K209" s="15">
        <v>4.9000000000000004</v>
      </c>
      <c r="L209" s="5">
        <v>20</v>
      </c>
      <c r="M209" s="15">
        <v>5.5</v>
      </c>
      <c r="N209">
        <v>4</v>
      </c>
      <c r="O209">
        <v>6</v>
      </c>
      <c r="P209">
        <v>8.1999999999999993</v>
      </c>
      <c r="Q209">
        <v>8.1</v>
      </c>
      <c r="R209" s="2">
        <f>IF(ISBLANK(Table1[[#This Row],[Age]]),AVERAGE(Table1[Age]),Table1[[#This Row],[Age]])</f>
        <v>22</v>
      </c>
      <c r="S209" t="str">
        <f>PROPER(Table1[[#This Row],[Country]])</f>
        <v>Philippines</v>
      </c>
      <c r="T209" t="str">
        <f>TRIM(Table1[[#This Row],[Profession]])</f>
        <v>Information Technology Student</v>
      </c>
      <c r="U209" s="5">
        <f>IF(ISBLANK(H209),AVERAGEIF(Table1[[#This Row],[Profession imputed]],T209,Table1[Monthly_Income]),H209)</f>
        <v>90</v>
      </c>
      <c r="V209" s="6" t="str">
        <f>PROPER(TRIM(Table1[AI_Tool]))</f>
        <v>Chat Gpt</v>
      </c>
      <c r="W209" s="8">
        <f>IF(ISBLANK(Table1[[#This Row],[Time_Saved_Hours_Per_Week]]),AVERAGEIF(Table1[Satisfaction_Score],Table1[[#This Row],[Satisfaction_Score]],Table1[Time_Saved_Hours_Per_Week]),Table1[[#This Row],[Time_Saved_Hours_Per_Week]])</f>
        <v>8.1999999999999993</v>
      </c>
    </row>
    <row r="210" spans="1:23" x14ac:dyDescent="0.25">
      <c r="A210" t="s">
        <v>158</v>
      </c>
      <c r="B210">
        <v>22</v>
      </c>
      <c r="C210" t="s">
        <v>29</v>
      </c>
      <c r="D210" t="s">
        <v>44</v>
      </c>
      <c r="E210" t="s">
        <v>111</v>
      </c>
      <c r="F210" t="s">
        <v>132</v>
      </c>
      <c r="G210" t="s">
        <v>133</v>
      </c>
      <c r="H210">
        <v>91</v>
      </c>
      <c r="I210" t="s">
        <v>139</v>
      </c>
      <c r="J210" s="6" t="s">
        <v>124</v>
      </c>
      <c r="K210" s="15">
        <v>4.0999999999999996</v>
      </c>
      <c r="L210" s="5">
        <v>0</v>
      </c>
      <c r="M210" s="15">
        <v>6.2</v>
      </c>
      <c r="N210">
        <v>4</v>
      </c>
      <c r="O210">
        <v>7</v>
      </c>
      <c r="P210">
        <v>4.3</v>
      </c>
      <c r="Q210">
        <v>4.5999999999999996</v>
      </c>
      <c r="R210" s="2">
        <f>IF(ISBLANK(Table1[[#This Row],[Age]]),AVERAGE(Table1[Age]),Table1[[#This Row],[Age]])</f>
        <v>22</v>
      </c>
      <c r="S210" t="str">
        <f>PROPER(Table1[[#This Row],[Country]])</f>
        <v>United States</v>
      </c>
      <c r="T210" t="str">
        <f>TRIM(Table1[[#This Row],[Profession]])</f>
        <v>Biology Student</v>
      </c>
      <c r="U210" s="5">
        <f>IF(ISBLANK(H210),AVERAGEIF(Table1[[#This Row],[Profession imputed]],T210,Table1[Monthly_Income]),H210)</f>
        <v>91</v>
      </c>
      <c r="V210" s="6" t="str">
        <f>PROPER(TRIM(Table1[AI_Tool]))</f>
        <v>Microsoft Copilot</v>
      </c>
      <c r="W210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11" spans="1:23" x14ac:dyDescent="0.25">
      <c r="A211" t="s">
        <v>1067</v>
      </c>
      <c r="C211" t="s">
        <v>29</v>
      </c>
      <c r="D211" t="s">
        <v>57</v>
      </c>
      <c r="E211" t="s">
        <v>111</v>
      </c>
      <c r="F211" t="s">
        <v>25</v>
      </c>
      <c r="G211" t="s">
        <v>1055</v>
      </c>
      <c r="H211">
        <v>92</v>
      </c>
      <c r="I211" t="s">
        <v>58</v>
      </c>
      <c r="J211" s="6" t="s">
        <v>124</v>
      </c>
      <c r="K211" s="15">
        <v>2.2999999999999998</v>
      </c>
      <c r="L211" s="5">
        <v>20</v>
      </c>
      <c r="M211" s="15">
        <v>6.1</v>
      </c>
      <c r="N211">
        <v>3</v>
      </c>
      <c r="O211">
        <v>5</v>
      </c>
      <c r="P211">
        <v>2.2999999999999998</v>
      </c>
      <c r="Q211">
        <v>6.4</v>
      </c>
      <c r="R211" s="2">
        <f>IF(ISBLANK(Table1[[#This Row],[Age]]),AVERAGE(Table1[Age]),Table1[[#This Row],[Age]])</f>
        <v>30.023333333333333</v>
      </c>
      <c r="S211" t="str">
        <f>PROPER(Table1[[#This Row],[Country]])</f>
        <v>Pakistan</v>
      </c>
      <c r="T211" t="str">
        <f>TRIM(Table1[[#This Row],[Profession]])</f>
        <v>Software Engineering Student</v>
      </c>
      <c r="U211" s="5">
        <f>IF(ISBLANK(H211),AVERAGEIF(Table1[[#This Row],[Profession imputed]],T211,Table1[Monthly_Income]),H211)</f>
        <v>92</v>
      </c>
      <c r="V211" s="6" t="str">
        <f>PROPER(TRIM(Table1[AI_Tool]))</f>
        <v>Claude</v>
      </c>
      <c r="W211" s="8">
        <f>IF(ISBLANK(Table1[[#This Row],[Time_Saved_Hours_Per_Week]]),AVERAGEIF(Table1[Satisfaction_Score],Table1[[#This Row],[Satisfaction_Score]],Table1[Time_Saved_Hours_Per_Week]),Table1[[#This Row],[Time_Saved_Hours_Per_Week]])</f>
        <v>2.2999999999999998</v>
      </c>
    </row>
    <row r="212" spans="1:23" x14ac:dyDescent="0.25">
      <c r="A212" t="s">
        <v>693</v>
      </c>
      <c r="B212">
        <v>20</v>
      </c>
      <c r="C212" t="s">
        <v>22</v>
      </c>
      <c r="D212" t="s">
        <v>35</v>
      </c>
      <c r="E212" t="s">
        <v>111</v>
      </c>
      <c r="F212" t="s">
        <v>218</v>
      </c>
      <c r="G212" t="s">
        <v>671</v>
      </c>
      <c r="H212">
        <v>93</v>
      </c>
      <c r="I212" t="s">
        <v>271</v>
      </c>
      <c r="J212" s="6" t="s">
        <v>38</v>
      </c>
      <c r="K212" s="15">
        <v>2.2999999999999998</v>
      </c>
      <c r="L212" s="5">
        <v>10</v>
      </c>
      <c r="M212" s="15">
        <v>4.2</v>
      </c>
      <c r="N212">
        <v>3</v>
      </c>
      <c r="O212">
        <v>4</v>
      </c>
      <c r="P212">
        <v>3.4</v>
      </c>
      <c r="Q212">
        <v>6.1</v>
      </c>
      <c r="R212" s="2">
        <f>IF(ISBLANK(Table1[[#This Row],[Age]]),AVERAGE(Table1[Age]),Table1[[#This Row],[Age]])</f>
        <v>20</v>
      </c>
      <c r="S212" t="str">
        <f>PROPER(Table1[[#This Row],[Country]])</f>
        <v>Philippines</v>
      </c>
      <c r="T212" t="str">
        <f>TRIM(Table1[[#This Row],[Profession]])</f>
        <v>English Literature Student</v>
      </c>
      <c r="U212" s="5">
        <f>IF(ISBLANK(H212),AVERAGEIF(Table1[[#This Row],[Profession imputed]],T212,Table1[Monthly_Income]),H212)</f>
        <v>93</v>
      </c>
      <c r="V212" s="6" t="str">
        <f>PROPER(TRIM(Table1[AI_Tool]))</f>
        <v>Chat Gpt</v>
      </c>
      <c r="W212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213" spans="1:23" x14ac:dyDescent="0.25">
      <c r="A213" t="s">
        <v>700</v>
      </c>
      <c r="B213">
        <v>21</v>
      </c>
      <c r="C213" t="s">
        <v>22</v>
      </c>
      <c r="D213" t="s">
        <v>35</v>
      </c>
      <c r="E213" t="s">
        <v>111</v>
      </c>
      <c r="F213" t="s">
        <v>218</v>
      </c>
      <c r="G213" t="s">
        <v>671</v>
      </c>
      <c r="H213">
        <v>93</v>
      </c>
      <c r="I213" t="s">
        <v>271</v>
      </c>
      <c r="J213" s="6" t="s">
        <v>38</v>
      </c>
      <c r="K213" s="15">
        <v>2.2999999999999998</v>
      </c>
      <c r="L213" s="5">
        <v>10</v>
      </c>
      <c r="M213" s="15">
        <v>4.2</v>
      </c>
      <c r="N213">
        <v>3</v>
      </c>
      <c r="O213">
        <v>4</v>
      </c>
      <c r="P213">
        <v>3.4</v>
      </c>
      <c r="Q213">
        <v>6.1</v>
      </c>
      <c r="R213" s="2">
        <f>IF(ISBLANK(Table1[[#This Row],[Age]]),AVERAGE(Table1[Age]),Table1[[#This Row],[Age]])</f>
        <v>21</v>
      </c>
      <c r="S213" t="str">
        <f>PROPER(Table1[[#This Row],[Country]])</f>
        <v>Philippines</v>
      </c>
      <c r="T213" t="str">
        <f>TRIM(Table1[[#This Row],[Profession]])</f>
        <v>English Literature Student</v>
      </c>
      <c r="U213" s="5">
        <f>IF(ISBLANK(H213),AVERAGEIF(Table1[[#This Row],[Profession imputed]],T213,Table1[Monthly_Income]),H213)</f>
        <v>93</v>
      </c>
      <c r="V213" s="6" t="str">
        <f>PROPER(TRIM(Table1[AI_Tool]))</f>
        <v>Chat Gpt</v>
      </c>
      <c r="W213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214" spans="1:23" x14ac:dyDescent="0.25">
      <c r="A214" t="s">
        <v>719</v>
      </c>
      <c r="C214" t="s">
        <v>29</v>
      </c>
      <c r="D214" t="s">
        <v>57</v>
      </c>
      <c r="E214" t="s">
        <v>111</v>
      </c>
      <c r="F214" t="s">
        <v>132</v>
      </c>
      <c r="G214" t="s">
        <v>671</v>
      </c>
      <c r="H214">
        <v>93</v>
      </c>
      <c r="I214" t="s">
        <v>271</v>
      </c>
      <c r="J214" s="6" t="s">
        <v>38</v>
      </c>
      <c r="K214" s="15">
        <v>1.2</v>
      </c>
      <c r="L214" s="5">
        <v>50</v>
      </c>
      <c r="M214" s="15">
        <v>5.8</v>
      </c>
      <c r="N214">
        <v>4</v>
      </c>
      <c r="O214">
        <v>7</v>
      </c>
      <c r="Q214">
        <v>5.7</v>
      </c>
      <c r="R214" s="2">
        <f>IF(ISBLANK(Table1[[#This Row],[Age]]),AVERAGE(Table1[Age]),Table1[[#This Row],[Age]])</f>
        <v>30.023333333333333</v>
      </c>
      <c r="S214" t="str">
        <f>PROPER(Table1[[#This Row],[Country]])</f>
        <v>Pakistan</v>
      </c>
      <c r="T214" t="str">
        <f>TRIM(Table1[[#This Row],[Profession]])</f>
        <v>English Literature Student</v>
      </c>
      <c r="U214" s="5">
        <f>IF(ISBLANK(H214),AVERAGEIF(Table1[[#This Row],[Profession imputed]],T214,Table1[Monthly_Income]),H214)</f>
        <v>93</v>
      </c>
      <c r="V214" s="6" t="str">
        <f>PROPER(TRIM(Table1[AI_Tool]))</f>
        <v>Chat Gpt</v>
      </c>
      <c r="W214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215" spans="1:23" x14ac:dyDescent="0.25">
      <c r="A215" t="s">
        <v>1076</v>
      </c>
      <c r="B215">
        <v>28</v>
      </c>
      <c r="C215" t="s">
        <v>22</v>
      </c>
      <c r="D215" t="s">
        <v>30</v>
      </c>
      <c r="E215" t="s">
        <v>111</v>
      </c>
      <c r="F215" t="s">
        <v>55</v>
      </c>
      <c r="G215" t="s">
        <v>1055</v>
      </c>
      <c r="H215">
        <v>93</v>
      </c>
      <c r="I215" t="s">
        <v>1186</v>
      </c>
      <c r="J215" s="6" t="s">
        <v>33</v>
      </c>
      <c r="K215" s="15">
        <v>0.8</v>
      </c>
      <c r="L215" s="5">
        <v>0</v>
      </c>
      <c r="M215" s="15">
        <v>2.1</v>
      </c>
      <c r="N215">
        <v>4</v>
      </c>
      <c r="O215">
        <v>6</v>
      </c>
      <c r="P215">
        <v>1.2</v>
      </c>
      <c r="Q215">
        <v>8.3000000000000007</v>
      </c>
      <c r="R215" s="2">
        <f>IF(ISBLANK(Table1[[#This Row],[Age]]),AVERAGE(Table1[Age]),Table1[[#This Row],[Age]])</f>
        <v>28</v>
      </c>
      <c r="S215" t="str">
        <f>PROPER(Table1[[#This Row],[Country]])</f>
        <v>Brazil</v>
      </c>
      <c r="T215" t="str">
        <f>TRIM(Table1[[#This Row],[Profession]])</f>
        <v>Software Engineering Student</v>
      </c>
      <c r="U215" s="5">
        <f>IF(ISBLANK(H215),AVERAGEIF(Table1[[#This Row],[Profession imputed]],T215,Table1[Monthly_Income]),H215)</f>
        <v>93</v>
      </c>
      <c r="V215" s="6" t="str">
        <f>PROPER(TRIM(Table1[AI_Tool]))</f>
        <v>Google Gemini</v>
      </c>
      <c r="W215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216" spans="1:23" x14ac:dyDescent="0.25">
      <c r="A216" t="s">
        <v>682</v>
      </c>
      <c r="B216">
        <v>24</v>
      </c>
      <c r="C216" t="s">
        <v>22</v>
      </c>
      <c r="D216" t="s">
        <v>57</v>
      </c>
      <c r="E216" t="s">
        <v>111</v>
      </c>
      <c r="F216" t="s">
        <v>132</v>
      </c>
      <c r="G216" t="s">
        <v>671</v>
      </c>
      <c r="H216">
        <v>95</v>
      </c>
      <c r="I216" t="s">
        <v>139</v>
      </c>
      <c r="J216" s="6" t="s">
        <v>38</v>
      </c>
      <c r="K216" s="15">
        <v>3.7</v>
      </c>
      <c r="L216" s="5">
        <v>0</v>
      </c>
      <c r="M216" s="15">
        <v>7.7</v>
      </c>
      <c r="N216">
        <v>4</v>
      </c>
      <c r="O216">
        <v>7</v>
      </c>
      <c r="P216">
        <v>9.9</v>
      </c>
      <c r="Q216">
        <v>9</v>
      </c>
      <c r="R216" s="2">
        <f>IF(ISBLANK(Table1[[#This Row],[Age]]),AVERAGE(Table1[Age]),Table1[[#This Row],[Age]])</f>
        <v>24</v>
      </c>
      <c r="S216" t="str">
        <f>PROPER(Table1[[#This Row],[Country]])</f>
        <v>Pakistan</v>
      </c>
      <c r="T216" t="str">
        <f>TRIM(Table1[[#This Row],[Profession]])</f>
        <v>English Literature Student</v>
      </c>
      <c r="U216" s="5">
        <f>IF(ISBLANK(H216),AVERAGEIF(Table1[[#This Row],[Profession imputed]],T216,Table1[Monthly_Income]),H216)</f>
        <v>95</v>
      </c>
      <c r="V216" s="6" t="str">
        <f>PROPER(TRIM(Table1[AI_Tool]))</f>
        <v>Microsoft Copilot</v>
      </c>
      <c r="W216" s="8">
        <f>IF(ISBLANK(Table1[[#This Row],[Time_Saved_Hours_Per_Week]]),AVERAGEIF(Table1[Satisfaction_Score],Table1[[#This Row],[Satisfaction_Score]],Table1[Time_Saved_Hours_Per_Week]),Table1[[#This Row],[Time_Saved_Hours_Per_Week]])</f>
        <v>9.9</v>
      </c>
    </row>
    <row r="217" spans="1:23" x14ac:dyDescent="0.25">
      <c r="A217" t="s">
        <v>890</v>
      </c>
      <c r="B217">
        <v>16</v>
      </c>
      <c r="C217" t="s">
        <v>29</v>
      </c>
      <c r="D217" t="s">
        <v>52</v>
      </c>
      <c r="E217" t="s">
        <v>111</v>
      </c>
      <c r="F217" t="s">
        <v>55</v>
      </c>
      <c r="G217" t="s">
        <v>891</v>
      </c>
      <c r="H217">
        <v>96</v>
      </c>
      <c r="I217" t="s">
        <v>271</v>
      </c>
      <c r="J217" s="6" t="s">
        <v>124</v>
      </c>
      <c r="K217" s="15">
        <v>0.7</v>
      </c>
      <c r="L217" s="5">
        <v>0</v>
      </c>
      <c r="M217" s="15">
        <v>4.3</v>
      </c>
      <c r="N217">
        <v>4</v>
      </c>
      <c r="O217">
        <v>7</v>
      </c>
      <c r="P217">
        <v>0</v>
      </c>
      <c r="Q217">
        <v>0</v>
      </c>
      <c r="R217" s="2">
        <f>IF(ISBLANK(Table1[[#This Row],[Age]]),AVERAGE(Table1[Age]),Table1[[#This Row],[Age]])</f>
        <v>16</v>
      </c>
      <c r="S217" t="str">
        <f>PROPER(Table1[[#This Row],[Country]])</f>
        <v>India</v>
      </c>
      <c r="T217" t="str">
        <f>TRIM(Table1[[#This Row],[Profession]])</f>
        <v>Physics Student</v>
      </c>
      <c r="U217" s="5">
        <f>IF(ISBLANK(H217),AVERAGEIF(Table1[[#This Row],[Profession imputed]],T217,Table1[Monthly_Income]),H217)</f>
        <v>96</v>
      </c>
      <c r="V217" s="6" t="str">
        <f>PROPER(TRIM(Table1[AI_Tool]))</f>
        <v>Chat Gpt</v>
      </c>
      <c r="W217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18" spans="1:23" x14ac:dyDescent="0.25">
      <c r="A218" t="s">
        <v>147</v>
      </c>
      <c r="B218">
        <v>21</v>
      </c>
      <c r="C218" t="s">
        <v>29</v>
      </c>
      <c r="D218" t="s">
        <v>44</v>
      </c>
      <c r="E218" t="s">
        <v>111</v>
      </c>
      <c r="F218" t="s">
        <v>132</v>
      </c>
      <c r="G218" t="s">
        <v>133</v>
      </c>
      <c r="H218">
        <v>97</v>
      </c>
      <c r="I218" t="s">
        <v>139</v>
      </c>
      <c r="J218" s="6" t="s">
        <v>124</v>
      </c>
      <c r="K218" s="15">
        <v>4.0999999999999996</v>
      </c>
      <c r="L218" s="5">
        <v>0</v>
      </c>
      <c r="M218" s="15">
        <v>6.2</v>
      </c>
      <c r="N218">
        <v>4</v>
      </c>
      <c r="O218">
        <v>7</v>
      </c>
      <c r="P218">
        <v>4.3</v>
      </c>
      <c r="Q218">
        <v>4.5999999999999996</v>
      </c>
      <c r="R218" s="2">
        <f>IF(ISBLANK(Table1[[#This Row],[Age]]),AVERAGE(Table1[Age]),Table1[[#This Row],[Age]])</f>
        <v>21</v>
      </c>
      <c r="S218" t="str">
        <f>PROPER(Table1[[#This Row],[Country]])</f>
        <v>United States</v>
      </c>
      <c r="T218" t="str">
        <f>TRIM(Table1[[#This Row],[Profession]])</f>
        <v>Biology Student</v>
      </c>
      <c r="U218" s="5">
        <f>IF(ISBLANK(H218),AVERAGEIF(Table1[[#This Row],[Profession imputed]],T218,Table1[Monthly_Income]),H218)</f>
        <v>97</v>
      </c>
      <c r="V218" s="6" t="str">
        <f>PROPER(TRIM(Table1[AI_Tool]))</f>
        <v>Microsoft Copilot</v>
      </c>
      <c r="W218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19" spans="1:23" x14ac:dyDescent="0.25">
      <c r="A219" t="s">
        <v>165</v>
      </c>
      <c r="B219">
        <v>20</v>
      </c>
      <c r="C219" t="s">
        <v>29</v>
      </c>
      <c r="D219" t="s">
        <v>44</v>
      </c>
      <c r="E219" t="s">
        <v>111</v>
      </c>
      <c r="F219" t="s">
        <v>132</v>
      </c>
      <c r="G219" t="s">
        <v>133</v>
      </c>
      <c r="H219">
        <v>97</v>
      </c>
      <c r="I219" t="s">
        <v>139</v>
      </c>
      <c r="J219" s="6" t="s">
        <v>124</v>
      </c>
      <c r="K219" s="15">
        <v>4.0999999999999996</v>
      </c>
      <c r="L219" s="5">
        <v>0</v>
      </c>
      <c r="M219" s="15">
        <v>6.2</v>
      </c>
      <c r="N219">
        <v>4</v>
      </c>
      <c r="O219">
        <v>7</v>
      </c>
      <c r="P219">
        <v>4.3</v>
      </c>
      <c r="Q219">
        <v>4.5999999999999996</v>
      </c>
      <c r="R219" s="2">
        <f>IF(ISBLANK(Table1[[#This Row],[Age]]),AVERAGE(Table1[Age]),Table1[[#This Row],[Age]])</f>
        <v>20</v>
      </c>
      <c r="S219" t="str">
        <f>PROPER(Table1[[#This Row],[Country]])</f>
        <v>United States</v>
      </c>
      <c r="T219" t="str">
        <f>TRIM(Table1[[#This Row],[Profession]])</f>
        <v>Biology Student</v>
      </c>
      <c r="U219" s="5">
        <f>IF(ISBLANK(H219),AVERAGEIF(Table1[[#This Row],[Profession imputed]],T219,Table1[Monthly_Income]),H219)</f>
        <v>97</v>
      </c>
      <c r="V219" s="6" t="str">
        <f>PROPER(TRIM(Table1[AI_Tool]))</f>
        <v>Microsoft Copilot</v>
      </c>
      <c r="W219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20" spans="1:23" x14ac:dyDescent="0.25">
      <c r="A220" t="s">
        <v>322</v>
      </c>
      <c r="B220">
        <v>24</v>
      </c>
      <c r="C220" t="s">
        <v>29</v>
      </c>
      <c r="D220" t="s">
        <v>57</v>
      </c>
      <c r="E220" t="s">
        <v>111</v>
      </c>
      <c r="F220" t="s">
        <v>25</v>
      </c>
      <c r="G220" t="s">
        <v>270</v>
      </c>
      <c r="H220">
        <v>97</v>
      </c>
      <c r="I220" t="s">
        <v>69</v>
      </c>
      <c r="J220" s="6" t="s">
        <v>106</v>
      </c>
      <c r="K220" s="15">
        <v>1</v>
      </c>
      <c r="L220" s="5">
        <v>0</v>
      </c>
      <c r="M220" s="15">
        <v>3.2</v>
      </c>
      <c r="N220">
        <v>3</v>
      </c>
      <c r="O220">
        <v>3</v>
      </c>
      <c r="P220">
        <v>4.2</v>
      </c>
      <c r="Q220">
        <v>6.5</v>
      </c>
      <c r="R220" s="2">
        <f>IF(ISBLANK(Table1[[#This Row],[Age]]),AVERAGE(Table1[Age]),Table1[[#This Row],[Age]])</f>
        <v>24</v>
      </c>
      <c r="S220" t="str">
        <f>PROPER(Table1[[#This Row],[Country]])</f>
        <v>Pakistan</v>
      </c>
      <c r="T220" t="str">
        <f>TRIM(Table1[[#This Row],[Profession]])</f>
        <v>Computer Science Student</v>
      </c>
      <c r="U220" s="5">
        <f>IF(ISBLANK(H220),AVERAGEIF(Table1[Profession imputed],T220,Table1[Monthly_Income]),H220)</f>
        <v>97</v>
      </c>
      <c r="V220" s="6" t="str">
        <f>PROPER(TRIM(Table1[AI_Tool]))</f>
        <v>Perplexity Ai</v>
      </c>
      <c r="W220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221" spans="1:23" x14ac:dyDescent="0.25">
      <c r="A221" t="s">
        <v>619</v>
      </c>
      <c r="B221">
        <v>23</v>
      </c>
      <c r="C221" t="s">
        <v>22</v>
      </c>
      <c r="D221" t="s">
        <v>52</v>
      </c>
      <c r="E221" t="s">
        <v>111</v>
      </c>
      <c r="F221" t="s">
        <v>132</v>
      </c>
      <c r="G221" t="s">
        <v>611</v>
      </c>
      <c r="H221">
        <v>97</v>
      </c>
      <c r="I221" t="s">
        <v>69</v>
      </c>
      <c r="J221" s="6" t="s">
        <v>75</v>
      </c>
      <c r="K221" s="15">
        <v>0</v>
      </c>
      <c r="L221" s="5">
        <v>25</v>
      </c>
      <c r="M221" s="15">
        <v>4.7</v>
      </c>
      <c r="N221">
        <v>3</v>
      </c>
      <c r="O221">
        <v>5</v>
      </c>
      <c r="P221">
        <v>2.1</v>
      </c>
      <c r="Q221">
        <v>6</v>
      </c>
      <c r="R221" s="2">
        <f>IF(ISBLANK(Table1[[#This Row],[Age]]),AVERAGE(Table1[Age]),Table1[[#This Row],[Age]])</f>
        <v>23</v>
      </c>
      <c r="S221" t="str">
        <f>PROPER(Table1[[#This Row],[Country]])</f>
        <v>India</v>
      </c>
      <c r="T221" t="str">
        <f>TRIM(Table1[[#This Row],[Profession]])</f>
        <v>Digital Marketing Student</v>
      </c>
      <c r="U221" s="5">
        <f>IF(ISBLANK(H221),AVERAGEIF(Table1[Profession imputed],T221,Table1[Monthly_Income]),H221)</f>
        <v>97</v>
      </c>
      <c r="V221" s="6" t="str">
        <f>PROPER(TRIM(Table1[AI_Tool]))</f>
        <v>Perplexity Ai</v>
      </c>
      <c r="W221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222" spans="1:23" x14ac:dyDescent="0.25">
      <c r="A222" t="s">
        <v>869</v>
      </c>
      <c r="B222">
        <v>24</v>
      </c>
      <c r="C222" t="s">
        <v>29</v>
      </c>
      <c r="D222" t="s">
        <v>483</v>
      </c>
      <c r="E222" t="s">
        <v>111</v>
      </c>
      <c r="F222" t="s">
        <v>50</v>
      </c>
      <c r="G222" t="s">
        <v>851</v>
      </c>
      <c r="H222">
        <v>97</v>
      </c>
      <c r="I222" t="s">
        <v>1186</v>
      </c>
      <c r="J222" s="6" t="s">
        <v>124</v>
      </c>
      <c r="K222" s="15">
        <v>1.4</v>
      </c>
      <c r="L222" s="5">
        <v>0</v>
      </c>
      <c r="M222" s="15">
        <v>1.9</v>
      </c>
      <c r="N222">
        <v>3</v>
      </c>
      <c r="O222">
        <v>5</v>
      </c>
      <c r="P222">
        <v>1.7</v>
      </c>
      <c r="Q222">
        <v>0</v>
      </c>
      <c r="R222" s="2">
        <f>IF(ISBLANK(Table1[[#This Row],[Age]]),AVERAGE(Table1[Age]),Table1[[#This Row],[Age]])</f>
        <v>24</v>
      </c>
      <c r="S222" t="str">
        <f>PROPER(Table1[[#This Row],[Country]])</f>
        <v>Brazil</v>
      </c>
      <c r="T222" t="str">
        <f>TRIM(Table1[[#This Row],[Profession]])</f>
        <v>Mechanical Engineering Student</v>
      </c>
      <c r="U222" s="5">
        <f>IF(ISBLANK(H222),AVERAGEIF(Table1[[#This Row],[Profession imputed]],T222,Table1[Monthly_Income]),H222)</f>
        <v>97</v>
      </c>
      <c r="V222" s="6" t="str">
        <f>PROPER(TRIM(Table1[AI_Tool]))</f>
        <v>Google Gemini</v>
      </c>
      <c r="W222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223" spans="1:23" x14ac:dyDescent="0.25">
      <c r="A223" t="s">
        <v>892</v>
      </c>
      <c r="B223">
        <v>16</v>
      </c>
      <c r="C223" t="s">
        <v>29</v>
      </c>
      <c r="D223" t="s">
        <v>52</v>
      </c>
      <c r="E223" t="s">
        <v>111</v>
      </c>
      <c r="F223" t="s">
        <v>55</v>
      </c>
      <c r="G223" t="s">
        <v>891</v>
      </c>
      <c r="H223">
        <v>97</v>
      </c>
      <c r="I223" t="s">
        <v>271</v>
      </c>
      <c r="J223" s="6" t="s">
        <v>124</v>
      </c>
      <c r="K223" s="15">
        <v>0.7</v>
      </c>
      <c r="L223" s="5">
        <v>0</v>
      </c>
      <c r="M223" s="15">
        <v>4.3</v>
      </c>
      <c r="N223">
        <v>4</v>
      </c>
      <c r="O223">
        <v>7</v>
      </c>
      <c r="P223">
        <v>0</v>
      </c>
      <c r="Q223">
        <v>0</v>
      </c>
      <c r="R223" s="2">
        <f>IF(ISBLANK(Table1[[#This Row],[Age]]),AVERAGE(Table1[Age]),Table1[[#This Row],[Age]])</f>
        <v>16</v>
      </c>
      <c r="S223" t="str">
        <f>PROPER(Table1[[#This Row],[Country]])</f>
        <v>India</v>
      </c>
      <c r="T223" t="str">
        <f>TRIM(Table1[[#This Row],[Profession]])</f>
        <v>Physics Student</v>
      </c>
      <c r="U223" s="5">
        <f>IF(ISBLANK(H223),AVERAGEIF(Table1[[#This Row],[Profession imputed]],T223,Table1[Monthly_Income]),H223)</f>
        <v>97</v>
      </c>
      <c r="V223" s="6" t="str">
        <f>PROPER(TRIM(Table1[AI_Tool]))</f>
        <v>Chat Gpt</v>
      </c>
      <c r="W223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24" spans="1:23" x14ac:dyDescent="0.25">
      <c r="A224" t="s">
        <v>140</v>
      </c>
      <c r="B224">
        <v>21</v>
      </c>
      <c r="C224" t="s">
        <v>29</v>
      </c>
      <c r="D224" t="s">
        <v>44</v>
      </c>
      <c r="E224" t="s">
        <v>111</v>
      </c>
      <c r="F224" t="s">
        <v>132</v>
      </c>
      <c r="G224" t="s">
        <v>133</v>
      </c>
      <c r="H224" s="1">
        <v>98</v>
      </c>
      <c r="I224" t="s">
        <v>139</v>
      </c>
      <c r="J224" s="6" t="s">
        <v>124</v>
      </c>
      <c r="K224" s="15">
        <v>4.0999999999999996</v>
      </c>
      <c r="L224" s="5">
        <v>0</v>
      </c>
      <c r="M224" s="15">
        <v>6.2</v>
      </c>
      <c r="N224">
        <v>4</v>
      </c>
      <c r="O224">
        <v>7</v>
      </c>
      <c r="P224">
        <v>4.3</v>
      </c>
      <c r="Q224">
        <v>4.5999999999999996</v>
      </c>
      <c r="R224" s="2">
        <f>IF(ISBLANK(Table1[[#This Row],[Age]]),AVERAGE(Table1[Age]),Table1[[#This Row],[Age]])</f>
        <v>21</v>
      </c>
      <c r="S224" t="str">
        <f>PROPER(Table1[[#This Row],[Country]])</f>
        <v>United States</v>
      </c>
      <c r="T224" t="str">
        <f>TRIM(Table1[[#This Row],[Profession]])</f>
        <v>Biology Student</v>
      </c>
      <c r="U224" s="5">
        <f>IF(ISBLANK(H224),AVERAGEIF(Table1[[#This Row],[Profession imputed]],T224,Table1[Monthly_Income]),H224)</f>
        <v>98</v>
      </c>
      <c r="V224" s="6" t="str">
        <f>PROPER(TRIM(Table1[AI_Tool]))</f>
        <v>Microsoft Copilot</v>
      </c>
      <c r="W224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25" spans="1:23" x14ac:dyDescent="0.25">
      <c r="A225" t="s">
        <v>209</v>
      </c>
      <c r="B225">
        <v>30</v>
      </c>
      <c r="C225" t="s">
        <v>22</v>
      </c>
      <c r="D225" t="s">
        <v>205</v>
      </c>
      <c r="E225" t="s">
        <v>111</v>
      </c>
      <c r="F225" t="s">
        <v>25</v>
      </c>
      <c r="G225" t="s">
        <v>203</v>
      </c>
      <c r="H225">
        <v>98</v>
      </c>
      <c r="I225" t="s">
        <v>271</v>
      </c>
      <c r="J225" s="6" t="s">
        <v>130</v>
      </c>
      <c r="K225" s="15">
        <v>3.3</v>
      </c>
      <c r="L225" s="5">
        <v>0</v>
      </c>
      <c r="M225" s="15">
        <v>6.3</v>
      </c>
      <c r="N225">
        <v>5</v>
      </c>
      <c r="O225">
        <v>10</v>
      </c>
      <c r="P225">
        <v>5.9</v>
      </c>
      <c r="Q225">
        <v>8.1999999999999993</v>
      </c>
      <c r="R225" s="2">
        <f>IF(ISBLANK(Table1[[#This Row],[Age]]),AVERAGE(Table1[Age]),Table1[[#This Row],[Age]])</f>
        <v>30</v>
      </c>
      <c r="S225" t="str">
        <f>PROPER(Table1[[#This Row],[Country]])</f>
        <v>India</v>
      </c>
      <c r="T225" t="str">
        <f>TRIM(Table1[[#This Row],[Profession]])</f>
        <v>Biotechnology Student</v>
      </c>
      <c r="U225" s="5">
        <f>IF(ISBLANK(H225),AVERAGEIF(Table1[Profession imputed],T225,Table1[Monthly_Income]),H225)</f>
        <v>98</v>
      </c>
      <c r="V225" s="6" t="str">
        <f>PROPER(TRIM(Table1[AI_Tool]))</f>
        <v>Chat Gpt</v>
      </c>
      <c r="W225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26" spans="1:23" x14ac:dyDescent="0.25">
      <c r="A226" t="s">
        <v>226</v>
      </c>
      <c r="B226">
        <v>25</v>
      </c>
      <c r="C226" t="s">
        <v>29</v>
      </c>
      <c r="D226" t="s">
        <v>117</v>
      </c>
      <c r="E226" t="s">
        <v>111</v>
      </c>
      <c r="F226" t="s">
        <v>50</v>
      </c>
      <c r="G226" t="s">
        <v>213</v>
      </c>
      <c r="H226">
        <v>98</v>
      </c>
      <c r="I226" t="s">
        <v>271</v>
      </c>
      <c r="J226" s="6" t="s">
        <v>124</v>
      </c>
      <c r="K226" s="15">
        <v>0.6</v>
      </c>
      <c r="L226" s="5">
        <v>25</v>
      </c>
      <c r="M226" s="15">
        <v>2.1</v>
      </c>
      <c r="N226">
        <v>4</v>
      </c>
      <c r="O226">
        <v>6</v>
      </c>
      <c r="P226">
        <v>0.1</v>
      </c>
      <c r="Q226">
        <v>2.2999999999999998</v>
      </c>
      <c r="R226" s="2">
        <f>IF(ISBLANK(Table1[[#This Row],[Age]]),AVERAGE(Table1[Age]),Table1[[#This Row],[Age]])</f>
        <v>25</v>
      </c>
      <c r="S226" t="str">
        <f>PROPER(Table1[[#This Row],[Country]])</f>
        <v>United Kingdom</v>
      </c>
      <c r="T226" t="str">
        <f>TRIM(Table1[[#This Row],[Profession]])</f>
        <v>Business Administration Student</v>
      </c>
      <c r="U226" s="5">
        <f>IF(ISBLANK(H226),AVERAGEIF(Table1[Profession imputed],T226,Table1[Monthly_Income]),H226)</f>
        <v>98</v>
      </c>
      <c r="V226" s="6" t="str">
        <f>PROPER(TRIM(Table1[AI_Tool]))</f>
        <v>Chat Gpt</v>
      </c>
      <c r="W226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227" spans="1:23" x14ac:dyDescent="0.25">
      <c r="A227" t="s">
        <v>686</v>
      </c>
      <c r="C227" t="s">
        <v>29</v>
      </c>
      <c r="D227" t="s">
        <v>89</v>
      </c>
      <c r="E227" t="s">
        <v>111</v>
      </c>
      <c r="F227" t="s">
        <v>132</v>
      </c>
      <c r="G227" t="s">
        <v>671</v>
      </c>
      <c r="H227">
        <v>98</v>
      </c>
      <c r="I227" t="s">
        <v>58</v>
      </c>
      <c r="J227" s="6" t="s">
        <v>38</v>
      </c>
      <c r="K227" s="15">
        <v>1.7</v>
      </c>
      <c r="L227" s="5">
        <v>20</v>
      </c>
      <c r="M227" s="15">
        <v>3.5</v>
      </c>
      <c r="N227">
        <v>3</v>
      </c>
      <c r="O227">
        <v>6</v>
      </c>
      <c r="P227">
        <v>2.9</v>
      </c>
      <c r="Q227">
        <v>7.7</v>
      </c>
      <c r="R227" s="2">
        <f>IF(ISBLANK(Table1[[#This Row],[Age]]),AVERAGE(Table1[Age]),Table1[[#This Row],[Age]])</f>
        <v>30.023333333333333</v>
      </c>
      <c r="S227" t="str">
        <f>PROPER(Table1[[#This Row],[Country]])</f>
        <v>Nigeria</v>
      </c>
      <c r="T227" t="str">
        <f>TRIM(Table1[[#This Row],[Profession]])</f>
        <v>English Literature Student</v>
      </c>
      <c r="U227" s="5">
        <f>IF(ISBLANK(H227),AVERAGEIF(Table1[[#This Row],[Profession imputed]],T227,Table1[Monthly_Income]),H227)</f>
        <v>98</v>
      </c>
      <c r="V227" s="6" t="str">
        <f>PROPER(TRIM(Table1[AI_Tool]))</f>
        <v>Claude</v>
      </c>
      <c r="W227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228" spans="1:23" x14ac:dyDescent="0.25">
      <c r="A228" t="s">
        <v>616</v>
      </c>
      <c r="B228">
        <v>25</v>
      </c>
      <c r="C228" t="s">
        <v>22</v>
      </c>
      <c r="D228" t="s">
        <v>52</v>
      </c>
      <c r="E228" t="s">
        <v>111</v>
      </c>
      <c r="F228" t="s">
        <v>132</v>
      </c>
      <c r="G228" t="s">
        <v>611</v>
      </c>
      <c r="H228">
        <v>99</v>
      </c>
      <c r="I228" t="s">
        <v>69</v>
      </c>
      <c r="J228" s="6" t="s">
        <v>75</v>
      </c>
      <c r="K228" s="15">
        <v>0</v>
      </c>
      <c r="L228" s="5">
        <v>25</v>
      </c>
      <c r="M228" s="15">
        <v>4.7</v>
      </c>
      <c r="N228">
        <v>3</v>
      </c>
      <c r="O228">
        <v>5</v>
      </c>
      <c r="P228">
        <v>2.1</v>
      </c>
      <c r="Q228">
        <v>6</v>
      </c>
      <c r="R228" s="2">
        <f>IF(ISBLANK(Table1[[#This Row],[Age]]),AVERAGE(Table1[Age]),Table1[[#This Row],[Age]])</f>
        <v>25</v>
      </c>
      <c r="S228" t="str">
        <f>PROPER(Table1[[#This Row],[Country]])</f>
        <v>India</v>
      </c>
      <c r="T228" t="str">
        <f>TRIM(Table1[[#This Row],[Profession]])</f>
        <v>Digital Marketing Student</v>
      </c>
      <c r="U228" s="5">
        <f>IF(ISBLANK(H228),AVERAGEIF(Table1[Profession imputed],T228,Table1[Monthly_Income]),H228)</f>
        <v>99</v>
      </c>
      <c r="V228" s="6" t="str">
        <f>PROPER(TRIM(Table1[AI_Tool]))</f>
        <v>Perplexity Ai</v>
      </c>
      <c r="W228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229" spans="1:23" x14ac:dyDescent="0.25">
      <c r="A229" t="s">
        <v>899</v>
      </c>
      <c r="B229">
        <v>22</v>
      </c>
      <c r="C229" t="s">
        <v>22</v>
      </c>
      <c r="D229" t="s">
        <v>35</v>
      </c>
      <c r="E229" t="s">
        <v>111</v>
      </c>
      <c r="F229" t="s">
        <v>25</v>
      </c>
      <c r="G229" t="s">
        <v>898</v>
      </c>
      <c r="H229">
        <v>99</v>
      </c>
      <c r="I229" t="s">
        <v>271</v>
      </c>
      <c r="J229" s="6" t="s">
        <v>130</v>
      </c>
      <c r="K229" s="15">
        <v>1.6</v>
      </c>
      <c r="L229" s="5">
        <v>10</v>
      </c>
      <c r="M229" s="15">
        <v>3.4</v>
      </c>
      <c r="N229">
        <v>3</v>
      </c>
      <c r="O229">
        <v>5</v>
      </c>
      <c r="P229">
        <v>5.9</v>
      </c>
      <c r="Q229">
        <v>6.5</v>
      </c>
      <c r="R229" s="2">
        <f>IF(ISBLANK(Table1[[#This Row],[Age]]),AVERAGE(Table1[Age]),Table1[[#This Row],[Age]])</f>
        <v>22</v>
      </c>
      <c r="S229" t="str">
        <f>PROPER(Table1[[#This Row],[Country]])</f>
        <v>Philippines</v>
      </c>
      <c r="T229" t="str">
        <f>TRIM(Table1[[#This Row],[Profession]])</f>
        <v>Psychology Research Student</v>
      </c>
      <c r="U229" s="5">
        <f>IF(ISBLANK(H229),AVERAGEIF(Table1[[#This Row],[Profession imputed]],T229,Table1[Monthly_Income]),H229)</f>
        <v>99</v>
      </c>
      <c r="V229" s="6" t="str">
        <f>PROPER(TRIM(Table1[AI_Tool]))</f>
        <v>Chat Gpt</v>
      </c>
      <c r="W229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30" spans="1:23" x14ac:dyDescent="0.25">
      <c r="A230" t="s">
        <v>614</v>
      </c>
      <c r="B230">
        <v>23</v>
      </c>
      <c r="C230" t="s">
        <v>22</v>
      </c>
      <c r="D230" t="s">
        <v>52</v>
      </c>
      <c r="E230" t="s">
        <v>111</v>
      </c>
      <c r="F230" t="s">
        <v>132</v>
      </c>
      <c r="G230" t="s">
        <v>611</v>
      </c>
      <c r="H230">
        <v>100</v>
      </c>
      <c r="I230" t="s">
        <v>69</v>
      </c>
      <c r="J230" s="6" t="s">
        <v>75</v>
      </c>
      <c r="K230" s="15">
        <v>0</v>
      </c>
      <c r="L230" s="5">
        <v>25</v>
      </c>
      <c r="M230" s="15">
        <v>4.7</v>
      </c>
      <c r="N230">
        <v>3</v>
      </c>
      <c r="O230">
        <v>5</v>
      </c>
      <c r="P230">
        <v>2.1</v>
      </c>
      <c r="Q230">
        <v>6</v>
      </c>
      <c r="R230" s="2">
        <f>IF(ISBLANK(Table1[[#This Row],[Age]]),AVERAGE(Table1[Age]),Table1[[#This Row],[Age]])</f>
        <v>23</v>
      </c>
      <c r="S230" t="str">
        <f>PROPER(Table1[[#This Row],[Country]])</f>
        <v>India</v>
      </c>
      <c r="T230" t="str">
        <f>TRIM(Table1[[#This Row],[Profession]])</f>
        <v>Digital Marketing Student</v>
      </c>
      <c r="U230" s="5">
        <f>IF(ISBLANK(H230),AVERAGEIF(Table1[Profession imputed],T230,Table1[Monthly_Income]),H230)</f>
        <v>100</v>
      </c>
      <c r="V230" s="6" t="str">
        <f>PROPER(TRIM(Table1[AI_Tool]))</f>
        <v>Perplexity Ai</v>
      </c>
      <c r="W230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231" spans="1:23" x14ac:dyDescent="0.25">
      <c r="A231" t="s">
        <v>675</v>
      </c>
      <c r="C231" t="s">
        <v>29</v>
      </c>
      <c r="D231" t="s">
        <v>57</v>
      </c>
      <c r="E231" t="s">
        <v>111</v>
      </c>
      <c r="F231" t="s">
        <v>132</v>
      </c>
      <c r="G231" t="s">
        <v>671</v>
      </c>
      <c r="H231">
        <v>100</v>
      </c>
      <c r="I231" t="s">
        <v>271</v>
      </c>
      <c r="J231" s="6" t="s">
        <v>38</v>
      </c>
      <c r="K231" s="15">
        <v>1.2</v>
      </c>
      <c r="L231" s="5">
        <v>50</v>
      </c>
      <c r="M231" s="15">
        <v>5.8</v>
      </c>
      <c r="N231">
        <v>4</v>
      </c>
      <c r="O231">
        <v>7</v>
      </c>
      <c r="Q231">
        <v>5.7</v>
      </c>
      <c r="R231" s="2">
        <f>IF(ISBLANK(Table1[[#This Row],[Age]]),AVERAGE(Table1[Age]),Table1[[#This Row],[Age]])</f>
        <v>30.023333333333333</v>
      </c>
      <c r="S231" t="str">
        <f>PROPER(Table1[[#This Row],[Country]])</f>
        <v>Pakistan</v>
      </c>
      <c r="T231" t="str">
        <f>TRIM(Table1[[#This Row],[Profession]])</f>
        <v>English Literature Student</v>
      </c>
      <c r="U231" s="5">
        <f>IF(ISBLANK(H231),AVERAGEIF(Table1[Profession imputed],T231,Table1[Monthly_Income]),H231)</f>
        <v>100</v>
      </c>
      <c r="V231" s="6" t="str">
        <f>PROPER(TRIM(Table1[AI_Tool]))</f>
        <v>Chat Gpt</v>
      </c>
      <c r="W231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232" spans="1:23" x14ac:dyDescent="0.25">
      <c r="A232" t="s">
        <v>738</v>
      </c>
      <c r="C232" t="s">
        <v>29</v>
      </c>
      <c r="D232" t="s">
        <v>57</v>
      </c>
      <c r="E232" t="s">
        <v>111</v>
      </c>
      <c r="F232" t="s">
        <v>132</v>
      </c>
      <c r="G232" t="s">
        <v>671</v>
      </c>
      <c r="H232">
        <v>100</v>
      </c>
      <c r="I232" t="s">
        <v>271</v>
      </c>
      <c r="J232" s="6" t="s">
        <v>38</v>
      </c>
      <c r="K232" s="15">
        <v>1.2</v>
      </c>
      <c r="L232" s="5">
        <v>50</v>
      </c>
      <c r="M232" s="15">
        <v>5.8</v>
      </c>
      <c r="N232">
        <v>4</v>
      </c>
      <c r="O232">
        <v>7</v>
      </c>
      <c r="Q232">
        <v>5.7</v>
      </c>
      <c r="R232" s="2">
        <f>IF(ISBLANK(Table1[[#This Row],[Age]]),AVERAGE(Table1[Age]),Table1[[#This Row],[Age]])</f>
        <v>30.023333333333333</v>
      </c>
      <c r="S232" t="str">
        <f>PROPER(Table1[[#This Row],[Country]])</f>
        <v>Pakistan</v>
      </c>
      <c r="T232" t="str">
        <f>TRIM(Table1[[#This Row],[Profession]])</f>
        <v>English Literature Student</v>
      </c>
      <c r="U232" s="5">
        <f>IF(ISBLANK(H232),AVERAGEIF(Table1[[#This Row],[Profession imputed]],T232,Table1[Monthly_Income]),H232)</f>
        <v>100</v>
      </c>
      <c r="V232" s="6" t="str">
        <f>PROPER(TRIM(Table1[AI_Tool]))</f>
        <v>Chat Gpt</v>
      </c>
      <c r="W232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233" spans="1:23" x14ac:dyDescent="0.25">
      <c r="A233" t="s">
        <v>229</v>
      </c>
      <c r="B233">
        <v>22</v>
      </c>
      <c r="C233" t="s">
        <v>29</v>
      </c>
      <c r="D233" t="s">
        <v>117</v>
      </c>
      <c r="E233" t="s">
        <v>111</v>
      </c>
      <c r="F233" t="s">
        <v>50</v>
      </c>
      <c r="G233" t="s">
        <v>213</v>
      </c>
      <c r="H233">
        <v>103</v>
      </c>
      <c r="I233" t="s">
        <v>271</v>
      </c>
      <c r="J233" s="6" t="s">
        <v>124</v>
      </c>
      <c r="K233" s="15">
        <v>0.6</v>
      </c>
      <c r="L233" s="5">
        <v>25</v>
      </c>
      <c r="M233" s="15">
        <v>2.1</v>
      </c>
      <c r="N233">
        <v>4</v>
      </c>
      <c r="O233">
        <v>6</v>
      </c>
      <c r="P233">
        <v>0.1</v>
      </c>
      <c r="Q233">
        <v>2.2999999999999998</v>
      </c>
      <c r="R233" s="2">
        <f>IF(ISBLANK(Table1[[#This Row],[Age]]),AVERAGE(Table1[Age]),Table1[[#This Row],[Age]])</f>
        <v>22</v>
      </c>
      <c r="S233" t="str">
        <f>PROPER(Table1[[#This Row],[Country]])</f>
        <v>United Kingdom</v>
      </c>
      <c r="T233" t="str">
        <f>TRIM(Table1[[#This Row],[Profession]])</f>
        <v>Business Administration Student</v>
      </c>
      <c r="U233" s="5">
        <f>IF(ISBLANK(H233),AVERAGEIF(Table1[Profession imputed],T233,Table1[Monthly_Income]),H233)</f>
        <v>103</v>
      </c>
      <c r="V233" s="6" t="str">
        <f>PROPER(TRIM(Table1[AI_Tool]))</f>
        <v>Chat Gpt</v>
      </c>
      <c r="W233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234" spans="1:23" x14ac:dyDescent="0.25">
      <c r="A234" t="s">
        <v>717</v>
      </c>
      <c r="B234">
        <v>25</v>
      </c>
      <c r="C234" t="s">
        <v>29</v>
      </c>
      <c r="D234" t="s">
        <v>52</v>
      </c>
      <c r="E234" t="s">
        <v>111</v>
      </c>
      <c r="F234" t="s">
        <v>55</v>
      </c>
      <c r="G234" t="s">
        <v>671</v>
      </c>
      <c r="H234">
        <v>103</v>
      </c>
      <c r="I234" t="s">
        <v>1186</v>
      </c>
      <c r="J234" s="6" t="s">
        <v>38</v>
      </c>
      <c r="K234" s="15">
        <v>1.5</v>
      </c>
      <c r="L234" s="5">
        <v>20</v>
      </c>
      <c r="M234" s="15">
        <v>3.9</v>
      </c>
      <c r="N234">
        <v>3</v>
      </c>
      <c r="O234">
        <v>6</v>
      </c>
      <c r="P234">
        <v>3.7</v>
      </c>
      <c r="Q234">
        <v>3.9</v>
      </c>
      <c r="R234" s="2">
        <f>IF(ISBLANK(Table1[[#This Row],[Age]]),AVERAGE(Table1[Age]),Table1[[#This Row],[Age]])</f>
        <v>25</v>
      </c>
      <c r="S234" t="str">
        <f>PROPER(Table1[[#This Row],[Country]])</f>
        <v>India</v>
      </c>
      <c r="T234" t="str">
        <f>TRIM(Table1[[#This Row],[Profession]])</f>
        <v>English Literature Student</v>
      </c>
      <c r="U234" s="5">
        <f>IF(ISBLANK(H234),AVERAGEIF(Table1[[#This Row],[Profession imputed]],T234,Table1[Monthly_Income]),H234)</f>
        <v>103</v>
      </c>
      <c r="V234" s="6" t="str">
        <f>PROPER(TRIM(Table1[AI_Tool]))</f>
        <v>Google Gemini</v>
      </c>
      <c r="W234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235" spans="1:23" x14ac:dyDescent="0.25">
      <c r="A235" t="s">
        <v>527</v>
      </c>
      <c r="B235">
        <v>20</v>
      </c>
      <c r="C235" t="s">
        <v>29</v>
      </c>
      <c r="D235" t="s">
        <v>52</v>
      </c>
      <c r="E235" t="s">
        <v>111</v>
      </c>
      <c r="F235" t="s">
        <v>25</v>
      </c>
      <c r="G235" t="s">
        <v>520</v>
      </c>
      <c r="H235">
        <v>104</v>
      </c>
      <c r="I235" t="s">
        <v>271</v>
      </c>
      <c r="J235" s="6" t="s">
        <v>124</v>
      </c>
      <c r="K235" s="15">
        <v>6.8</v>
      </c>
      <c r="L235" s="5">
        <v>0</v>
      </c>
      <c r="M235" s="15">
        <v>6.9</v>
      </c>
      <c r="N235">
        <v>2</v>
      </c>
      <c r="O235">
        <v>6</v>
      </c>
      <c r="P235">
        <v>14.1</v>
      </c>
      <c r="Q235">
        <v>6.4</v>
      </c>
      <c r="R235" s="2">
        <f>IF(ISBLANK(Table1[[#This Row],[Age]]),AVERAGE(Table1[Age]),Table1[[#This Row],[Age]])</f>
        <v>20</v>
      </c>
      <c r="S235" t="str">
        <f>PROPER(Table1[[#This Row],[Country]])</f>
        <v>India</v>
      </c>
      <c r="T235" t="str">
        <f>TRIM(Table1[[#This Row],[Profession]])</f>
        <v>Data Science Student</v>
      </c>
      <c r="U235" s="5">
        <f>IF(ISBLANK(H235),AVERAGEIF(Table1[Profession imputed],T235,Table1[Monthly_Income]),H235)</f>
        <v>104</v>
      </c>
      <c r="V235" s="6" t="str">
        <f>PROPER(TRIM(Table1[AI_Tool]))</f>
        <v>Chat Gpt</v>
      </c>
      <c r="W235" s="8">
        <f>IF(ISBLANK(Table1[[#This Row],[Time_Saved_Hours_Per_Week]]),AVERAGEIF(Table1[Satisfaction_Score],Table1[[#This Row],[Satisfaction_Score]],Table1[Time_Saved_Hours_Per_Week]),Table1[[#This Row],[Time_Saved_Hours_Per_Week]])</f>
        <v>14.1</v>
      </c>
    </row>
    <row r="236" spans="1:23" x14ac:dyDescent="0.25">
      <c r="A236" t="s">
        <v>713</v>
      </c>
      <c r="C236" t="s">
        <v>29</v>
      </c>
      <c r="D236" t="s">
        <v>57</v>
      </c>
      <c r="E236" t="s">
        <v>111</v>
      </c>
      <c r="F236" t="s">
        <v>132</v>
      </c>
      <c r="G236" t="s">
        <v>671</v>
      </c>
      <c r="H236">
        <v>104</v>
      </c>
      <c r="I236" t="s">
        <v>271</v>
      </c>
      <c r="J236" s="6" t="s">
        <v>38</v>
      </c>
      <c r="K236" s="15">
        <v>1.2</v>
      </c>
      <c r="L236" s="5">
        <v>50</v>
      </c>
      <c r="M236" s="15">
        <v>5.8</v>
      </c>
      <c r="N236">
        <v>4</v>
      </c>
      <c r="O236">
        <v>7</v>
      </c>
      <c r="Q236">
        <v>5.7</v>
      </c>
      <c r="R236" s="2">
        <f>IF(ISBLANK(Table1[[#This Row],[Age]]),AVERAGE(Table1[Age]),Table1[[#This Row],[Age]])</f>
        <v>30.023333333333333</v>
      </c>
      <c r="S236" t="str">
        <f>PROPER(Table1[[#This Row],[Country]])</f>
        <v>Pakistan</v>
      </c>
      <c r="T236" t="str">
        <f>TRIM(Table1[[#This Row],[Profession]])</f>
        <v>English Literature Student</v>
      </c>
      <c r="U236" s="5">
        <f>IF(ISBLANK(H236),AVERAGEIF(Table1[[#This Row],[Profession imputed]],T236,Table1[Monthly_Income]),H236)</f>
        <v>104</v>
      </c>
      <c r="V236" s="6" t="str">
        <f>PROPER(TRIM(Table1[AI_Tool]))</f>
        <v>Chat Gpt</v>
      </c>
      <c r="W236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237" spans="1:23" x14ac:dyDescent="0.25">
      <c r="A237" t="s">
        <v>763</v>
      </c>
      <c r="B237">
        <v>16</v>
      </c>
      <c r="C237" t="s">
        <v>22</v>
      </c>
      <c r="D237" t="s">
        <v>44</v>
      </c>
      <c r="E237" t="s">
        <v>111</v>
      </c>
      <c r="F237" t="s">
        <v>50</v>
      </c>
      <c r="G237" t="s">
        <v>757</v>
      </c>
      <c r="H237">
        <v>104</v>
      </c>
      <c r="I237" t="s">
        <v>253</v>
      </c>
      <c r="J237" s="6" t="s">
        <v>130</v>
      </c>
      <c r="K237" s="15">
        <v>0.7</v>
      </c>
      <c r="L237" s="5">
        <v>0</v>
      </c>
      <c r="M237" s="15">
        <v>4.5</v>
      </c>
      <c r="N237">
        <v>4</v>
      </c>
      <c r="O237">
        <v>7</v>
      </c>
      <c r="P237">
        <v>1</v>
      </c>
      <c r="Q237">
        <v>5.9</v>
      </c>
      <c r="R237" s="2">
        <f>IF(ISBLANK(Table1[[#This Row],[Age]]),AVERAGE(Table1[Age]),Table1[[#This Row],[Age]])</f>
        <v>16</v>
      </c>
      <c r="S237" t="str">
        <f>PROPER(Table1[[#This Row],[Country]])</f>
        <v>United States</v>
      </c>
      <c r="T237" t="str">
        <f>TRIM(Table1[[#This Row],[Profession]])</f>
        <v>Environmental Science Student</v>
      </c>
      <c r="U237" s="5">
        <f>IF(ISBLANK(H237),AVERAGEIF(Table1[[#This Row],[Profession imputed]],T237,Table1[Monthly_Income]),H237)</f>
        <v>104</v>
      </c>
      <c r="V237" s="6" t="str">
        <f>PROPER(TRIM(Table1[AI_Tool]))</f>
        <v>Meta Ai</v>
      </c>
      <c r="W237" s="8">
        <f>IF(ISBLANK(Table1[[#This Row],[Time_Saved_Hours_Per_Week]]),AVERAGEIF(Table1[Satisfaction_Score],Table1[[#This Row],[Satisfaction_Score]],Table1[Time_Saved_Hours_Per_Week]),Table1[[#This Row],[Time_Saved_Hours_Per_Week]])</f>
        <v>1</v>
      </c>
    </row>
    <row r="238" spans="1:23" x14ac:dyDescent="0.25">
      <c r="A238" t="s">
        <v>747</v>
      </c>
      <c r="C238" t="s">
        <v>29</v>
      </c>
      <c r="D238" t="s">
        <v>57</v>
      </c>
      <c r="E238" t="s">
        <v>111</v>
      </c>
      <c r="F238" t="s">
        <v>132</v>
      </c>
      <c r="G238" t="s">
        <v>671</v>
      </c>
      <c r="H238">
        <v>106</v>
      </c>
      <c r="I238" t="s">
        <v>271</v>
      </c>
      <c r="J238" s="6" t="s">
        <v>38</v>
      </c>
      <c r="K238" s="15">
        <v>1.2</v>
      </c>
      <c r="L238" s="5">
        <v>50</v>
      </c>
      <c r="M238" s="15">
        <v>5.8</v>
      </c>
      <c r="N238">
        <v>4</v>
      </c>
      <c r="O238">
        <v>7</v>
      </c>
      <c r="Q238">
        <v>5.7</v>
      </c>
      <c r="R238" s="2">
        <f>IF(ISBLANK(Table1[[#This Row],[Age]]),AVERAGE(Table1[Age]),Table1[[#This Row],[Age]])</f>
        <v>30.023333333333333</v>
      </c>
      <c r="S238" t="str">
        <f>PROPER(Table1[[#This Row],[Country]])</f>
        <v>Pakistan</v>
      </c>
      <c r="T238" t="str">
        <f>TRIM(Table1[[#This Row],[Profession]])</f>
        <v>English Literature Student</v>
      </c>
      <c r="U238" s="5">
        <f>IF(ISBLANK(H238),AVERAGEIF(Table1[[#This Row],[Profession imputed]],T238,Table1[Monthly_Income]),H238)</f>
        <v>106</v>
      </c>
      <c r="V238" s="6" t="str">
        <f>PROPER(TRIM(Table1[AI_Tool]))</f>
        <v>Chat Gpt</v>
      </c>
      <c r="W238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239" spans="1:23" x14ac:dyDescent="0.25">
      <c r="A239" t="s">
        <v>788</v>
      </c>
      <c r="B239">
        <v>22</v>
      </c>
      <c r="C239" t="s">
        <v>29</v>
      </c>
      <c r="D239" t="s">
        <v>35</v>
      </c>
      <c r="E239" t="s">
        <v>111</v>
      </c>
      <c r="F239" t="s">
        <v>132</v>
      </c>
      <c r="G239" t="s">
        <v>787</v>
      </c>
      <c r="H239">
        <v>106</v>
      </c>
      <c r="I239" t="s">
        <v>271</v>
      </c>
      <c r="J239" s="6" t="s">
        <v>106</v>
      </c>
      <c r="K239" s="15">
        <v>4.9000000000000004</v>
      </c>
      <c r="L239" s="5">
        <v>20</v>
      </c>
      <c r="M239" s="15">
        <v>5.5</v>
      </c>
      <c r="N239">
        <v>4</v>
      </c>
      <c r="O239">
        <v>6</v>
      </c>
      <c r="P239">
        <v>8.1999999999999993</v>
      </c>
      <c r="Q239">
        <v>8.1</v>
      </c>
      <c r="R239" s="2">
        <f>IF(ISBLANK(Table1[[#This Row],[Age]]),AVERAGE(Table1[Age]),Table1[[#This Row],[Age]])</f>
        <v>22</v>
      </c>
      <c r="S239" t="str">
        <f>PROPER(Table1[[#This Row],[Country]])</f>
        <v>Philippines</v>
      </c>
      <c r="T239" t="str">
        <f>TRIM(Table1[[#This Row],[Profession]])</f>
        <v>Information Technology Student</v>
      </c>
      <c r="U239" s="5">
        <f>IF(ISBLANK(H239),AVERAGEIF(Table1[[#This Row],[Profession imputed]],T239,Table1[Monthly_Income]),H239)</f>
        <v>106</v>
      </c>
      <c r="V239" s="6" t="str">
        <f>PROPER(TRIM(Table1[AI_Tool]))</f>
        <v>Chat Gpt</v>
      </c>
      <c r="W239" s="8">
        <f>IF(ISBLANK(Table1[[#This Row],[Time_Saved_Hours_Per_Week]]),AVERAGEIF(Table1[Satisfaction_Score],Table1[[#This Row],[Satisfaction_Score]],Table1[Time_Saved_Hours_Per_Week]),Table1[[#This Row],[Time_Saved_Hours_Per_Week]])</f>
        <v>8.1999999999999993</v>
      </c>
    </row>
    <row r="240" spans="1:23" x14ac:dyDescent="0.25">
      <c r="A240" t="s">
        <v>134</v>
      </c>
      <c r="B240">
        <v>22</v>
      </c>
      <c r="C240" t="s">
        <v>29</v>
      </c>
      <c r="D240" t="s">
        <v>49</v>
      </c>
      <c r="E240" t="s">
        <v>111</v>
      </c>
      <c r="F240" t="s">
        <v>50</v>
      </c>
      <c r="G240" t="s">
        <v>133</v>
      </c>
      <c r="H240">
        <v>109</v>
      </c>
      <c r="I240" t="s">
        <v>271</v>
      </c>
      <c r="J240" s="6" t="s">
        <v>130</v>
      </c>
      <c r="K240" s="15">
        <v>9.6</v>
      </c>
      <c r="L240" s="5">
        <v>20</v>
      </c>
      <c r="M240" s="15">
        <v>7.3</v>
      </c>
      <c r="N240">
        <v>4</v>
      </c>
      <c r="O240">
        <v>9</v>
      </c>
      <c r="P240">
        <v>19.399999999999999</v>
      </c>
      <c r="Q240">
        <v>5.2</v>
      </c>
      <c r="R240" s="2">
        <f>IF(ISBLANK(Table1[[#This Row],[Age]]),AVERAGE(Table1[Age]),Table1[[#This Row],[Age]])</f>
        <v>22</v>
      </c>
      <c r="S240" t="str">
        <f>PROPER(Table1[[#This Row],[Country]])</f>
        <v>Kenya</v>
      </c>
      <c r="T240" t="str">
        <f>TRIM(Table1[[#This Row],[Profession]])</f>
        <v>Biology Student</v>
      </c>
      <c r="U240" s="5">
        <f>IF(ISBLANK(H240),AVERAGEIF(Table1[[#This Row],[Profession imputed]],T240,Table1[Monthly_Income]),H240)</f>
        <v>109</v>
      </c>
      <c r="V240" s="6" t="str">
        <f>PROPER(TRIM(Table1[AI_Tool]))</f>
        <v>Chat Gpt</v>
      </c>
      <c r="W240" s="8">
        <f>IF(ISBLANK(Table1[[#This Row],[Time_Saved_Hours_Per_Week]]),AVERAGEIF(Table1[Satisfaction_Score],Table1[[#This Row],[Satisfaction_Score]],Table1[Time_Saved_Hours_Per_Week]),Table1[[#This Row],[Time_Saved_Hours_Per_Week]])</f>
        <v>19.399999999999999</v>
      </c>
    </row>
    <row r="241" spans="1:23" x14ac:dyDescent="0.25">
      <c r="A241" t="s">
        <v>208</v>
      </c>
      <c r="B241">
        <v>32</v>
      </c>
      <c r="C241" t="s">
        <v>22</v>
      </c>
      <c r="D241" t="s">
        <v>205</v>
      </c>
      <c r="E241" t="s">
        <v>111</v>
      </c>
      <c r="F241" t="s">
        <v>25</v>
      </c>
      <c r="G241" t="s">
        <v>203</v>
      </c>
      <c r="H241">
        <v>109</v>
      </c>
      <c r="I241" t="s">
        <v>271</v>
      </c>
      <c r="J241" s="6" t="s">
        <v>130</v>
      </c>
      <c r="K241" s="15">
        <v>3.3</v>
      </c>
      <c r="L241" s="5">
        <v>0</v>
      </c>
      <c r="M241" s="15">
        <v>6.3</v>
      </c>
      <c r="N241">
        <v>5</v>
      </c>
      <c r="O241">
        <v>10</v>
      </c>
      <c r="P241">
        <v>5.9</v>
      </c>
      <c r="Q241">
        <v>8.1999999999999993</v>
      </c>
      <c r="R241" s="2">
        <f>IF(ISBLANK(Table1[[#This Row],[Age]]),AVERAGE(Table1[Age]),Table1[[#This Row],[Age]])</f>
        <v>32</v>
      </c>
      <c r="S241" t="str">
        <f>PROPER(Table1[[#This Row],[Country]])</f>
        <v>India</v>
      </c>
      <c r="T241" t="str">
        <f>TRIM(Table1[[#This Row],[Profession]])</f>
        <v>Biotechnology Student</v>
      </c>
      <c r="U241" s="5">
        <f>IF(ISBLANK(H241),AVERAGEIF(Table1[Profession imputed],T241,Table1[Monthly_Income]),H241)</f>
        <v>109</v>
      </c>
      <c r="V241" s="6" t="str">
        <f>PROPER(TRIM(Table1[AI_Tool]))</f>
        <v>Chat Gpt</v>
      </c>
      <c r="W241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42" spans="1:23" x14ac:dyDescent="0.25">
      <c r="A242" t="s">
        <v>210</v>
      </c>
      <c r="B242">
        <v>32</v>
      </c>
      <c r="C242" t="s">
        <v>22</v>
      </c>
      <c r="D242" t="s">
        <v>205</v>
      </c>
      <c r="E242" t="s">
        <v>111</v>
      </c>
      <c r="F242" t="s">
        <v>25</v>
      </c>
      <c r="G242" t="s">
        <v>203</v>
      </c>
      <c r="H242">
        <v>109</v>
      </c>
      <c r="I242" t="s">
        <v>271</v>
      </c>
      <c r="J242" s="6" t="s">
        <v>130</v>
      </c>
      <c r="K242" s="15">
        <v>3.3</v>
      </c>
      <c r="L242" s="5">
        <v>0</v>
      </c>
      <c r="M242" s="15">
        <v>6.3</v>
      </c>
      <c r="N242">
        <v>5</v>
      </c>
      <c r="O242">
        <v>10</v>
      </c>
      <c r="P242">
        <v>5.9</v>
      </c>
      <c r="Q242">
        <v>8.1999999999999993</v>
      </c>
      <c r="R242" s="2">
        <f>IF(ISBLANK(Table1[[#This Row],[Age]]),AVERAGE(Table1[Age]),Table1[[#This Row],[Age]])</f>
        <v>32</v>
      </c>
      <c r="S242" t="str">
        <f>PROPER(Table1[[#This Row],[Country]])</f>
        <v>India</v>
      </c>
      <c r="T242" t="str">
        <f>TRIM(Table1[[#This Row],[Profession]])</f>
        <v>Biotechnology Student</v>
      </c>
      <c r="U242" s="5">
        <f>IF(ISBLANK(H242),AVERAGEIF(Table1[Profession imputed],T242,Table1[Monthly_Income]),H242)</f>
        <v>109</v>
      </c>
      <c r="V242" s="6" t="str">
        <f>PROPER(TRIM(Table1[AI_Tool]))</f>
        <v>Chat Gpt</v>
      </c>
      <c r="W242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43" spans="1:23" x14ac:dyDescent="0.25">
      <c r="A243" t="s">
        <v>215</v>
      </c>
      <c r="B243">
        <v>23</v>
      </c>
      <c r="C243" t="s">
        <v>29</v>
      </c>
      <c r="D243" t="s">
        <v>117</v>
      </c>
      <c r="E243" t="s">
        <v>111</v>
      </c>
      <c r="F243" t="s">
        <v>50</v>
      </c>
      <c r="G243" t="s">
        <v>213</v>
      </c>
      <c r="H243">
        <v>109</v>
      </c>
      <c r="I243" t="s">
        <v>271</v>
      </c>
      <c r="J243" s="6" t="s">
        <v>124</v>
      </c>
      <c r="K243" s="15">
        <v>0.6</v>
      </c>
      <c r="L243" s="5">
        <v>25</v>
      </c>
      <c r="M243" s="15">
        <v>2.1</v>
      </c>
      <c r="N243">
        <v>4</v>
      </c>
      <c r="O243">
        <v>6</v>
      </c>
      <c r="P243">
        <v>0.1</v>
      </c>
      <c r="Q243">
        <v>2.2999999999999998</v>
      </c>
      <c r="R243" s="2">
        <f>IF(ISBLANK(Table1[[#This Row],[Age]]),AVERAGE(Table1[Age]),Table1[[#This Row],[Age]])</f>
        <v>23</v>
      </c>
      <c r="S243" t="str">
        <f>PROPER(Table1[[#This Row],[Country]])</f>
        <v>United Kingdom</v>
      </c>
      <c r="T243" t="str">
        <f>TRIM(Table1[[#This Row],[Profession]])</f>
        <v>Business Administration Student</v>
      </c>
      <c r="U243" s="5">
        <f>IF(ISBLANK(H243),AVERAGEIF(Table1[Profession imputed],T243,Table1[Monthly_Income]),H243)</f>
        <v>109</v>
      </c>
      <c r="V243" s="6" t="str">
        <f>PROPER(TRIM(Table1[AI_Tool]))</f>
        <v>Chat Gpt</v>
      </c>
      <c r="W243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244" spans="1:23" x14ac:dyDescent="0.25">
      <c r="A244" t="s">
        <v>670</v>
      </c>
      <c r="B244">
        <v>23</v>
      </c>
      <c r="C244" t="s">
        <v>29</v>
      </c>
      <c r="D244" t="s">
        <v>52</v>
      </c>
      <c r="E244" t="s">
        <v>111</v>
      </c>
      <c r="F244" t="s">
        <v>55</v>
      </c>
      <c r="G244" t="s">
        <v>671</v>
      </c>
      <c r="H244">
        <v>109</v>
      </c>
      <c r="I244" t="s">
        <v>1186</v>
      </c>
      <c r="J244" s="6" t="s">
        <v>38</v>
      </c>
      <c r="K244" s="15">
        <v>1.5</v>
      </c>
      <c r="L244" s="5">
        <v>20</v>
      </c>
      <c r="M244" s="15">
        <v>3.9</v>
      </c>
      <c r="N244">
        <v>3</v>
      </c>
      <c r="O244">
        <v>6</v>
      </c>
      <c r="P244">
        <v>3.7</v>
      </c>
      <c r="Q244">
        <v>3.9</v>
      </c>
      <c r="R244" s="2">
        <f>IF(ISBLANK(Table1[[#This Row],[Age]]),AVERAGE(Table1[Age]),Table1[[#This Row],[Age]])</f>
        <v>23</v>
      </c>
      <c r="S244" t="str">
        <f>PROPER(Table1[[#This Row],[Country]])</f>
        <v>India</v>
      </c>
      <c r="T244" t="str">
        <f>TRIM(Table1[[#This Row],[Profession]])</f>
        <v>English Literature Student</v>
      </c>
      <c r="U244" s="5">
        <f>IF(ISBLANK(H244),AVERAGEIF(Table1[Profession imputed],T244,Table1[Monthly_Income]),H244)</f>
        <v>109</v>
      </c>
      <c r="V244" s="6" t="str">
        <f>PROPER(TRIM(Table1[AI_Tool]))</f>
        <v>Google Gemini</v>
      </c>
      <c r="W244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245" spans="1:23" x14ac:dyDescent="0.25">
      <c r="A245" t="s">
        <v>171</v>
      </c>
      <c r="B245">
        <v>22</v>
      </c>
      <c r="C245" t="s">
        <v>29</v>
      </c>
      <c r="D245" t="s">
        <v>44</v>
      </c>
      <c r="E245" t="s">
        <v>111</v>
      </c>
      <c r="F245" t="s">
        <v>132</v>
      </c>
      <c r="G245" t="s">
        <v>133</v>
      </c>
      <c r="H245">
        <v>110</v>
      </c>
      <c r="I245" t="s">
        <v>139</v>
      </c>
      <c r="J245" s="6" t="s">
        <v>124</v>
      </c>
      <c r="K245" s="15">
        <v>4.0999999999999996</v>
      </c>
      <c r="L245" s="5">
        <v>0</v>
      </c>
      <c r="M245" s="15">
        <v>6.2</v>
      </c>
      <c r="N245">
        <v>4</v>
      </c>
      <c r="O245">
        <v>7</v>
      </c>
      <c r="P245">
        <v>4.3</v>
      </c>
      <c r="Q245">
        <v>4.5999999999999996</v>
      </c>
      <c r="R245" s="2">
        <f>IF(ISBLANK(Table1[[#This Row],[Age]]),AVERAGE(Table1[Age]),Table1[[#This Row],[Age]])</f>
        <v>22</v>
      </c>
      <c r="S245" t="str">
        <f>PROPER(Table1[[#This Row],[Country]])</f>
        <v>United States</v>
      </c>
      <c r="T245" t="str">
        <f>TRIM(Table1[[#This Row],[Profession]])</f>
        <v>Biology Student</v>
      </c>
      <c r="U245" s="5">
        <f>IF(ISBLANK(H245),AVERAGEIF(Table1[Profession imputed],T245,Table1[Monthly_Income]),H245)</f>
        <v>110</v>
      </c>
      <c r="V245" s="6" t="str">
        <f>PROPER(TRIM(Table1[AI_Tool]))</f>
        <v>Microsoft Copilot</v>
      </c>
      <c r="W245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246" spans="1:23" x14ac:dyDescent="0.25">
      <c r="A246" t="s">
        <v>204</v>
      </c>
      <c r="B246">
        <v>32</v>
      </c>
      <c r="C246" t="s">
        <v>22</v>
      </c>
      <c r="D246" t="s">
        <v>205</v>
      </c>
      <c r="E246" t="s">
        <v>111</v>
      </c>
      <c r="F246" t="s">
        <v>25</v>
      </c>
      <c r="G246" t="s">
        <v>203</v>
      </c>
      <c r="H246">
        <v>110</v>
      </c>
      <c r="I246" t="s">
        <v>271</v>
      </c>
      <c r="J246" s="6" t="s">
        <v>130</v>
      </c>
      <c r="K246" s="15">
        <v>3.3</v>
      </c>
      <c r="L246" s="5">
        <v>0</v>
      </c>
      <c r="M246" s="15">
        <v>6.3</v>
      </c>
      <c r="N246">
        <v>5</v>
      </c>
      <c r="O246">
        <v>10</v>
      </c>
      <c r="P246">
        <v>5.9</v>
      </c>
      <c r="Q246">
        <v>8.1999999999999993</v>
      </c>
      <c r="R246" s="2">
        <f>IF(ISBLANK(Table1[[#This Row],[Age]]),AVERAGE(Table1[Age]),Table1[[#This Row],[Age]])</f>
        <v>32</v>
      </c>
      <c r="S246" t="str">
        <f>PROPER(Table1[[#This Row],[Country]])</f>
        <v>India</v>
      </c>
      <c r="T246" t="str">
        <f>TRIM(Table1[[#This Row],[Profession]])</f>
        <v>Biotechnology Student</v>
      </c>
      <c r="U246" s="5">
        <f>IF(ISBLANK(H246),AVERAGEIF(Table1[Profession imputed],T246,Table1[Monthly_Income]),H246)</f>
        <v>110</v>
      </c>
      <c r="V246" s="6" t="str">
        <f>PROPER(TRIM(Table1[AI_Tool]))</f>
        <v>Chat Gpt</v>
      </c>
      <c r="W246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47" spans="1:23" x14ac:dyDescent="0.25">
      <c r="A247" t="s">
        <v>549</v>
      </c>
      <c r="B247">
        <v>22</v>
      </c>
      <c r="C247" t="s">
        <v>29</v>
      </c>
      <c r="D247" t="s">
        <v>52</v>
      </c>
      <c r="E247" t="s">
        <v>111</v>
      </c>
      <c r="F247" t="s">
        <v>25</v>
      </c>
      <c r="G247" t="s">
        <v>520</v>
      </c>
      <c r="H247">
        <v>110</v>
      </c>
      <c r="I247" t="s">
        <v>271</v>
      </c>
      <c r="J247" s="6" t="s">
        <v>124</v>
      </c>
      <c r="K247" s="15">
        <v>6.8</v>
      </c>
      <c r="L247" s="5">
        <v>0</v>
      </c>
      <c r="M247" s="15">
        <v>6.9</v>
      </c>
      <c r="N247">
        <v>2</v>
      </c>
      <c r="O247">
        <v>6</v>
      </c>
      <c r="P247">
        <v>14.1</v>
      </c>
      <c r="Q247">
        <v>6.4</v>
      </c>
      <c r="R247" s="2">
        <f>IF(ISBLANK(Table1[[#This Row],[Age]]),AVERAGE(Table1[Age]),Table1[[#This Row],[Age]])</f>
        <v>22</v>
      </c>
      <c r="S247" t="str">
        <f>PROPER(Table1[[#This Row],[Country]])</f>
        <v>India</v>
      </c>
      <c r="T247" t="str">
        <f>TRIM(Table1[[#This Row],[Profession]])</f>
        <v>Data Science Student</v>
      </c>
      <c r="U247" s="5">
        <f>IF(ISBLANK(H247),AVERAGEIF(Table1[Profession imputed],T247,Table1[Monthly_Income]),H247)</f>
        <v>110</v>
      </c>
      <c r="V247" s="6" t="str">
        <f>PROPER(TRIM(Table1[AI_Tool]))</f>
        <v>Chat Gpt</v>
      </c>
      <c r="W247" s="8">
        <f>IF(ISBLANK(Table1[[#This Row],[Time_Saved_Hours_Per_Week]]),AVERAGEIF(Table1[Satisfaction_Score],Table1[[#This Row],[Satisfaction_Score]],Table1[Time_Saved_Hours_Per_Week]),Table1[[#This Row],[Time_Saved_Hours_Per_Week]])</f>
        <v>14.1</v>
      </c>
    </row>
    <row r="248" spans="1:23" x14ac:dyDescent="0.25">
      <c r="A248" t="s">
        <v>894</v>
      </c>
      <c r="B248">
        <v>16</v>
      </c>
      <c r="C248" t="s">
        <v>29</v>
      </c>
      <c r="D248" t="s">
        <v>52</v>
      </c>
      <c r="E248" t="s">
        <v>111</v>
      </c>
      <c r="F248" t="s">
        <v>55</v>
      </c>
      <c r="G248" t="s">
        <v>891</v>
      </c>
      <c r="H248">
        <v>110</v>
      </c>
      <c r="I248" t="s">
        <v>271</v>
      </c>
      <c r="J248" s="6" t="s">
        <v>124</v>
      </c>
      <c r="K248" s="15">
        <v>0.7</v>
      </c>
      <c r="L248" s="5">
        <v>0</v>
      </c>
      <c r="M248" s="15">
        <v>4.3</v>
      </c>
      <c r="N248">
        <v>4</v>
      </c>
      <c r="O248">
        <v>7</v>
      </c>
      <c r="P248">
        <v>0</v>
      </c>
      <c r="Q248">
        <v>0</v>
      </c>
      <c r="R248" s="2">
        <f>IF(ISBLANK(Table1[[#This Row],[Age]]),AVERAGE(Table1[Age]),Table1[[#This Row],[Age]])</f>
        <v>16</v>
      </c>
      <c r="S248" t="str">
        <f>PROPER(Table1[[#This Row],[Country]])</f>
        <v>India</v>
      </c>
      <c r="T248" t="str">
        <f>TRIM(Table1[[#This Row],[Profession]])</f>
        <v>Physics Student</v>
      </c>
      <c r="U248" s="5">
        <f>IF(ISBLANK(H248),AVERAGEIF(Table1[[#This Row],[Profession imputed]],T248,Table1[Monthly_Income]),H248)</f>
        <v>110</v>
      </c>
      <c r="V248" s="6" t="str">
        <f>PROPER(TRIM(Table1[AI_Tool]))</f>
        <v>Chat Gpt</v>
      </c>
      <c r="W248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49" spans="1:23" x14ac:dyDescent="0.25">
      <c r="A249" t="s">
        <v>276</v>
      </c>
      <c r="B249">
        <v>22</v>
      </c>
      <c r="C249" t="s">
        <v>29</v>
      </c>
      <c r="D249" t="s">
        <v>57</v>
      </c>
      <c r="E249" t="s">
        <v>111</v>
      </c>
      <c r="F249" t="s">
        <v>25</v>
      </c>
      <c r="G249" t="s">
        <v>270</v>
      </c>
      <c r="H249">
        <v>113</v>
      </c>
      <c r="I249" t="s">
        <v>69</v>
      </c>
      <c r="J249" s="6" t="s">
        <v>106</v>
      </c>
      <c r="K249" s="15">
        <v>1</v>
      </c>
      <c r="L249" s="5">
        <v>0</v>
      </c>
      <c r="M249" s="15">
        <v>3.2</v>
      </c>
      <c r="N249">
        <v>3</v>
      </c>
      <c r="O249">
        <v>3</v>
      </c>
      <c r="P249">
        <v>4.2</v>
      </c>
      <c r="Q249">
        <v>6.5</v>
      </c>
      <c r="R249" s="2">
        <f>IF(ISBLANK(Table1[[#This Row],[Age]]),AVERAGE(Table1[Age]),Table1[[#This Row],[Age]])</f>
        <v>22</v>
      </c>
      <c r="S249" t="str">
        <f>PROPER(Table1[[#This Row],[Country]])</f>
        <v>Pakistan</v>
      </c>
      <c r="T249" t="str">
        <f>TRIM(Table1[[#This Row],[Profession]])</f>
        <v>Computer Science Student</v>
      </c>
      <c r="U249" s="5">
        <f>IF(ISBLANK(H249),AVERAGEIF(Table1[Profession imputed],T249,Table1[Monthly_Income]),H249)</f>
        <v>113</v>
      </c>
      <c r="V249" s="6" t="str">
        <f>PROPER(TRIM(Table1[AI_Tool]))</f>
        <v>Perplexity Ai</v>
      </c>
      <c r="W249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250" spans="1:23" x14ac:dyDescent="0.25">
      <c r="A250" t="s">
        <v>235</v>
      </c>
      <c r="B250">
        <v>21</v>
      </c>
      <c r="C250" t="s">
        <v>29</v>
      </c>
      <c r="D250" t="s">
        <v>117</v>
      </c>
      <c r="E250" t="s">
        <v>111</v>
      </c>
      <c r="F250" t="s">
        <v>50</v>
      </c>
      <c r="G250" t="s">
        <v>213</v>
      </c>
      <c r="H250">
        <v>114</v>
      </c>
      <c r="I250" t="s">
        <v>271</v>
      </c>
      <c r="J250" s="6" t="s">
        <v>124</v>
      </c>
      <c r="K250" s="15">
        <v>0.6</v>
      </c>
      <c r="L250" s="5">
        <v>25</v>
      </c>
      <c r="M250" s="15">
        <v>2.1</v>
      </c>
      <c r="N250">
        <v>4</v>
      </c>
      <c r="O250">
        <v>6</v>
      </c>
      <c r="P250">
        <v>0.1</v>
      </c>
      <c r="Q250">
        <v>2.2999999999999998</v>
      </c>
      <c r="R250" s="2">
        <f>IF(ISBLANK(Table1[[#This Row],[Age]]),AVERAGE(Table1[Age]),Table1[[#This Row],[Age]])</f>
        <v>21</v>
      </c>
      <c r="S250" t="str">
        <f>PROPER(Table1[[#This Row],[Country]])</f>
        <v>United Kingdom</v>
      </c>
      <c r="T250" t="str">
        <f>TRIM(Table1[[#This Row],[Profession]])</f>
        <v>Business Administration Student</v>
      </c>
      <c r="U250" s="5">
        <f>IF(ISBLANK(H250),AVERAGEIF(Table1[Profession imputed],T250,Table1[Monthly_Income]),H250)</f>
        <v>114</v>
      </c>
      <c r="V250" s="6" t="str">
        <f>PROPER(TRIM(Table1[AI_Tool]))</f>
        <v>Chat Gpt</v>
      </c>
      <c r="W250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251" spans="1:23" x14ac:dyDescent="0.25">
      <c r="A251" t="s">
        <v>192</v>
      </c>
      <c r="C251" t="s">
        <v>22</v>
      </c>
      <c r="D251" t="s">
        <v>189</v>
      </c>
      <c r="E251" t="s">
        <v>111</v>
      </c>
      <c r="F251" t="s">
        <v>132</v>
      </c>
      <c r="G251" t="s">
        <v>190</v>
      </c>
      <c r="H251">
        <v>115</v>
      </c>
      <c r="I251" t="s">
        <v>271</v>
      </c>
      <c r="J251" s="6" t="s">
        <v>124</v>
      </c>
      <c r="K251" s="15">
        <v>1.2</v>
      </c>
      <c r="L251" s="5">
        <v>0</v>
      </c>
      <c r="M251" s="15">
        <v>2.6</v>
      </c>
      <c r="N251">
        <v>4</v>
      </c>
      <c r="O251">
        <v>7</v>
      </c>
      <c r="P251">
        <v>5.3</v>
      </c>
      <c r="Q251">
        <v>7.1</v>
      </c>
      <c r="R251" s="2">
        <f>IF(ISBLANK(Table1[[#This Row],[Age]]),AVERAGE(Table1[Age]),Table1[[#This Row],[Age]])</f>
        <v>30.023333333333333</v>
      </c>
      <c r="S251" t="str">
        <f>PROPER(Table1[[#This Row],[Country]])</f>
        <v>Australia</v>
      </c>
      <c r="T251" t="str">
        <f>TRIM(Table1[[#This Row],[Profession]])</f>
        <v>Biomedical Science Student</v>
      </c>
      <c r="U251" s="5">
        <f>IF(ISBLANK(H251),AVERAGEIF(Table1[Profession imputed],T251,Table1[Monthly_Income]),H251)</f>
        <v>115</v>
      </c>
      <c r="V251" s="6" t="str">
        <f>PROPER(TRIM(Table1[AI_Tool]))</f>
        <v>Chat Gpt</v>
      </c>
      <c r="W251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52" spans="1:23" x14ac:dyDescent="0.25">
      <c r="A252" t="s">
        <v>539</v>
      </c>
      <c r="B252">
        <v>19</v>
      </c>
      <c r="C252" t="s">
        <v>29</v>
      </c>
      <c r="D252" t="s">
        <v>52</v>
      </c>
      <c r="E252" t="s">
        <v>111</v>
      </c>
      <c r="F252" t="s">
        <v>25</v>
      </c>
      <c r="G252" t="s">
        <v>520</v>
      </c>
      <c r="H252">
        <v>115</v>
      </c>
      <c r="I252" t="s">
        <v>271</v>
      </c>
      <c r="J252" s="6" t="s">
        <v>124</v>
      </c>
      <c r="K252" s="15">
        <v>6.8</v>
      </c>
      <c r="L252" s="5">
        <v>0</v>
      </c>
      <c r="M252" s="15">
        <v>6.9</v>
      </c>
      <c r="N252">
        <v>2</v>
      </c>
      <c r="O252">
        <v>6</v>
      </c>
      <c r="P252">
        <v>14.1</v>
      </c>
      <c r="Q252">
        <v>6.4</v>
      </c>
      <c r="R252" s="2">
        <f>IF(ISBLANK(Table1[[#This Row],[Age]]),AVERAGE(Table1[Age]),Table1[[#This Row],[Age]])</f>
        <v>19</v>
      </c>
      <c r="S252" t="str">
        <f>PROPER(Table1[[#This Row],[Country]])</f>
        <v>India</v>
      </c>
      <c r="T252" t="str">
        <f>TRIM(Table1[[#This Row],[Profession]])</f>
        <v>Data Science Student</v>
      </c>
      <c r="U252" s="5">
        <f>IF(ISBLANK(H252),AVERAGEIF(Table1[Profession imputed],T252,Table1[Monthly_Income]),H252)</f>
        <v>115</v>
      </c>
      <c r="V252" s="6" t="str">
        <f>PROPER(TRIM(Table1[AI_Tool]))</f>
        <v>Chat Gpt</v>
      </c>
      <c r="W252" s="8">
        <f>IF(ISBLANK(Table1[[#This Row],[Time_Saved_Hours_Per_Week]]),AVERAGEIF(Table1[Satisfaction_Score],Table1[[#This Row],[Satisfaction_Score]],Table1[Time_Saved_Hours_Per_Week]),Table1[[#This Row],[Time_Saved_Hours_Per_Week]])</f>
        <v>14.1</v>
      </c>
    </row>
    <row r="253" spans="1:23" x14ac:dyDescent="0.25">
      <c r="A253" t="s">
        <v>543</v>
      </c>
      <c r="B253">
        <v>21</v>
      </c>
      <c r="C253" t="s">
        <v>29</v>
      </c>
      <c r="D253" t="s">
        <v>52</v>
      </c>
      <c r="E253" t="s">
        <v>111</v>
      </c>
      <c r="F253" t="s">
        <v>25</v>
      </c>
      <c r="G253" t="s">
        <v>520</v>
      </c>
      <c r="H253">
        <v>115</v>
      </c>
      <c r="I253" t="s">
        <v>271</v>
      </c>
      <c r="J253" s="6" t="s">
        <v>124</v>
      </c>
      <c r="K253" s="15">
        <v>6.8</v>
      </c>
      <c r="L253" s="5">
        <v>0</v>
      </c>
      <c r="M253" s="15">
        <v>6.9</v>
      </c>
      <c r="N253">
        <v>2</v>
      </c>
      <c r="O253">
        <v>6</v>
      </c>
      <c r="P253">
        <v>14.1</v>
      </c>
      <c r="Q253">
        <v>6.4</v>
      </c>
      <c r="R253" s="2">
        <f>IF(ISBLANK(Table1[[#This Row],[Age]]),AVERAGE(Table1[Age]),Table1[[#This Row],[Age]])</f>
        <v>21</v>
      </c>
      <c r="S253" t="str">
        <f>PROPER(Table1[[#This Row],[Country]])</f>
        <v>India</v>
      </c>
      <c r="T253" t="str">
        <f>TRIM(Table1[[#This Row],[Profession]])</f>
        <v>Data Science Student</v>
      </c>
      <c r="U253" s="5">
        <f>IF(ISBLANK(H253),AVERAGEIF(Table1[Profession imputed],T253,Table1[Monthly_Income]),H253)</f>
        <v>115</v>
      </c>
      <c r="V253" s="6" t="str">
        <f>PROPER(TRIM(Table1[AI_Tool]))</f>
        <v>Chat Gpt</v>
      </c>
      <c r="W253" s="8">
        <f>IF(ISBLANK(Table1[[#This Row],[Time_Saved_Hours_Per_Week]]),AVERAGEIF(Table1[Satisfaction_Score],Table1[[#This Row],[Satisfaction_Score]],Table1[Time_Saved_Hours_Per_Week]),Table1[[#This Row],[Time_Saved_Hours_Per_Week]])</f>
        <v>14.1</v>
      </c>
    </row>
    <row r="254" spans="1:23" x14ac:dyDescent="0.25">
      <c r="A254" t="s">
        <v>740</v>
      </c>
      <c r="B254">
        <v>25</v>
      </c>
      <c r="C254" t="s">
        <v>29</v>
      </c>
      <c r="D254" t="s">
        <v>52</v>
      </c>
      <c r="E254" t="s">
        <v>111</v>
      </c>
      <c r="F254" t="s">
        <v>55</v>
      </c>
      <c r="G254" t="s">
        <v>671</v>
      </c>
      <c r="H254">
        <v>117</v>
      </c>
      <c r="I254" t="s">
        <v>1186</v>
      </c>
      <c r="J254" s="6" t="s">
        <v>38</v>
      </c>
      <c r="K254" s="15">
        <v>1.5</v>
      </c>
      <c r="L254" s="5">
        <v>20</v>
      </c>
      <c r="M254" s="15">
        <v>3.9</v>
      </c>
      <c r="N254">
        <v>3</v>
      </c>
      <c r="O254">
        <v>6</v>
      </c>
      <c r="P254">
        <v>3.7</v>
      </c>
      <c r="Q254">
        <v>3.9</v>
      </c>
      <c r="R254" s="2">
        <f>IF(ISBLANK(Table1[[#This Row],[Age]]),AVERAGE(Table1[Age]),Table1[[#This Row],[Age]])</f>
        <v>25</v>
      </c>
      <c r="S254" t="str">
        <f>PROPER(Table1[[#This Row],[Country]])</f>
        <v>India</v>
      </c>
      <c r="T254" t="str">
        <f>TRIM(Table1[[#This Row],[Profession]])</f>
        <v>English Literature Student</v>
      </c>
      <c r="U254" s="5">
        <f>IF(ISBLANK(H254),AVERAGEIF(Table1[[#This Row],[Profession imputed]],T254,Table1[Monthly_Income]),H254)</f>
        <v>117</v>
      </c>
      <c r="V254" s="6" t="str">
        <f>PROPER(TRIM(Table1[AI_Tool]))</f>
        <v>Google Gemini</v>
      </c>
      <c r="W254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255" spans="1:23" x14ac:dyDescent="0.25">
      <c r="A255" t="s">
        <v>277</v>
      </c>
      <c r="B255">
        <v>21</v>
      </c>
      <c r="C255" t="s">
        <v>29</v>
      </c>
      <c r="D255" t="s">
        <v>117</v>
      </c>
      <c r="E255" t="s">
        <v>111</v>
      </c>
      <c r="F255" t="s">
        <v>132</v>
      </c>
      <c r="G255" t="s">
        <v>270</v>
      </c>
      <c r="H255">
        <v>118</v>
      </c>
      <c r="I255" t="s">
        <v>1186</v>
      </c>
      <c r="J255" s="6" t="s">
        <v>33</v>
      </c>
      <c r="K255" s="15">
        <v>0</v>
      </c>
      <c r="L255" s="5">
        <v>0</v>
      </c>
      <c r="M255" s="15">
        <v>7.6</v>
      </c>
      <c r="N255">
        <v>2</v>
      </c>
      <c r="O255">
        <v>6</v>
      </c>
      <c r="P255">
        <v>12.4</v>
      </c>
      <c r="Q255">
        <v>6.3</v>
      </c>
      <c r="R255" s="2">
        <f>IF(ISBLANK(Table1[[#This Row],[Age]]),AVERAGE(Table1[Age]),Table1[[#This Row],[Age]])</f>
        <v>21</v>
      </c>
      <c r="S255" t="str">
        <f>PROPER(Table1[[#This Row],[Country]])</f>
        <v>United Kingdom</v>
      </c>
      <c r="T255" t="str">
        <f>TRIM(Table1[[#This Row],[Profession]])</f>
        <v>Computer Science Student</v>
      </c>
      <c r="U255" s="5">
        <f>IF(ISBLANK(H255),AVERAGEIF(Table1[Profession imputed],T255,Table1[Monthly_Income]),H255)</f>
        <v>118</v>
      </c>
      <c r="V255" s="6" t="str">
        <f>PROPER(TRIM(Table1[AI_Tool]))</f>
        <v>Google Gemini</v>
      </c>
      <c r="W255" s="8">
        <f>IF(ISBLANK(Table1[[#This Row],[Time_Saved_Hours_Per_Week]]),AVERAGEIF(Table1[Satisfaction_Score],Table1[[#This Row],[Satisfaction_Score]],Table1[Time_Saved_Hours_Per_Week]),Table1[[#This Row],[Time_Saved_Hours_Per_Week]])</f>
        <v>12.4</v>
      </c>
    </row>
    <row r="256" spans="1:23" x14ac:dyDescent="0.25">
      <c r="A256" t="s">
        <v>760</v>
      </c>
      <c r="B256">
        <v>16</v>
      </c>
      <c r="C256" t="s">
        <v>22</v>
      </c>
      <c r="D256" t="s">
        <v>44</v>
      </c>
      <c r="E256" t="s">
        <v>111</v>
      </c>
      <c r="F256" t="s">
        <v>50</v>
      </c>
      <c r="G256" t="s">
        <v>757</v>
      </c>
      <c r="H256">
        <v>118</v>
      </c>
      <c r="I256" t="s">
        <v>253</v>
      </c>
      <c r="J256" s="6" t="s">
        <v>130</v>
      </c>
      <c r="K256" s="15">
        <v>0.7</v>
      </c>
      <c r="L256" s="5">
        <v>0</v>
      </c>
      <c r="M256" s="15">
        <v>4.5</v>
      </c>
      <c r="N256">
        <v>4</v>
      </c>
      <c r="O256">
        <v>7</v>
      </c>
      <c r="P256">
        <v>1</v>
      </c>
      <c r="Q256">
        <v>5.9</v>
      </c>
      <c r="R256" s="2">
        <f>IF(ISBLANK(Table1[[#This Row],[Age]]),AVERAGE(Table1[Age]),Table1[[#This Row],[Age]])</f>
        <v>16</v>
      </c>
      <c r="S256" t="str">
        <f>PROPER(Table1[[#This Row],[Country]])</f>
        <v>United States</v>
      </c>
      <c r="T256" t="str">
        <f>TRIM(Table1[[#This Row],[Profession]])</f>
        <v>Environmental Science Student</v>
      </c>
      <c r="U256" s="5">
        <f>IF(ISBLANK(H256),AVERAGEIF(Table1[[#This Row],[Profession imputed]],T256,Table1[Monthly_Income]),H256)</f>
        <v>118</v>
      </c>
      <c r="V256" s="6" t="str">
        <f>PROPER(TRIM(Table1[AI_Tool]))</f>
        <v>Meta Ai</v>
      </c>
      <c r="W256" s="8">
        <f>IF(ISBLANK(Table1[[#This Row],[Time_Saved_Hours_Per_Week]]),AVERAGEIF(Table1[Satisfaction_Score],Table1[[#This Row],[Satisfaction_Score]],Table1[Time_Saved_Hours_Per_Week]),Table1[[#This Row],[Time_Saved_Hours_Per_Week]])</f>
        <v>1</v>
      </c>
    </row>
    <row r="257" spans="1:23" x14ac:dyDescent="0.25">
      <c r="A257" t="s">
        <v>162</v>
      </c>
      <c r="B257">
        <v>22</v>
      </c>
      <c r="C257" t="s">
        <v>29</v>
      </c>
      <c r="D257" t="s">
        <v>49</v>
      </c>
      <c r="E257" t="s">
        <v>111</v>
      </c>
      <c r="F257" t="s">
        <v>50</v>
      </c>
      <c r="G257" t="s">
        <v>133</v>
      </c>
      <c r="H257">
        <v>120</v>
      </c>
      <c r="I257" t="s">
        <v>271</v>
      </c>
      <c r="J257" s="6" t="s">
        <v>130</v>
      </c>
      <c r="K257" s="15">
        <v>9.6</v>
      </c>
      <c r="L257" s="5">
        <v>20</v>
      </c>
      <c r="M257" s="15">
        <v>7.3</v>
      </c>
      <c r="N257">
        <v>4</v>
      </c>
      <c r="O257">
        <v>9</v>
      </c>
      <c r="P257">
        <v>19.399999999999999</v>
      </c>
      <c r="Q257">
        <v>5.2</v>
      </c>
      <c r="R257" s="2">
        <f>IF(ISBLANK(Table1[[#This Row],[Age]]),AVERAGE(Table1[Age]),Table1[[#This Row],[Age]])</f>
        <v>22</v>
      </c>
      <c r="S257" t="str">
        <f>PROPER(Table1[[#This Row],[Country]])</f>
        <v>Kenya</v>
      </c>
      <c r="T257" t="str">
        <f>TRIM(Table1[[#This Row],[Profession]])</f>
        <v>Biology Student</v>
      </c>
      <c r="U257" s="5">
        <f>IF(ISBLANK(H257),AVERAGEIF(Table1[[#This Row],[Profession imputed]],T257,Table1[Monthly_Income]),H257)</f>
        <v>120</v>
      </c>
      <c r="V257" s="6" t="str">
        <f>PROPER(TRIM(Table1[AI_Tool]))</f>
        <v>Chat Gpt</v>
      </c>
      <c r="W257" s="8">
        <f>IF(ISBLANK(Table1[[#This Row],[Time_Saved_Hours_Per_Week]]),AVERAGEIF(Table1[Satisfaction_Score],Table1[[#This Row],[Satisfaction_Score]],Table1[Time_Saved_Hours_Per_Week]),Table1[[#This Row],[Time_Saved_Hours_Per_Week]])</f>
        <v>19.399999999999999</v>
      </c>
    </row>
    <row r="258" spans="1:23" x14ac:dyDescent="0.25">
      <c r="A258" t="s">
        <v>767</v>
      </c>
      <c r="B258">
        <v>16</v>
      </c>
      <c r="C258" t="s">
        <v>22</v>
      </c>
      <c r="D258" t="s">
        <v>44</v>
      </c>
      <c r="E258" t="s">
        <v>111</v>
      </c>
      <c r="F258" t="s">
        <v>50</v>
      </c>
      <c r="G258" t="s">
        <v>757</v>
      </c>
      <c r="H258">
        <v>121</v>
      </c>
      <c r="I258" t="s">
        <v>253</v>
      </c>
      <c r="J258" s="6" t="s">
        <v>130</v>
      </c>
      <c r="K258" s="15">
        <v>0.7</v>
      </c>
      <c r="L258" s="5">
        <v>0</v>
      </c>
      <c r="M258" s="15">
        <v>4.5</v>
      </c>
      <c r="N258">
        <v>4</v>
      </c>
      <c r="O258">
        <v>7</v>
      </c>
      <c r="P258">
        <v>1</v>
      </c>
      <c r="Q258">
        <v>5.9</v>
      </c>
      <c r="R258" s="2">
        <f>IF(ISBLANK(Table1[[#This Row],[Age]]),AVERAGE(Table1[Age]),Table1[[#This Row],[Age]])</f>
        <v>16</v>
      </c>
      <c r="S258" t="str">
        <f>PROPER(Table1[[#This Row],[Country]])</f>
        <v>United States</v>
      </c>
      <c r="T258" t="str">
        <f>TRIM(Table1[[#This Row],[Profession]])</f>
        <v>Environmental Science Student</v>
      </c>
      <c r="U258" s="5">
        <f>IF(ISBLANK(H258),AVERAGEIF(Table1[[#This Row],[Profession imputed]],T258,Table1[Monthly_Income]),H258)</f>
        <v>121</v>
      </c>
      <c r="V258" s="6" t="str">
        <f>PROPER(TRIM(Table1[AI_Tool]))</f>
        <v>Meta Ai</v>
      </c>
      <c r="W258" s="8">
        <f>IF(ISBLANK(Table1[[#This Row],[Time_Saved_Hours_Per_Week]]),AVERAGEIF(Table1[Satisfaction_Score],Table1[[#This Row],[Satisfaction_Score]],Table1[Time_Saved_Hours_Per_Week]),Table1[[#This Row],[Time_Saved_Hours_Per_Week]])</f>
        <v>1</v>
      </c>
    </row>
    <row r="259" spans="1:23" x14ac:dyDescent="0.25">
      <c r="A259" t="s">
        <v>306</v>
      </c>
      <c r="B259">
        <v>19</v>
      </c>
      <c r="C259" t="s">
        <v>29</v>
      </c>
      <c r="D259" t="s">
        <v>117</v>
      </c>
      <c r="E259" t="s">
        <v>111</v>
      </c>
      <c r="F259" t="s">
        <v>132</v>
      </c>
      <c r="G259" t="s">
        <v>270</v>
      </c>
      <c r="H259">
        <v>124</v>
      </c>
      <c r="I259" t="s">
        <v>1186</v>
      </c>
      <c r="J259" s="6" t="s">
        <v>33</v>
      </c>
      <c r="K259" s="15">
        <v>0</v>
      </c>
      <c r="L259" s="5">
        <v>0</v>
      </c>
      <c r="M259" s="15">
        <v>7.6</v>
      </c>
      <c r="N259">
        <v>2</v>
      </c>
      <c r="O259">
        <v>6</v>
      </c>
      <c r="P259">
        <v>12.4</v>
      </c>
      <c r="Q259">
        <v>6.3</v>
      </c>
      <c r="R259" s="2">
        <f>IF(ISBLANK(Table1[[#This Row],[Age]]),AVERAGE(Table1[Age]),Table1[[#This Row],[Age]])</f>
        <v>19</v>
      </c>
      <c r="S259" t="str">
        <f>PROPER(Table1[[#This Row],[Country]])</f>
        <v>United Kingdom</v>
      </c>
      <c r="T259" t="str">
        <f>TRIM(Table1[[#This Row],[Profession]])</f>
        <v>Computer Science Student</v>
      </c>
      <c r="U259" s="5">
        <f>IF(ISBLANK(H259),AVERAGEIF(Table1[Profession imputed],T259,Table1[Monthly_Income]),H259)</f>
        <v>124</v>
      </c>
      <c r="V259" s="6" t="str">
        <f>PROPER(TRIM(Table1[AI_Tool]))</f>
        <v>Google Gemini</v>
      </c>
      <c r="W259" s="8">
        <f>IF(ISBLANK(Table1[[#This Row],[Time_Saved_Hours_Per_Week]]),AVERAGEIF(Table1[Satisfaction_Score],Table1[[#This Row],[Satisfaction_Score]],Table1[Time_Saved_Hours_Per_Week]),Table1[[#This Row],[Time_Saved_Hours_Per_Week]])</f>
        <v>12.4</v>
      </c>
    </row>
    <row r="260" spans="1:23" x14ac:dyDescent="0.25">
      <c r="A260" t="s">
        <v>855</v>
      </c>
      <c r="B260">
        <v>20</v>
      </c>
      <c r="C260" t="s">
        <v>29</v>
      </c>
      <c r="D260" t="s">
        <v>52</v>
      </c>
      <c r="E260" t="s">
        <v>111</v>
      </c>
      <c r="F260" t="s">
        <v>132</v>
      </c>
      <c r="G260" t="s">
        <v>851</v>
      </c>
      <c r="H260">
        <v>126</v>
      </c>
      <c r="I260" t="s">
        <v>271</v>
      </c>
      <c r="J260" s="6" t="s">
        <v>130</v>
      </c>
      <c r="K260" s="15">
        <v>0.9</v>
      </c>
      <c r="L260" s="5">
        <v>0</v>
      </c>
      <c r="M260" s="15">
        <v>3.2</v>
      </c>
      <c r="N260">
        <v>4</v>
      </c>
      <c r="O260">
        <v>4</v>
      </c>
      <c r="P260">
        <v>1.8</v>
      </c>
      <c r="Q260">
        <v>6.3</v>
      </c>
      <c r="R260" s="2">
        <f>IF(ISBLANK(Table1[[#This Row],[Age]]),AVERAGE(Table1[Age]),Table1[[#This Row],[Age]])</f>
        <v>20</v>
      </c>
      <c r="S260" t="str">
        <f>PROPER(Table1[[#This Row],[Country]])</f>
        <v>India</v>
      </c>
      <c r="T260" t="str">
        <f>TRIM(Table1[[#This Row],[Profession]])</f>
        <v>Mechanical Engineering Student</v>
      </c>
      <c r="U260" s="5">
        <f>IF(ISBLANK(H260),AVERAGEIF(Table1[[#This Row],[Profession imputed]],T260,Table1[Monthly_Income]),H260)</f>
        <v>126</v>
      </c>
      <c r="V260" s="6" t="str">
        <f>PROPER(TRIM(Table1[AI_Tool]))</f>
        <v>Chat Gpt</v>
      </c>
      <c r="W260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261" spans="1:23" x14ac:dyDescent="0.25">
      <c r="A261" t="s">
        <v>186</v>
      </c>
      <c r="B261">
        <v>22</v>
      </c>
      <c r="C261" t="s">
        <v>22</v>
      </c>
      <c r="D261" t="s">
        <v>89</v>
      </c>
      <c r="E261" t="s">
        <v>111</v>
      </c>
      <c r="F261" t="s">
        <v>55</v>
      </c>
      <c r="G261" t="s">
        <v>179</v>
      </c>
      <c r="H261">
        <v>127</v>
      </c>
      <c r="I261" t="s">
        <v>58</v>
      </c>
      <c r="J261" s="6" t="s">
        <v>130</v>
      </c>
      <c r="K261" s="15">
        <v>1.6</v>
      </c>
      <c r="L261" s="5">
        <v>30</v>
      </c>
      <c r="M261" s="15">
        <v>4.5</v>
      </c>
      <c r="N261">
        <v>4</v>
      </c>
      <c r="O261">
        <v>6</v>
      </c>
      <c r="P261">
        <v>3.5</v>
      </c>
      <c r="Q261">
        <v>0</v>
      </c>
      <c r="R261" s="2">
        <f>IF(ISBLANK(Table1[[#This Row],[Age]]),AVERAGE(Table1[Age]),Table1[[#This Row],[Age]])</f>
        <v>22</v>
      </c>
      <c r="S261" t="str">
        <f>PROPER(Table1[[#This Row],[Country]])</f>
        <v>Nigeria</v>
      </c>
      <c r="T261" t="str">
        <f>TRIM(Table1[[#This Row],[Profession]])</f>
        <v>Biomedical Engineering Student</v>
      </c>
      <c r="U261" s="5">
        <f>IF(ISBLANK(H261),AVERAGEIF(Table1[Profession imputed],T261,Table1[Monthly_Income]),H261)</f>
        <v>127</v>
      </c>
      <c r="V261" s="6" t="str">
        <f>PROPER(TRIM(Table1[AI_Tool]))</f>
        <v>Claude</v>
      </c>
      <c r="W261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262" spans="1:23" x14ac:dyDescent="0.25">
      <c r="A262" t="s">
        <v>323</v>
      </c>
      <c r="B262">
        <v>23</v>
      </c>
      <c r="C262" t="s">
        <v>29</v>
      </c>
      <c r="D262" t="s">
        <v>117</v>
      </c>
      <c r="E262" t="s">
        <v>111</v>
      </c>
      <c r="F262" t="s">
        <v>132</v>
      </c>
      <c r="G262" t="s">
        <v>270</v>
      </c>
      <c r="H262">
        <v>127</v>
      </c>
      <c r="I262" t="s">
        <v>1186</v>
      </c>
      <c r="J262" s="6" t="s">
        <v>33</v>
      </c>
      <c r="K262" s="15">
        <v>0</v>
      </c>
      <c r="L262" s="5">
        <v>0</v>
      </c>
      <c r="M262" s="15">
        <v>7.6</v>
      </c>
      <c r="N262">
        <v>2</v>
      </c>
      <c r="O262">
        <v>6</v>
      </c>
      <c r="P262">
        <v>12.4</v>
      </c>
      <c r="Q262">
        <v>6.3</v>
      </c>
      <c r="R262" s="2">
        <f>IF(ISBLANK(Table1[[#This Row],[Age]]),AVERAGE(Table1[Age]),Table1[[#This Row],[Age]])</f>
        <v>23</v>
      </c>
      <c r="S262" t="str">
        <f>PROPER(Table1[[#This Row],[Country]])</f>
        <v>United Kingdom</v>
      </c>
      <c r="T262" t="str">
        <f>TRIM(Table1[[#This Row],[Profession]])</f>
        <v>Computer Science Student</v>
      </c>
      <c r="U262" s="5">
        <f>IF(ISBLANK(H262),AVERAGEIF(Table1[Profession imputed],T262,Table1[Monthly_Income]),H262)</f>
        <v>127</v>
      </c>
      <c r="V262" s="6" t="str">
        <f>PROPER(TRIM(Table1[AI_Tool]))</f>
        <v>Google Gemini</v>
      </c>
      <c r="W262" s="8">
        <f>IF(ISBLANK(Table1[[#This Row],[Time_Saved_Hours_Per_Week]]),AVERAGEIF(Table1[Satisfaction_Score],Table1[[#This Row],[Satisfaction_Score]],Table1[Time_Saved_Hours_Per_Week]),Table1[[#This Row],[Time_Saved_Hours_Per_Week]])</f>
        <v>12.4</v>
      </c>
    </row>
    <row r="263" spans="1:23" x14ac:dyDescent="0.25">
      <c r="A263" t="s">
        <v>647</v>
      </c>
      <c r="B263">
        <v>18</v>
      </c>
      <c r="C263" t="s">
        <v>29</v>
      </c>
      <c r="D263" t="s">
        <v>35</v>
      </c>
      <c r="E263" t="s">
        <v>111</v>
      </c>
      <c r="F263" t="s">
        <v>132</v>
      </c>
      <c r="G263" t="s">
        <v>638</v>
      </c>
      <c r="H263">
        <v>127</v>
      </c>
      <c r="I263" t="s">
        <v>58</v>
      </c>
      <c r="J263" s="6" t="s">
        <v>75</v>
      </c>
      <c r="K263" s="15">
        <v>1.6</v>
      </c>
      <c r="L263" s="5">
        <v>30</v>
      </c>
      <c r="M263" s="15">
        <v>4.7</v>
      </c>
      <c r="N263">
        <v>4</v>
      </c>
      <c r="O263">
        <v>6</v>
      </c>
      <c r="P263">
        <v>3.8</v>
      </c>
      <c r="Q263">
        <v>3.8</v>
      </c>
      <c r="R263" s="2">
        <f>IF(ISBLANK(Table1[[#This Row],[Age]]),AVERAGE(Table1[Age]),Table1[[#This Row],[Age]])</f>
        <v>18</v>
      </c>
      <c r="S263" t="str">
        <f>PROPER(Table1[[#This Row],[Country]])</f>
        <v>Philippines</v>
      </c>
      <c r="T263" t="str">
        <f>TRIM(Table1[[#This Row],[Profession]])</f>
        <v>Digital Media Production Student</v>
      </c>
      <c r="U263" s="5">
        <f>IF(ISBLANK(H263),AVERAGEIF(Table1[Profession imputed],T263,Table1[Monthly_Income]),H263)</f>
        <v>127</v>
      </c>
      <c r="V263" s="6" t="str">
        <f>PROPER(TRIM(Table1[AI_Tool]))</f>
        <v>Claude</v>
      </c>
      <c r="W263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264" spans="1:23" x14ac:dyDescent="0.25">
      <c r="A264" t="s">
        <v>191</v>
      </c>
      <c r="C264" t="s">
        <v>22</v>
      </c>
      <c r="D264" t="s">
        <v>189</v>
      </c>
      <c r="E264" t="s">
        <v>111</v>
      </c>
      <c r="F264" t="s">
        <v>132</v>
      </c>
      <c r="G264" t="s">
        <v>190</v>
      </c>
      <c r="H264">
        <v>128</v>
      </c>
      <c r="I264" t="s">
        <v>271</v>
      </c>
      <c r="J264" s="6" t="s">
        <v>124</v>
      </c>
      <c r="K264" s="15">
        <v>1.2</v>
      </c>
      <c r="L264" s="5">
        <v>0</v>
      </c>
      <c r="M264" s="15">
        <v>2.6</v>
      </c>
      <c r="N264">
        <v>4</v>
      </c>
      <c r="O264">
        <v>7</v>
      </c>
      <c r="P264">
        <v>5.3</v>
      </c>
      <c r="Q264">
        <v>7.1</v>
      </c>
      <c r="R264" s="2">
        <f>IF(ISBLANK(Table1[[#This Row],[Age]]),AVERAGE(Table1[Age]),Table1[[#This Row],[Age]])</f>
        <v>30.023333333333333</v>
      </c>
      <c r="S264" t="str">
        <f>PROPER(Table1[[#This Row],[Country]])</f>
        <v>Australia</v>
      </c>
      <c r="T264" t="str">
        <f>TRIM(Table1[[#This Row],[Profession]])</f>
        <v>Biomedical Science Student</v>
      </c>
      <c r="U264" s="5">
        <f>IF(ISBLANK(H264),AVERAGEIF(Table1[Profession imputed],T264,Table1[Monthly_Income]),H264)</f>
        <v>128</v>
      </c>
      <c r="V264" s="6" t="str">
        <f>PROPER(TRIM(Table1[AI_Tool]))</f>
        <v>Chat Gpt</v>
      </c>
      <c r="W264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65" spans="1:23" x14ac:dyDescent="0.25">
      <c r="A265" t="s">
        <v>224</v>
      </c>
      <c r="B265">
        <v>21</v>
      </c>
      <c r="C265" t="s">
        <v>29</v>
      </c>
      <c r="D265" t="s">
        <v>44</v>
      </c>
      <c r="E265" t="s">
        <v>111</v>
      </c>
      <c r="F265" t="s">
        <v>25</v>
      </c>
      <c r="G265" t="s">
        <v>213</v>
      </c>
      <c r="H265">
        <v>128</v>
      </c>
      <c r="I265" t="s">
        <v>58</v>
      </c>
      <c r="J265" s="6" t="s">
        <v>124</v>
      </c>
      <c r="K265" s="15">
        <v>3.9</v>
      </c>
      <c r="L265" s="5">
        <v>0</v>
      </c>
      <c r="M265" s="15">
        <v>5.2</v>
      </c>
      <c r="N265">
        <v>4</v>
      </c>
      <c r="O265">
        <v>7</v>
      </c>
      <c r="P265">
        <v>9.8000000000000007</v>
      </c>
      <c r="Q265">
        <v>5.0999999999999996</v>
      </c>
      <c r="R265" s="2">
        <f>IF(ISBLANK(Table1[[#This Row],[Age]]),AVERAGE(Table1[Age]),Table1[[#This Row],[Age]])</f>
        <v>21</v>
      </c>
      <c r="S265" t="str">
        <f>PROPER(Table1[[#This Row],[Country]])</f>
        <v>United States</v>
      </c>
      <c r="T265" t="str">
        <f>TRIM(Table1[[#This Row],[Profession]])</f>
        <v>Business Administration Student</v>
      </c>
      <c r="U265" s="5">
        <f>IF(ISBLANK(H265),AVERAGEIF(Table1[Profession imputed],T265,Table1[Monthly_Income]),H265)</f>
        <v>128</v>
      </c>
      <c r="V265" s="6" t="str">
        <f>PROPER(TRIM(Table1[AI_Tool]))</f>
        <v>Claude</v>
      </c>
      <c r="W265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266" spans="1:23" x14ac:dyDescent="0.25">
      <c r="A266" t="s">
        <v>230</v>
      </c>
      <c r="B266">
        <v>21</v>
      </c>
      <c r="C266" t="s">
        <v>29</v>
      </c>
      <c r="D266" t="s">
        <v>44</v>
      </c>
      <c r="E266" t="s">
        <v>111</v>
      </c>
      <c r="F266" t="s">
        <v>25</v>
      </c>
      <c r="G266" t="s">
        <v>213</v>
      </c>
      <c r="H266">
        <v>128</v>
      </c>
      <c r="I266" t="s">
        <v>58</v>
      </c>
      <c r="J266" s="6" t="s">
        <v>124</v>
      </c>
      <c r="K266" s="15">
        <v>3.9</v>
      </c>
      <c r="L266" s="5">
        <v>0</v>
      </c>
      <c r="M266" s="15">
        <v>5.2</v>
      </c>
      <c r="N266">
        <v>4</v>
      </c>
      <c r="O266">
        <v>7</v>
      </c>
      <c r="P266">
        <v>9.8000000000000007</v>
      </c>
      <c r="Q266">
        <v>5.0999999999999996</v>
      </c>
      <c r="R266" s="2">
        <f>IF(ISBLANK(Table1[[#This Row],[Age]]),AVERAGE(Table1[Age]),Table1[[#This Row],[Age]])</f>
        <v>21</v>
      </c>
      <c r="S266" t="str">
        <f>PROPER(Table1[[#This Row],[Country]])</f>
        <v>United States</v>
      </c>
      <c r="T266" t="str">
        <f>TRIM(Table1[[#This Row],[Profession]])</f>
        <v>Business Administration Student</v>
      </c>
      <c r="U266" s="5">
        <f>IF(ISBLANK(H266),AVERAGEIF(Table1[Profession imputed],T266,Table1[Monthly_Income]),H266)</f>
        <v>128</v>
      </c>
      <c r="V266" s="6" t="str">
        <f>PROPER(TRIM(Table1[AI_Tool]))</f>
        <v>Claude</v>
      </c>
      <c r="W266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267" spans="1:23" x14ac:dyDescent="0.25">
      <c r="A267" t="s">
        <v>644</v>
      </c>
      <c r="B267">
        <v>16</v>
      </c>
      <c r="C267" t="s">
        <v>29</v>
      </c>
      <c r="D267" t="s">
        <v>35</v>
      </c>
      <c r="E267" t="s">
        <v>111</v>
      </c>
      <c r="F267" t="s">
        <v>132</v>
      </c>
      <c r="G267" t="s">
        <v>638</v>
      </c>
      <c r="H267">
        <v>128</v>
      </c>
      <c r="I267" t="s">
        <v>58</v>
      </c>
      <c r="J267" s="6" t="s">
        <v>75</v>
      </c>
      <c r="K267" s="15">
        <v>1.6</v>
      </c>
      <c r="L267" s="5">
        <v>30</v>
      </c>
      <c r="M267" s="15">
        <v>4.7</v>
      </c>
      <c r="N267">
        <v>4</v>
      </c>
      <c r="O267">
        <v>6</v>
      </c>
      <c r="P267">
        <v>3.8</v>
      </c>
      <c r="Q267">
        <v>3.8</v>
      </c>
      <c r="R267" s="2">
        <f>IF(ISBLANK(Table1[[#This Row],[Age]]),AVERAGE(Table1[Age]),Table1[[#This Row],[Age]])</f>
        <v>16</v>
      </c>
      <c r="S267" t="str">
        <f>PROPER(Table1[[#This Row],[Country]])</f>
        <v>Philippines</v>
      </c>
      <c r="T267" t="str">
        <f>TRIM(Table1[[#This Row],[Profession]])</f>
        <v>Digital Media Production Student</v>
      </c>
      <c r="U267" s="5">
        <f>IF(ISBLANK(H267),AVERAGEIF(Table1[Profession imputed],T267,Table1[Monthly_Income]),H267)</f>
        <v>128</v>
      </c>
      <c r="V267" s="6" t="str">
        <f>PROPER(TRIM(Table1[AI_Tool]))</f>
        <v>Claude</v>
      </c>
      <c r="W267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268" spans="1:23" x14ac:dyDescent="0.25">
      <c r="A268" t="s">
        <v>392</v>
      </c>
      <c r="B268">
        <v>17</v>
      </c>
      <c r="C268" t="s">
        <v>22</v>
      </c>
      <c r="D268" t="s">
        <v>35</v>
      </c>
      <c r="E268" t="s">
        <v>111</v>
      </c>
      <c r="F268" t="s">
        <v>55</v>
      </c>
      <c r="G268" t="s">
        <v>393</v>
      </c>
      <c r="H268">
        <v>130</v>
      </c>
      <c r="I268" t="s">
        <v>58</v>
      </c>
      <c r="J268" s="6" t="s">
        <v>124</v>
      </c>
      <c r="K268" s="15">
        <v>2.4</v>
      </c>
      <c r="L268" s="5">
        <v>20</v>
      </c>
      <c r="M268" s="15">
        <v>4.8</v>
      </c>
      <c r="N268">
        <v>4</v>
      </c>
      <c r="O268">
        <v>8</v>
      </c>
      <c r="P268">
        <v>4.7</v>
      </c>
      <c r="Q268">
        <v>3.2</v>
      </c>
      <c r="R268" s="2">
        <f>IF(ISBLANK(Table1[[#This Row],[Age]]),AVERAGE(Table1[Age]),Table1[[#This Row],[Age]])</f>
        <v>17</v>
      </c>
      <c r="S268" t="str">
        <f>PROPER(Table1[[#This Row],[Country]])</f>
        <v>Philippines</v>
      </c>
      <c r="T268" t="str">
        <f>TRIM(Table1[[#This Row],[Profession]])</f>
        <v>Creative Writing Student</v>
      </c>
      <c r="U268" s="5">
        <f>IF(ISBLANK(H268),AVERAGEIF(Table1[[#This Row],[Profession imputed]],T268,Table1[Monthly_Income]),H268)</f>
        <v>130</v>
      </c>
      <c r="V268" s="6" t="str">
        <f>PROPER(TRIM(Table1[AI_Tool]))</f>
        <v>Claude</v>
      </c>
      <c r="W268" s="8">
        <f>IF(ISBLANK(Table1[[#This Row],[Time_Saved_Hours_Per_Week]]),AVERAGEIF(Table1[Satisfaction_Score],Table1[[#This Row],[Satisfaction_Score]],Table1[Time_Saved_Hours_Per_Week]),Table1[[#This Row],[Time_Saved_Hours_Per_Week]])</f>
        <v>4.7</v>
      </c>
    </row>
    <row r="269" spans="1:23" x14ac:dyDescent="0.25">
      <c r="A269" t="s">
        <v>533</v>
      </c>
      <c r="B269">
        <v>23</v>
      </c>
      <c r="C269" t="s">
        <v>29</v>
      </c>
      <c r="D269" t="s">
        <v>49</v>
      </c>
      <c r="E269" t="s">
        <v>111</v>
      </c>
      <c r="F269" t="s">
        <v>55</v>
      </c>
      <c r="G269" t="s">
        <v>520</v>
      </c>
      <c r="H269">
        <v>130</v>
      </c>
      <c r="I269" t="s">
        <v>139</v>
      </c>
      <c r="J269" s="6" t="s">
        <v>106</v>
      </c>
      <c r="K269" s="15">
        <v>1.4</v>
      </c>
      <c r="L269" s="5">
        <v>25</v>
      </c>
      <c r="M269" s="15">
        <v>0</v>
      </c>
      <c r="N269">
        <v>3</v>
      </c>
      <c r="O269">
        <v>6</v>
      </c>
      <c r="P269">
        <v>2.2999999999999998</v>
      </c>
      <c r="Q269">
        <v>0</v>
      </c>
      <c r="R269" s="2">
        <f>IF(ISBLANK(Table1[[#This Row],[Age]]),AVERAGE(Table1[Age]),Table1[[#This Row],[Age]])</f>
        <v>23</v>
      </c>
      <c r="S269" t="str">
        <f>PROPER(Table1[[#This Row],[Country]])</f>
        <v>Kenya</v>
      </c>
      <c r="T269" t="str">
        <f>TRIM(Table1[[#This Row],[Profession]])</f>
        <v>Data Science Student</v>
      </c>
      <c r="U269" s="5">
        <f>IF(ISBLANK(H269),AVERAGEIF(Table1[Profession imputed],T269,Table1[Monthly_Income]),H269)</f>
        <v>130</v>
      </c>
      <c r="V269" s="6" t="str">
        <f>PROPER(TRIM(Table1[AI_Tool]))</f>
        <v>Microsoft Copilot</v>
      </c>
      <c r="W269" s="8">
        <f>IF(ISBLANK(Table1[[#This Row],[Time_Saved_Hours_Per_Week]]),AVERAGEIF(Table1[Satisfaction_Score],Table1[[#This Row],[Satisfaction_Score]],Table1[Time_Saved_Hours_Per_Week]),Table1[[#This Row],[Time_Saved_Hours_Per_Week]])</f>
        <v>2.2999999999999998</v>
      </c>
    </row>
    <row r="270" spans="1:23" x14ac:dyDescent="0.25">
      <c r="A270" t="s">
        <v>222</v>
      </c>
      <c r="B270">
        <v>18</v>
      </c>
      <c r="C270" t="s">
        <v>29</v>
      </c>
      <c r="D270" t="s">
        <v>44</v>
      </c>
      <c r="E270" t="s">
        <v>111</v>
      </c>
      <c r="F270" t="s">
        <v>25</v>
      </c>
      <c r="G270" t="s">
        <v>213</v>
      </c>
      <c r="H270">
        <v>132</v>
      </c>
      <c r="I270" t="s">
        <v>58</v>
      </c>
      <c r="J270" s="6" t="s">
        <v>124</v>
      </c>
      <c r="K270" s="15">
        <v>3.9</v>
      </c>
      <c r="L270" s="5">
        <v>0</v>
      </c>
      <c r="M270" s="15">
        <v>5.2</v>
      </c>
      <c r="N270">
        <v>4</v>
      </c>
      <c r="O270">
        <v>7</v>
      </c>
      <c r="P270">
        <v>9.8000000000000007</v>
      </c>
      <c r="Q270">
        <v>5.0999999999999996</v>
      </c>
      <c r="R270" s="2">
        <f>IF(ISBLANK(Table1[[#This Row],[Age]]),AVERAGE(Table1[Age]),Table1[[#This Row],[Age]])</f>
        <v>18</v>
      </c>
      <c r="S270" t="str">
        <f>PROPER(Table1[[#This Row],[Country]])</f>
        <v>United States</v>
      </c>
      <c r="T270" t="str">
        <f>TRIM(Table1[[#This Row],[Profession]])</f>
        <v>Business Administration Student</v>
      </c>
      <c r="U270" s="5">
        <f>IF(ISBLANK(H270),AVERAGEIF(Table1[Profession imputed],T270,Table1[Monthly_Income]),H270)</f>
        <v>132</v>
      </c>
      <c r="V270" s="6" t="str">
        <f>PROPER(TRIM(Table1[AI_Tool]))</f>
        <v>Claude</v>
      </c>
      <c r="W270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271" spans="1:23" x14ac:dyDescent="0.25">
      <c r="A271" t="s">
        <v>547</v>
      </c>
      <c r="B271">
        <v>22</v>
      </c>
      <c r="C271" t="s">
        <v>29</v>
      </c>
      <c r="D271" t="s">
        <v>49</v>
      </c>
      <c r="E271" t="s">
        <v>111</v>
      </c>
      <c r="F271" t="s">
        <v>55</v>
      </c>
      <c r="G271" t="s">
        <v>520</v>
      </c>
      <c r="H271">
        <v>132</v>
      </c>
      <c r="I271" t="s">
        <v>139</v>
      </c>
      <c r="J271" s="6" t="s">
        <v>106</v>
      </c>
      <c r="K271" s="15">
        <v>1.4</v>
      </c>
      <c r="L271" s="5">
        <v>25</v>
      </c>
      <c r="M271" s="15">
        <v>0</v>
      </c>
      <c r="N271">
        <v>3</v>
      </c>
      <c r="O271">
        <v>6</v>
      </c>
      <c r="P271">
        <v>2.2999999999999998</v>
      </c>
      <c r="Q271">
        <v>0</v>
      </c>
      <c r="R271" s="2">
        <f>IF(ISBLANK(Table1[[#This Row],[Age]]),AVERAGE(Table1[Age]),Table1[[#This Row],[Age]])</f>
        <v>22</v>
      </c>
      <c r="S271" t="str">
        <f>PROPER(Table1[[#This Row],[Country]])</f>
        <v>Kenya</v>
      </c>
      <c r="T271" t="str">
        <f>TRIM(Table1[[#This Row],[Profession]])</f>
        <v>Data Science Student</v>
      </c>
      <c r="U271" s="5">
        <f>IF(ISBLANK(H271),AVERAGEIF(Table1[Profession imputed],T271,Table1[Monthly_Income]),H271)</f>
        <v>132</v>
      </c>
      <c r="V271" s="6" t="str">
        <f>PROPER(TRIM(Table1[AI_Tool]))</f>
        <v>Microsoft Copilot</v>
      </c>
      <c r="W271" s="8">
        <f>IF(ISBLANK(Table1[[#This Row],[Time_Saved_Hours_Per_Week]]),AVERAGEIF(Table1[Satisfaction_Score],Table1[[#This Row],[Satisfaction_Score]],Table1[Time_Saved_Hours_Per_Week]),Table1[[#This Row],[Time_Saved_Hours_Per_Week]])</f>
        <v>2.2999999999999998</v>
      </c>
    </row>
    <row r="272" spans="1:23" x14ac:dyDescent="0.25">
      <c r="A272" t="s">
        <v>637</v>
      </c>
      <c r="B272">
        <v>16</v>
      </c>
      <c r="C272" t="s">
        <v>29</v>
      </c>
      <c r="D272" t="s">
        <v>35</v>
      </c>
      <c r="E272" t="s">
        <v>111</v>
      </c>
      <c r="F272" t="s">
        <v>132</v>
      </c>
      <c r="G272" s="4" t="s">
        <v>638</v>
      </c>
      <c r="H272">
        <v>132</v>
      </c>
      <c r="I272" t="s">
        <v>58</v>
      </c>
      <c r="J272" s="6" t="s">
        <v>75</v>
      </c>
      <c r="K272" s="15">
        <v>1.6</v>
      </c>
      <c r="L272" s="5">
        <v>30</v>
      </c>
      <c r="M272" s="15">
        <v>4.7</v>
      </c>
      <c r="N272">
        <v>4</v>
      </c>
      <c r="O272">
        <v>6</v>
      </c>
      <c r="P272">
        <v>3.8</v>
      </c>
      <c r="Q272">
        <v>3.8</v>
      </c>
      <c r="R272" s="2">
        <f>IF(ISBLANK(Table1[[#This Row],[Age]]),AVERAGE(Table1[Age]),Table1[[#This Row],[Age]])</f>
        <v>16</v>
      </c>
      <c r="S272" t="str">
        <f>PROPER(Table1[[#This Row],[Country]])</f>
        <v>Philippines</v>
      </c>
      <c r="T272" t="str">
        <f>TRIM(Table1[[#This Row],[Profession]])</f>
        <v>Digital Media Production Student</v>
      </c>
      <c r="U272" s="5">
        <f>IF(ISBLANK(H272),AVERAGEIF(Table1[Profession imputed],T272,Table1[Monthly_Income]),H272)</f>
        <v>132</v>
      </c>
      <c r="V272" s="6" t="str">
        <f>PROPER(TRIM(Table1[AI_Tool]))</f>
        <v>Claude</v>
      </c>
      <c r="W272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273" spans="1:23" x14ac:dyDescent="0.25">
      <c r="A273" t="s">
        <v>188</v>
      </c>
      <c r="C273" t="s">
        <v>22</v>
      </c>
      <c r="D273" t="s">
        <v>189</v>
      </c>
      <c r="E273" t="s">
        <v>111</v>
      </c>
      <c r="F273" t="s">
        <v>132</v>
      </c>
      <c r="G273" t="s">
        <v>190</v>
      </c>
      <c r="H273">
        <v>133</v>
      </c>
      <c r="I273" t="s">
        <v>271</v>
      </c>
      <c r="J273" s="6" t="s">
        <v>124</v>
      </c>
      <c r="K273" s="15">
        <v>1.2</v>
      </c>
      <c r="L273" s="5">
        <v>0</v>
      </c>
      <c r="M273" s="15">
        <v>2.6</v>
      </c>
      <c r="N273">
        <v>4</v>
      </c>
      <c r="O273">
        <v>7</v>
      </c>
      <c r="P273">
        <v>5.3</v>
      </c>
      <c r="Q273">
        <v>7.1</v>
      </c>
      <c r="R273" s="2">
        <f>IF(ISBLANK(Table1[[#This Row],[Age]]),AVERAGE(Table1[Age]),Table1[[#This Row],[Age]])</f>
        <v>30.023333333333333</v>
      </c>
      <c r="S273" t="str">
        <f>PROPER(Table1[[#This Row],[Country]])</f>
        <v>Australia</v>
      </c>
      <c r="T273" t="str">
        <f>TRIM(Table1[[#This Row],[Profession]])</f>
        <v>Biomedical Science Student</v>
      </c>
      <c r="U273" s="5">
        <f>IF(ISBLANK(H273),AVERAGEIF(Table1[Profession imputed],T273,Table1[Monthly_Income]),H273)</f>
        <v>133</v>
      </c>
      <c r="V273" s="6" t="str">
        <f>PROPER(TRIM(Table1[AI_Tool]))</f>
        <v>Chat Gpt</v>
      </c>
      <c r="W273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74" spans="1:23" x14ac:dyDescent="0.25">
      <c r="A274" t="s">
        <v>227</v>
      </c>
      <c r="B274">
        <v>17</v>
      </c>
      <c r="C274" t="s">
        <v>29</v>
      </c>
      <c r="D274" t="s">
        <v>44</v>
      </c>
      <c r="E274" t="s">
        <v>111</v>
      </c>
      <c r="F274" t="s">
        <v>25</v>
      </c>
      <c r="G274" t="s">
        <v>213</v>
      </c>
      <c r="H274">
        <v>134</v>
      </c>
      <c r="I274" t="s">
        <v>58</v>
      </c>
      <c r="J274" s="6" t="s">
        <v>124</v>
      </c>
      <c r="K274" s="15">
        <v>3.9</v>
      </c>
      <c r="L274" s="5">
        <v>0</v>
      </c>
      <c r="M274" s="15">
        <v>5.2</v>
      </c>
      <c r="N274">
        <v>4</v>
      </c>
      <c r="O274">
        <v>7</v>
      </c>
      <c r="P274">
        <v>9.8000000000000007</v>
      </c>
      <c r="Q274">
        <v>5.0999999999999996</v>
      </c>
      <c r="R274" s="2">
        <f>IF(ISBLANK(Table1[[#This Row],[Age]]),AVERAGE(Table1[Age]),Table1[[#This Row],[Age]])</f>
        <v>17</v>
      </c>
      <c r="S274" t="str">
        <f>PROPER(Table1[[#This Row],[Country]])</f>
        <v>United States</v>
      </c>
      <c r="T274" t="str">
        <f>TRIM(Table1[[#This Row],[Profession]])</f>
        <v>Business Administration Student</v>
      </c>
      <c r="U274" s="5">
        <f>IF(ISBLANK(H274),AVERAGEIF(Table1[Profession imputed],T274,Table1[Monthly_Income]),H274)</f>
        <v>134</v>
      </c>
      <c r="V274" s="6" t="str">
        <f>PROPER(TRIM(Table1[AI_Tool]))</f>
        <v>Claude</v>
      </c>
      <c r="W274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275" spans="1:23" x14ac:dyDescent="0.25">
      <c r="A275" t="s">
        <v>660</v>
      </c>
      <c r="B275">
        <v>29</v>
      </c>
      <c r="C275" t="s">
        <v>29</v>
      </c>
      <c r="D275" t="s">
        <v>52</v>
      </c>
      <c r="E275" t="s">
        <v>111</v>
      </c>
      <c r="F275" t="s">
        <v>132</v>
      </c>
      <c r="G275" t="s">
        <v>657</v>
      </c>
      <c r="H275">
        <v>134</v>
      </c>
      <c r="I275" t="s">
        <v>271</v>
      </c>
      <c r="J275" s="6" t="s">
        <v>124</v>
      </c>
      <c r="K275" s="15">
        <v>0.9</v>
      </c>
      <c r="L275" s="5">
        <v>25</v>
      </c>
      <c r="M275" s="15">
        <v>3.7</v>
      </c>
      <c r="N275">
        <v>4</v>
      </c>
      <c r="O275">
        <v>6</v>
      </c>
      <c r="P275">
        <v>0</v>
      </c>
      <c r="Q275">
        <v>6.4</v>
      </c>
      <c r="R275" s="2">
        <f>IF(ISBLANK(Table1[[#This Row],[Age]]),AVERAGE(Table1[Age]),Table1[[#This Row],[Age]])</f>
        <v>29</v>
      </c>
      <c r="S275" t="str">
        <f>PROPER(Table1[[#This Row],[Country]])</f>
        <v>India</v>
      </c>
      <c r="T275" t="str">
        <f>TRIM(Table1[[#This Row],[Profession]])</f>
        <v>Electronics Engineering Student</v>
      </c>
      <c r="U275" s="5">
        <f>IF(ISBLANK(H275),AVERAGEIF(Table1[Profession imputed],T275,Table1[Monthly_Income]),H275)</f>
        <v>134</v>
      </c>
      <c r="V275" s="6" t="str">
        <f>PROPER(TRIM(Table1[AI_Tool]))</f>
        <v>Chat Gpt</v>
      </c>
      <c r="W275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76" spans="1:23" x14ac:dyDescent="0.25">
      <c r="A276" t="s">
        <v>828</v>
      </c>
      <c r="B276">
        <v>24</v>
      </c>
      <c r="C276" t="s">
        <v>29</v>
      </c>
      <c r="D276" t="s">
        <v>23</v>
      </c>
      <c r="E276" t="s">
        <v>111</v>
      </c>
      <c r="F276" t="s">
        <v>55</v>
      </c>
      <c r="G276" t="s">
        <v>829</v>
      </c>
      <c r="H276">
        <v>134</v>
      </c>
      <c r="I276" t="s">
        <v>58</v>
      </c>
      <c r="J276" s="6" t="s">
        <v>130</v>
      </c>
      <c r="K276" s="15">
        <v>3.6</v>
      </c>
      <c r="L276" s="5">
        <v>20</v>
      </c>
      <c r="M276" s="15">
        <v>0</v>
      </c>
      <c r="N276">
        <v>2</v>
      </c>
      <c r="O276">
        <v>6</v>
      </c>
      <c r="P276">
        <v>5.2</v>
      </c>
      <c r="Q276">
        <v>6.5</v>
      </c>
      <c r="R276" s="2">
        <f>IF(ISBLANK(Table1[[#This Row],[Age]]),AVERAGE(Table1[Age]),Table1[[#This Row],[Age]])</f>
        <v>24</v>
      </c>
      <c r="S276" t="str">
        <f>PROPER(Table1[[#This Row],[Country]])</f>
        <v>Germany</v>
      </c>
      <c r="T276" t="str">
        <f>TRIM(Table1[[#This Row],[Profession]])</f>
        <v>Machine Learning Research Student</v>
      </c>
      <c r="U276" s="5">
        <f>IF(ISBLANK(H276),AVERAGEIF(Table1[[#This Row],[Profession imputed]],T276,Table1[Monthly_Income]),H276)</f>
        <v>134</v>
      </c>
      <c r="V276" s="6" t="str">
        <f>PROPER(TRIM(Table1[AI_Tool]))</f>
        <v>Claude</v>
      </c>
      <c r="W276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277" spans="1:23" x14ac:dyDescent="0.25">
      <c r="A277" t="s">
        <v>178</v>
      </c>
      <c r="B277">
        <v>20</v>
      </c>
      <c r="C277" t="s">
        <v>22</v>
      </c>
      <c r="D277" t="s">
        <v>89</v>
      </c>
      <c r="E277" t="s">
        <v>111</v>
      </c>
      <c r="F277" t="s">
        <v>55</v>
      </c>
      <c r="G277" t="s">
        <v>179</v>
      </c>
      <c r="H277">
        <v>135</v>
      </c>
      <c r="I277" t="s">
        <v>58</v>
      </c>
      <c r="J277" s="6" t="s">
        <v>130</v>
      </c>
      <c r="K277" s="15">
        <v>1.6</v>
      </c>
      <c r="L277" s="5">
        <v>30</v>
      </c>
      <c r="M277" s="15">
        <v>4.5</v>
      </c>
      <c r="N277">
        <v>4</v>
      </c>
      <c r="O277">
        <v>6</v>
      </c>
      <c r="P277">
        <v>3.5</v>
      </c>
      <c r="Q277">
        <v>0</v>
      </c>
      <c r="R277" s="2">
        <f>IF(ISBLANK(Table1[[#This Row],[Age]]),AVERAGE(Table1[Age]),Table1[[#This Row],[Age]])</f>
        <v>20</v>
      </c>
      <c r="S277" t="str">
        <f>PROPER(Table1[[#This Row],[Country]])</f>
        <v>Nigeria</v>
      </c>
      <c r="T277" t="str">
        <f>TRIM(Table1[[#This Row],[Profession]])</f>
        <v>Biomedical Engineering Student</v>
      </c>
      <c r="U277" s="5">
        <f>IF(ISBLANK(H277),AVERAGEIF(Table1[Profession imputed],T277,Table1[Monthly_Income]),H277)</f>
        <v>135</v>
      </c>
      <c r="V277" s="6" t="str">
        <f>PROPER(TRIM(Table1[AI_Tool]))</f>
        <v>Claude</v>
      </c>
      <c r="W277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278" spans="1:23" x14ac:dyDescent="0.25">
      <c r="A278" t="s">
        <v>183</v>
      </c>
      <c r="B278">
        <v>21</v>
      </c>
      <c r="C278" t="s">
        <v>22</v>
      </c>
      <c r="D278" t="s">
        <v>89</v>
      </c>
      <c r="E278" t="s">
        <v>111</v>
      </c>
      <c r="F278" t="s">
        <v>55</v>
      </c>
      <c r="G278" t="s">
        <v>179</v>
      </c>
      <c r="H278">
        <v>135</v>
      </c>
      <c r="I278" t="s">
        <v>58</v>
      </c>
      <c r="J278" s="6" t="s">
        <v>130</v>
      </c>
      <c r="K278" s="15">
        <v>1.6</v>
      </c>
      <c r="L278" s="5">
        <v>30</v>
      </c>
      <c r="M278" s="15">
        <v>4.5</v>
      </c>
      <c r="N278">
        <v>4</v>
      </c>
      <c r="O278">
        <v>6</v>
      </c>
      <c r="P278">
        <v>3.5</v>
      </c>
      <c r="Q278">
        <v>0</v>
      </c>
      <c r="R278" s="2">
        <f>IF(ISBLANK(Table1[[#This Row],[Age]]),AVERAGE(Table1[Age]),Table1[[#This Row],[Age]])</f>
        <v>21</v>
      </c>
      <c r="S278" t="str">
        <f>PROPER(Table1[[#This Row],[Country]])</f>
        <v>Nigeria</v>
      </c>
      <c r="T278" t="str">
        <f>TRIM(Table1[[#This Row],[Profession]])</f>
        <v>Biomedical Engineering Student</v>
      </c>
      <c r="U278" s="5">
        <f>IF(ISBLANK(H278),AVERAGEIF(Table1[Profession imputed],T278,Table1[Monthly_Income]),H278)</f>
        <v>135</v>
      </c>
      <c r="V278" s="6" t="str">
        <f>PROPER(TRIM(Table1[AI_Tool]))</f>
        <v>Claude</v>
      </c>
      <c r="W278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279" spans="1:23" x14ac:dyDescent="0.25">
      <c r="A279" t="s">
        <v>216</v>
      </c>
      <c r="B279">
        <v>19</v>
      </c>
      <c r="C279" t="s">
        <v>29</v>
      </c>
      <c r="D279" t="s">
        <v>44</v>
      </c>
      <c r="E279" t="s">
        <v>111</v>
      </c>
      <c r="F279" t="s">
        <v>25</v>
      </c>
      <c r="G279" t="s">
        <v>213</v>
      </c>
      <c r="H279">
        <v>135</v>
      </c>
      <c r="I279" t="s">
        <v>58</v>
      </c>
      <c r="J279" s="6" t="s">
        <v>124</v>
      </c>
      <c r="K279" s="15">
        <v>3.9</v>
      </c>
      <c r="L279" s="5">
        <v>0</v>
      </c>
      <c r="M279" s="15">
        <v>5.2</v>
      </c>
      <c r="N279">
        <v>4</v>
      </c>
      <c r="O279">
        <v>7</v>
      </c>
      <c r="P279">
        <v>9.8000000000000007</v>
      </c>
      <c r="Q279">
        <v>5.0999999999999996</v>
      </c>
      <c r="R279" s="2">
        <f>IF(ISBLANK(Table1[[#This Row],[Age]]),AVERAGE(Table1[Age]),Table1[[#This Row],[Age]])</f>
        <v>19</v>
      </c>
      <c r="S279" t="str">
        <f>PROPER(Table1[[#This Row],[Country]])</f>
        <v>United States</v>
      </c>
      <c r="T279" t="str">
        <f>TRIM(Table1[[#This Row],[Profession]])</f>
        <v>Business Administration Student</v>
      </c>
      <c r="U279" s="5">
        <f>IF(ISBLANK(H279),AVERAGEIF(Table1[Profession imputed],T279,Table1[Monthly_Income]),H279)</f>
        <v>135</v>
      </c>
      <c r="V279" s="6" t="str">
        <f>PROPER(TRIM(Table1[AI_Tool]))</f>
        <v>Claude</v>
      </c>
      <c r="W279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280" spans="1:23" x14ac:dyDescent="0.25">
      <c r="A280" t="s">
        <v>298</v>
      </c>
      <c r="B280">
        <v>22</v>
      </c>
      <c r="C280" t="s">
        <v>29</v>
      </c>
      <c r="D280" t="s">
        <v>117</v>
      </c>
      <c r="E280" t="s">
        <v>111</v>
      </c>
      <c r="F280" t="s">
        <v>132</v>
      </c>
      <c r="G280" t="s">
        <v>270</v>
      </c>
      <c r="H280">
        <v>135</v>
      </c>
      <c r="I280" t="s">
        <v>1186</v>
      </c>
      <c r="J280" s="6" t="s">
        <v>33</v>
      </c>
      <c r="K280" s="15">
        <v>0</v>
      </c>
      <c r="L280" s="5">
        <v>0</v>
      </c>
      <c r="M280" s="15">
        <v>7.6</v>
      </c>
      <c r="N280">
        <v>2</v>
      </c>
      <c r="O280">
        <v>6</v>
      </c>
      <c r="P280">
        <v>12.4</v>
      </c>
      <c r="Q280">
        <v>6.3</v>
      </c>
      <c r="R280" s="2">
        <f>IF(ISBLANK(Table1[[#This Row],[Age]]),AVERAGE(Table1[Age]),Table1[[#This Row],[Age]])</f>
        <v>22</v>
      </c>
      <c r="S280" t="str">
        <f>PROPER(Table1[[#This Row],[Country]])</f>
        <v>United Kingdom</v>
      </c>
      <c r="T280" t="str">
        <f>TRIM(Table1[[#This Row],[Profession]])</f>
        <v>Computer Science Student</v>
      </c>
      <c r="U280" s="5">
        <f>IF(ISBLANK(H280),AVERAGEIF(Table1[Profession imputed],T280,Table1[Monthly_Income]),H280)</f>
        <v>135</v>
      </c>
      <c r="V280" s="6" t="str">
        <f>PROPER(TRIM(Table1[AI_Tool]))</f>
        <v>Google Gemini</v>
      </c>
      <c r="W280" s="8">
        <f>IF(ISBLANK(Table1[[#This Row],[Time_Saved_Hours_Per_Week]]),AVERAGEIF(Table1[Satisfaction_Score],Table1[[#This Row],[Satisfaction_Score]],Table1[Time_Saved_Hours_Per_Week]),Table1[[#This Row],[Time_Saved_Hours_Per_Week]])</f>
        <v>12.4</v>
      </c>
    </row>
    <row r="281" spans="1:23" x14ac:dyDescent="0.25">
      <c r="A281" t="s">
        <v>196</v>
      </c>
      <c r="C281" t="s">
        <v>22</v>
      </c>
      <c r="D281" t="s">
        <v>189</v>
      </c>
      <c r="E281" t="s">
        <v>111</v>
      </c>
      <c r="F281" t="s">
        <v>132</v>
      </c>
      <c r="G281" s="4" t="s">
        <v>190</v>
      </c>
      <c r="H281">
        <v>136</v>
      </c>
      <c r="I281" t="s">
        <v>271</v>
      </c>
      <c r="J281" s="6" t="s">
        <v>124</v>
      </c>
      <c r="K281" s="15">
        <v>1.2</v>
      </c>
      <c r="L281" s="5">
        <v>0</v>
      </c>
      <c r="M281" s="15">
        <v>2.6</v>
      </c>
      <c r="N281">
        <v>4</v>
      </c>
      <c r="O281">
        <v>7</v>
      </c>
      <c r="P281">
        <v>5.3</v>
      </c>
      <c r="Q281">
        <v>7.1</v>
      </c>
      <c r="R281" s="2">
        <f>IF(ISBLANK(Table1[[#This Row],[Age]]),AVERAGE(Table1[Age]),Table1[[#This Row],[Age]])</f>
        <v>30.023333333333333</v>
      </c>
      <c r="S281" t="str">
        <f>PROPER(Table1[[#This Row],[Country]])</f>
        <v>Australia</v>
      </c>
      <c r="T281" t="str">
        <f>TRIM(Table1[[#This Row],[Profession]])</f>
        <v>Biomedical Science Student</v>
      </c>
      <c r="U281" s="5">
        <f>IF(ISBLANK(H281),AVERAGEIF(Table1[Profession imputed],T281,Table1[Monthly_Income]),H281)</f>
        <v>136</v>
      </c>
      <c r="V281" s="6" t="str">
        <f>PROPER(TRIM(Table1[AI_Tool]))</f>
        <v>Chat Gpt</v>
      </c>
      <c r="W281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82" spans="1:23" x14ac:dyDescent="0.25">
      <c r="A282" t="s">
        <v>279</v>
      </c>
      <c r="B282">
        <v>23</v>
      </c>
      <c r="C282" t="s">
        <v>29</v>
      </c>
      <c r="D282" t="s">
        <v>137</v>
      </c>
      <c r="E282" t="s">
        <v>111</v>
      </c>
      <c r="F282" t="s">
        <v>132</v>
      </c>
      <c r="G282" t="s">
        <v>270</v>
      </c>
      <c r="H282">
        <v>137</v>
      </c>
      <c r="I282" t="s">
        <v>280</v>
      </c>
      <c r="J282" s="6" t="s">
        <v>33</v>
      </c>
      <c r="K282" s="15">
        <v>1.8</v>
      </c>
      <c r="L282" s="5">
        <v>10</v>
      </c>
      <c r="M282" s="15">
        <v>2.5</v>
      </c>
      <c r="N282">
        <v>4</v>
      </c>
      <c r="O282">
        <v>5</v>
      </c>
      <c r="P282">
        <v>4.0999999999999996</v>
      </c>
      <c r="Q282">
        <v>5.9</v>
      </c>
      <c r="R282" s="2">
        <f>IF(ISBLANK(Table1[[#This Row],[Age]]),AVERAGE(Table1[Age]),Table1[[#This Row],[Age]])</f>
        <v>23</v>
      </c>
      <c r="S282" t="str">
        <f>PROPER(Table1[[#This Row],[Country]])</f>
        <v>France</v>
      </c>
      <c r="T282" t="str">
        <f>TRIM(Table1[[#This Row],[Profession]])</f>
        <v>Computer Science Student</v>
      </c>
      <c r="U282" s="5">
        <f>IF(ISBLANK(H282),AVERAGEIF(Table1[Profession imputed],T282,Table1[Monthly_Income]),H282)</f>
        <v>137</v>
      </c>
      <c r="V282" s="6" t="str">
        <f>PROPER(TRIM(Table1[AI_Tool]))</f>
        <v>Unknown</v>
      </c>
      <c r="W282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283" spans="1:23" x14ac:dyDescent="0.25">
      <c r="A283" t="s">
        <v>519</v>
      </c>
      <c r="B283">
        <v>23</v>
      </c>
      <c r="C283" t="s">
        <v>29</v>
      </c>
      <c r="D283" t="s">
        <v>49</v>
      </c>
      <c r="E283" t="s">
        <v>111</v>
      </c>
      <c r="F283" t="s">
        <v>55</v>
      </c>
      <c r="G283" t="s">
        <v>520</v>
      </c>
      <c r="H283">
        <v>137</v>
      </c>
      <c r="I283" t="s">
        <v>139</v>
      </c>
      <c r="J283" s="6" t="s">
        <v>106</v>
      </c>
      <c r="K283" s="15">
        <v>1.4</v>
      </c>
      <c r="L283" s="5">
        <v>25</v>
      </c>
      <c r="M283" s="15">
        <v>0</v>
      </c>
      <c r="N283">
        <v>3</v>
      </c>
      <c r="O283">
        <v>6</v>
      </c>
      <c r="P283">
        <v>2.2999999999999998</v>
      </c>
      <c r="Q283">
        <v>0</v>
      </c>
      <c r="R283" s="2">
        <f>IF(ISBLANK(Table1[[#This Row],[Age]]),AVERAGE(Table1[Age]),Table1[[#This Row],[Age]])</f>
        <v>23</v>
      </c>
      <c r="S283" t="str">
        <f>PROPER(Table1[[#This Row],[Country]])</f>
        <v>Kenya</v>
      </c>
      <c r="T283" t="str">
        <f>TRIM(Table1[[#This Row],[Profession]])</f>
        <v>Data Science Student</v>
      </c>
      <c r="U283" s="5">
        <f>IF(ISBLANK(H283),AVERAGEIF(Table1[Profession imputed],T283,Table1[Monthly_Income]),H283)</f>
        <v>137</v>
      </c>
      <c r="V283" s="6" t="str">
        <f>PROPER(TRIM(Table1[AI_Tool]))</f>
        <v>Microsoft Copilot</v>
      </c>
      <c r="W283" s="8">
        <f>IF(ISBLANK(Table1[[#This Row],[Time_Saved_Hours_Per_Week]]),AVERAGEIF(Table1[Satisfaction_Score],Table1[[#This Row],[Satisfaction_Score]],Table1[Time_Saved_Hours_Per_Week]),Table1[[#This Row],[Time_Saved_Hours_Per_Week]])</f>
        <v>2.2999999999999998</v>
      </c>
    </row>
    <row r="284" spans="1:23" x14ac:dyDescent="0.25">
      <c r="A284" t="s">
        <v>193</v>
      </c>
      <c r="C284" t="s">
        <v>22</v>
      </c>
      <c r="D284" t="s">
        <v>189</v>
      </c>
      <c r="E284" t="s">
        <v>111</v>
      </c>
      <c r="F284" t="s">
        <v>132</v>
      </c>
      <c r="G284" t="s">
        <v>190</v>
      </c>
      <c r="H284">
        <v>140</v>
      </c>
      <c r="I284" t="s">
        <v>271</v>
      </c>
      <c r="J284" s="6" t="s">
        <v>124</v>
      </c>
      <c r="K284" s="15">
        <v>1.2</v>
      </c>
      <c r="L284" s="5">
        <v>0</v>
      </c>
      <c r="M284" s="15">
        <v>2.6</v>
      </c>
      <c r="N284">
        <v>4</v>
      </c>
      <c r="O284">
        <v>7</v>
      </c>
      <c r="P284">
        <v>5.3</v>
      </c>
      <c r="Q284">
        <v>7.1</v>
      </c>
      <c r="R284" s="2">
        <f>IF(ISBLANK(Table1[[#This Row],[Age]]),AVERAGE(Table1[Age]),Table1[[#This Row],[Age]])</f>
        <v>30.023333333333333</v>
      </c>
      <c r="S284" t="str">
        <f>PROPER(Table1[[#This Row],[Country]])</f>
        <v>Australia</v>
      </c>
      <c r="T284" t="str">
        <f>TRIM(Table1[[#This Row],[Profession]])</f>
        <v>Biomedical Science Student</v>
      </c>
      <c r="U284" s="5">
        <f>IF(ISBLANK(H284),AVERAGEIF(Table1[Profession imputed],T284,Table1[Monthly_Income]),H284)</f>
        <v>140</v>
      </c>
      <c r="V284" s="6" t="str">
        <f>PROPER(TRIM(Table1[AI_Tool]))</f>
        <v>Chat Gpt</v>
      </c>
      <c r="W284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85" spans="1:23" x14ac:dyDescent="0.25">
      <c r="A285" t="s">
        <v>659</v>
      </c>
      <c r="B285">
        <v>32</v>
      </c>
      <c r="C285" t="s">
        <v>29</v>
      </c>
      <c r="D285" t="s">
        <v>52</v>
      </c>
      <c r="E285" t="s">
        <v>111</v>
      </c>
      <c r="F285" t="s">
        <v>132</v>
      </c>
      <c r="G285" t="s">
        <v>657</v>
      </c>
      <c r="H285">
        <v>140</v>
      </c>
      <c r="I285" t="s">
        <v>271</v>
      </c>
      <c r="J285" s="6" t="s">
        <v>124</v>
      </c>
      <c r="K285" s="15">
        <v>0.9</v>
      </c>
      <c r="L285" s="5">
        <v>25</v>
      </c>
      <c r="M285" s="15">
        <v>3.7</v>
      </c>
      <c r="N285">
        <v>4</v>
      </c>
      <c r="O285">
        <v>6</v>
      </c>
      <c r="P285">
        <v>0</v>
      </c>
      <c r="Q285">
        <v>6.4</v>
      </c>
      <c r="R285" s="2">
        <f>IF(ISBLANK(Table1[[#This Row],[Age]]),AVERAGE(Table1[Age]),Table1[[#This Row],[Age]])</f>
        <v>32</v>
      </c>
      <c r="S285" t="str">
        <f>PROPER(Table1[[#This Row],[Country]])</f>
        <v>India</v>
      </c>
      <c r="T285" t="str">
        <f>TRIM(Table1[[#This Row],[Profession]])</f>
        <v>Electronics Engineering Student</v>
      </c>
      <c r="U285" s="5">
        <f>IF(ISBLANK(H285),AVERAGEIF(Table1[Profession imputed],T285,Table1[Monthly_Income]),H285)</f>
        <v>140</v>
      </c>
      <c r="V285" s="6" t="str">
        <f>PROPER(TRIM(Table1[AI_Tool]))</f>
        <v>Chat Gpt</v>
      </c>
      <c r="W285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86" spans="1:23" x14ac:dyDescent="0.25">
      <c r="A286" t="s">
        <v>194</v>
      </c>
      <c r="C286" t="s">
        <v>22</v>
      </c>
      <c r="D286" t="s">
        <v>189</v>
      </c>
      <c r="E286" t="s">
        <v>111</v>
      </c>
      <c r="F286" t="s">
        <v>132</v>
      </c>
      <c r="G286" t="s">
        <v>190</v>
      </c>
      <c r="H286">
        <v>143</v>
      </c>
      <c r="I286" t="s">
        <v>271</v>
      </c>
      <c r="J286" s="6" t="s">
        <v>124</v>
      </c>
      <c r="K286" s="15">
        <v>1.2</v>
      </c>
      <c r="L286" s="5">
        <v>0</v>
      </c>
      <c r="M286" s="15">
        <v>2.6</v>
      </c>
      <c r="N286">
        <v>4</v>
      </c>
      <c r="O286">
        <v>7</v>
      </c>
      <c r="P286">
        <v>5.3</v>
      </c>
      <c r="Q286">
        <v>7.1</v>
      </c>
      <c r="R286" s="2">
        <f>IF(ISBLANK(Table1[[#This Row],[Age]]),AVERAGE(Table1[Age]),Table1[[#This Row],[Age]])</f>
        <v>30.023333333333333</v>
      </c>
      <c r="S286" t="str">
        <f>PROPER(Table1[[#This Row],[Country]])</f>
        <v>Australia</v>
      </c>
      <c r="T286" t="str">
        <f>TRIM(Table1[[#This Row],[Profession]])</f>
        <v>Biomedical Science Student</v>
      </c>
      <c r="U286" s="5">
        <f>IF(ISBLANK(H286),AVERAGEIF(Table1[Profession imputed],T286,Table1[Monthly_Income]),H286)</f>
        <v>143</v>
      </c>
      <c r="V286" s="6" t="str">
        <f>PROPER(TRIM(Table1[AI_Tool]))</f>
        <v>Chat Gpt</v>
      </c>
      <c r="W286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87" spans="1:23" x14ac:dyDescent="0.25">
      <c r="A287" t="s">
        <v>710</v>
      </c>
      <c r="B287">
        <v>20</v>
      </c>
      <c r="C287" t="s">
        <v>22</v>
      </c>
      <c r="D287" t="s">
        <v>52</v>
      </c>
      <c r="E287" t="s">
        <v>111</v>
      </c>
      <c r="F287" t="s">
        <v>55</v>
      </c>
      <c r="G287" t="s">
        <v>671</v>
      </c>
      <c r="H287">
        <v>145</v>
      </c>
      <c r="I287" t="s">
        <v>271</v>
      </c>
      <c r="J287" s="6" t="s">
        <v>38</v>
      </c>
      <c r="K287" s="15">
        <v>8.6</v>
      </c>
      <c r="L287" s="5">
        <v>0</v>
      </c>
      <c r="M287" s="15">
        <v>7.6</v>
      </c>
      <c r="N287" s="7">
        <v>4</v>
      </c>
      <c r="O287">
        <v>6</v>
      </c>
      <c r="P287">
        <v>17.7</v>
      </c>
      <c r="Q287">
        <v>5.5</v>
      </c>
      <c r="R287" s="2">
        <f>IF(ISBLANK(Table1[[#This Row],[Age]]),AVERAGE(Table1[Age]),Table1[[#This Row],[Age]])</f>
        <v>20</v>
      </c>
      <c r="S287" t="str">
        <f>PROPER(Table1[[#This Row],[Country]])</f>
        <v>India</v>
      </c>
      <c r="T287" t="str">
        <f>TRIM(Table1[[#This Row],[Profession]])</f>
        <v>English Literature Student</v>
      </c>
      <c r="U287" s="5">
        <f>IF(ISBLANK(H287),AVERAGEIF(Table1[[#This Row],[Profession imputed]],T287,Table1[Monthly_Income]),H287)</f>
        <v>145</v>
      </c>
      <c r="V287" s="6" t="str">
        <f>PROPER(TRIM(Table1[AI_Tool]))</f>
        <v>Chat Gpt</v>
      </c>
      <c r="W287" s="8">
        <f>IF(ISBLANK(Table1[[#This Row],[Time_Saved_Hours_Per_Week]]),AVERAGEIF(Table1[Satisfaction_Score],Table1[[#This Row],[Satisfaction_Score]],Table1[Time_Saved_Hours_Per_Week]),Table1[[#This Row],[Time_Saved_Hours_Per_Week]])</f>
        <v>17.7</v>
      </c>
    </row>
    <row r="288" spans="1:23" x14ac:dyDescent="0.25">
      <c r="A288" t="s">
        <v>195</v>
      </c>
      <c r="C288" t="s">
        <v>22</v>
      </c>
      <c r="D288" t="s">
        <v>189</v>
      </c>
      <c r="E288" t="s">
        <v>111</v>
      </c>
      <c r="F288" t="s">
        <v>132</v>
      </c>
      <c r="G288" t="s">
        <v>190</v>
      </c>
      <c r="H288">
        <v>147</v>
      </c>
      <c r="I288" t="s">
        <v>271</v>
      </c>
      <c r="J288" s="6" t="s">
        <v>124</v>
      </c>
      <c r="K288" s="15">
        <v>1.2</v>
      </c>
      <c r="L288" s="5">
        <v>0</v>
      </c>
      <c r="M288" s="15">
        <v>2.6</v>
      </c>
      <c r="N288">
        <v>4</v>
      </c>
      <c r="O288">
        <v>7</v>
      </c>
      <c r="P288">
        <v>5.3</v>
      </c>
      <c r="Q288">
        <v>7.1</v>
      </c>
      <c r="R288" s="2">
        <f>IF(ISBLANK(Table1[[#This Row],[Age]]),AVERAGE(Table1[Age]),Table1[[#This Row],[Age]])</f>
        <v>30.023333333333333</v>
      </c>
      <c r="S288" t="str">
        <f>PROPER(Table1[[#This Row],[Country]])</f>
        <v>Australia</v>
      </c>
      <c r="T288" t="str">
        <f>TRIM(Table1[[#This Row],[Profession]])</f>
        <v>Biomedical Science Student</v>
      </c>
      <c r="U288" s="5">
        <f>IF(ISBLANK(H288),AVERAGEIF(Table1[Profession imputed],T288,Table1[Monthly_Income]),H288)</f>
        <v>147</v>
      </c>
      <c r="V288" s="6" t="str">
        <f>PROPER(TRIM(Table1[AI_Tool]))</f>
        <v>Chat Gpt</v>
      </c>
      <c r="W288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289" spans="1:23" x14ac:dyDescent="0.25">
      <c r="A289" t="s">
        <v>312</v>
      </c>
      <c r="B289">
        <v>23</v>
      </c>
      <c r="C289" t="s">
        <v>29</v>
      </c>
      <c r="D289" t="s">
        <v>137</v>
      </c>
      <c r="E289" t="s">
        <v>111</v>
      </c>
      <c r="F289" t="s">
        <v>132</v>
      </c>
      <c r="G289" t="s">
        <v>270</v>
      </c>
      <c r="H289">
        <v>149</v>
      </c>
      <c r="I289" t="s">
        <v>280</v>
      </c>
      <c r="J289" s="6" t="s">
        <v>33</v>
      </c>
      <c r="K289" s="15">
        <v>1.8</v>
      </c>
      <c r="L289" s="5">
        <v>10</v>
      </c>
      <c r="M289" s="15">
        <v>2.5</v>
      </c>
      <c r="N289">
        <v>4</v>
      </c>
      <c r="O289">
        <v>5</v>
      </c>
      <c r="P289">
        <v>4.0999999999999996</v>
      </c>
      <c r="Q289">
        <v>5.9</v>
      </c>
      <c r="R289" s="2">
        <f>IF(ISBLANK(Table1[[#This Row],[Age]]),AVERAGE(Table1[Age]),Table1[[#This Row],[Age]])</f>
        <v>23</v>
      </c>
      <c r="S289" t="str">
        <f>PROPER(Table1[[#This Row],[Country]])</f>
        <v>France</v>
      </c>
      <c r="T289" t="str">
        <f>TRIM(Table1[[#This Row],[Profession]])</f>
        <v>Computer Science Student</v>
      </c>
      <c r="U289" s="5">
        <f>IF(ISBLANK(H289),AVERAGEIF(Table1[Profession imputed],T289,Table1[Monthly_Income]),H289)</f>
        <v>149</v>
      </c>
      <c r="V289" s="6" t="str">
        <f>PROPER(TRIM(Table1[AI_Tool]))</f>
        <v>Unknown</v>
      </c>
      <c r="W289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290" spans="1:23" x14ac:dyDescent="0.25">
      <c r="A290" t="s">
        <v>315</v>
      </c>
      <c r="B290">
        <v>22</v>
      </c>
      <c r="C290" t="s">
        <v>29</v>
      </c>
      <c r="D290" t="s">
        <v>137</v>
      </c>
      <c r="E290" t="s">
        <v>111</v>
      </c>
      <c r="F290" t="s">
        <v>132</v>
      </c>
      <c r="G290" t="s">
        <v>270</v>
      </c>
      <c r="H290">
        <v>151</v>
      </c>
      <c r="I290" t="s">
        <v>280</v>
      </c>
      <c r="J290" s="6" t="s">
        <v>33</v>
      </c>
      <c r="K290" s="15">
        <v>1.8</v>
      </c>
      <c r="L290" s="5">
        <v>10</v>
      </c>
      <c r="M290" s="15">
        <v>2.5</v>
      </c>
      <c r="N290">
        <v>4</v>
      </c>
      <c r="O290">
        <v>5</v>
      </c>
      <c r="P290">
        <v>4.0999999999999996</v>
      </c>
      <c r="Q290">
        <v>5.9</v>
      </c>
      <c r="R290" s="2">
        <f>IF(ISBLANK(Table1[[#This Row],[Age]]),AVERAGE(Table1[Age]),Table1[[#This Row],[Age]])</f>
        <v>22</v>
      </c>
      <c r="S290" t="str">
        <f>PROPER(Table1[[#This Row],[Country]])</f>
        <v>France</v>
      </c>
      <c r="T290" t="str">
        <f>TRIM(Table1[[#This Row],[Profession]])</f>
        <v>Computer Science Student</v>
      </c>
      <c r="U290" s="5">
        <f>IF(ISBLANK(H290),AVERAGEIF(Table1[Profession imputed],T290,Table1[Monthly_Income]),H290)</f>
        <v>151</v>
      </c>
      <c r="V290" s="6" t="str">
        <f>PROPER(TRIM(Table1[AI_Tool]))</f>
        <v>Unknown</v>
      </c>
      <c r="W290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291" spans="1:23" x14ac:dyDescent="0.25">
      <c r="A291" t="s">
        <v>658</v>
      </c>
      <c r="B291">
        <v>30</v>
      </c>
      <c r="C291" t="s">
        <v>29</v>
      </c>
      <c r="D291" t="s">
        <v>52</v>
      </c>
      <c r="E291" t="s">
        <v>111</v>
      </c>
      <c r="F291" t="s">
        <v>132</v>
      </c>
      <c r="G291" t="s">
        <v>657</v>
      </c>
      <c r="H291">
        <v>152</v>
      </c>
      <c r="I291" t="s">
        <v>271</v>
      </c>
      <c r="J291" s="6" t="s">
        <v>124</v>
      </c>
      <c r="K291" s="15">
        <v>0.9</v>
      </c>
      <c r="L291" s="5">
        <v>25</v>
      </c>
      <c r="M291" s="15">
        <v>3.7</v>
      </c>
      <c r="N291">
        <v>4</v>
      </c>
      <c r="O291">
        <v>6</v>
      </c>
      <c r="P291">
        <v>0</v>
      </c>
      <c r="Q291">
        <v>6.4</v>
      </c>
      <c r="R291" s="2">
        <f>IF(ISBLANK(Table1[[#This Row],[Age]]),AVERAGE(Table1[Age]),Table1[[#This Row],[Age]])</f>
        <v>30</v>
      </c>
      <c r="S291" t="str">
        <f>PROPER(Table1[[#This Row],[Country]])</f>
        <v>India</v>
      </c>
      <c r="T291" t="str">
        <f>TRIM(Table1[[#This Row],[Profession]])</f>
        <v>Electronics Engineering Student</v>
      </c>
      <c r="U291" s="5">
        <f>IF(ISBLANK(H291),AVERAGEIF(Table1[Profession imputed],T291,Table1[Monthly_Income]),H291)</f>
        <v>152</v>
      </c>
      <c r="V291" s="6" t="str">
        <f>PROPER(TRIM(Table1[AI_Tool]))</f>
        <v>Chat Gpt</v>
      </c>
      <c r="W291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92" spans="1:23" x14ac:dyDescent="0.25">
      <c r="A292" t="s">
        <v>695</v>
      </c>
      <c r="B292">
        <v>32</v>
      </c>
      <c r="C292" t="s">
        <v>22</v>
      </c>
      <c r="D292" t="s">
        <v>483</v>
      </c>
      <c r="E292" t="s">
        <v>111</v>
      </c>
      <c r="F292" t="s">
        <v>50</v>
      </c>
      <c r="G292" t="s">
        <v>671</v>
      </c>
      <c r="H292">
        <v>152</v>
      </c>
      <c r="I292" t="s">
        <v>139</v>
      </c>
      <c r="J292" s="6" t="s">
        <v>38</v>
      </c>
      <c r="K292" s="15">
        <v>0.5</v>
      </c>
      <c r="L292" s="5">
        <v>10</v>
      </c>
      <c r="M292" s="15">
        <v>2.2999999999999998</v>
      </c>
      <c r="N292">
        <v>5</v>
      </c>
      <c r="O292">
        <v>7</v>
      </c>
      <c r="P292">
        <v>3.1</v>
      </c>
      <c r="Q292">
        <v>5.9</v>
      </c>
      <c r="R292" s="2">
        <f>IF(ISBLANK(Table1[[#This Row],[Age]]),AVERAGE(Table1[Age]),Table1[[#This Row],[Age]])</f>
        <v>32</v>
      </c>
      <c r="S292" t="str">
        <f>PROPER(Table1[[#This Row],[Country]])</f>
        <v>Brazil</v>
      </c>
      <c r="T292" t="str">
        <f>TRIM(Table1[[#This Row],[Profession]])</f>
        <v>English Literature Student</v>
      </c>
      <c r="U292" s="5">
        <f>IF(ISBLANK(H292),AVERAGEIF(Table1[[#This Row],[Profession imputed]],T292,Table1[Monthly_Income]),H292)</f>
        <v>152</v>
      </c>
      <c r="V292" s="6" t="str">
        <f>PROPER(TRIM(Table1[AI_Tool]))</f>
        <v>Microsoft Copilot</v>
      </c>
      <c r="W292" s="8">
        <f>IF(ISBLANK(Table1[[#This Row],[Time_Saved_Hours_Per_Week]]),AVERAGEIF(Table1[Satisfaction_Score],Table1[[#This Row],[Satisfaction_Score]],Table1[Time_Saved_Hours_Per_Week]),Table1[[#This Row],[Time_Saved_Hours_Per_Week]])</f>
        <v>3.1</v>
      </c>
    </row>
    <row r="293" spans="1:23" x14ac:dyDescent="0.25">
      <c r="A293" t="s">
        <v>187</v>
      </c>
      <c r="B293">
        <v>20</v>
      </c>
      <c r="C293" t="s">
        <v>22</v>
      </c>
      <c r="D293" t="s">
        <v>89</v>
      </c>
      <c r="E293" t="s">
        <v>111</v>
      </c>
      <c r="F293" t="s">
        <v>55</v>
      </c>
      <c r="G293" t="s">
        <v>179</v>
      </c>
      <c r="H293">
        <v>154</v>
      </c>
      <c r="I293" t="s">
        <v>58</v>
      </c>
      <c r="J293" s="6" t="s">
        <v>130</v>
      </c>
      <c r="K293" s="15">
        <v>1.6</v>
      </c>
      <c r="L293" s="5">
        <v>30</v>
      </c>
      <c r="M293" s="15">
        <v>4.5</v>
      </c>
      <c r="N293">
        <v>4</v>
      </c>
      <c r="O293">
        <v>6</v>
      </c>
      <c r="P293">
        <v>3.5</v>
      </c>
      <c r="Q293">
        <v>0</v>
      </c>
      <c r="R293" s="2">
        <f>IF(ISBLANK(Table1[[#This Row],[Age]]),AVERAGE(Table1[Age]),Table1[[#This Row],[Age]])</f>
        <v>20</v>
      </c>
      <c r="S293" t="str">
        <f>PROPER(Table1[[#This Row],[Country]])</f>
        <v>Nigeria</v>
      </c>
      <c r="T293" t="str">
        <f>TRIM(Table1[[#This Row],[Profession]])</f>
        <v>Biomedical Engineering Student</v>
      </c>
      <c r="U293" s="5">
        <f>IF(ISBLANK(H293),AVERAGEIF(Table1[Profession imputed],T293,Table1[Monthly_Income]),H293)</f>
        <v>154</v>
      </c>
      <c r="V293" s="6" t="str">
        <f>PROPER(TRIM(Table1[AI_Tool]))</f>
        <v>Claude</v>
      </c>
      <c r="W293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294" spans="1:23" x14ac:dyDescent="0.25">
      <c r="A294" t="s">
        <v>656</v>
      </c>
      <c r="B294">
        <v>31</v>
      </c>
      <c r="C294" t="s">
        <v>29</v>
      </c>
      <c r="D294" t="s">
        <v>52</v>
      </c>
      <c r="E294" t="s">
        <v>111</v>
      </c>
      <c r="F294" t="s">
        <v>132</v>
      </c>
      <c r="G294" t="s">
        <v>657</v>
      </c>
      <c r="H294">
        <v>157</v>
      </c>
      <c r="I294" t="s">
        <v>271</v>
      </c>
      <c r="J294" s="6" t="s">
        <v>124</v>
      </c>
      <c r="K294" s="15">
        <v>0.9</v>
      </c>
      <c r="L294" s="5">
        <v>25</v>
      </c>
      <c r="M294" s="15">
        <v>3.7</v>
      </c>
      <c r="N294">
        <v>4</v>
      </c>
      <c r="O294">
        <v>6</v>
      </c>
      <c r="P294">
        <v>0</v>
      </c>
      <c r="Q294">
        <v>6.4</v>
      </c>
      <c r="R294" s="2">
        <f>IF(ISBLANK(Table1[[#This Row],[Age]]),AVERAGE(Table1[Age]),Table1[[#This Row],[Age]])</f>
        <v>31</v>
      </c>
      <c r="S294" t="str">
        <f>PROPER(Table1[[#This Row],[Country]])</f>
        <v>India</v>
      </c>
      <c r="T294" t="str">
        <f>TRIM(Table1[[#This Row],[Profession]])</f>
        <v>Electronics Engineering Student</v>
      </c>
      <c r="U294" s="5">
        <f>IF(ISBLANK(H294),AVERAGEIF(Table1[Profession imputed],T294,Table1[Monthly_Income]),H294)</f>
        <v>157</v>
      </c>
      <c r="V294" s="6" t="str">
        <f>PROPER(TRIM(Table1[AI_Tool]))</f>
        <v>Chat Gpt</v>
      </c>
      <c r="W294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295" spans="1:23" x14ac:dyDescent="0.25">
      <c r="A295" t="s">
        <v>287</v>
      </c>
      <c r="B295">
        <v>22</v>
      </c>
      <c r="C295" t="s">
        <v>29</v>
      </c>
      <c r="D295" t="s">
        <v>73</v>
      </c>
      <c r="E295" t="s">
        <v>111</v>
      </c>
      <c r="F295" t="s">
        <v>50</v>
      </c>
      <c r="G295" t="s">
        <v>270</v>
      </c>
      <c r="H295">
        <v>158</v>
      </c>
      <c r="I295" t="s">
        <v>271</v>
      </c>
      <c r="J295" s="6" t="s">
        <v>33</v>
      </c>
      <c r="K295" s="15">
        <v>1.6</v>
      </c>
      <c r="L295" s="5">
        <v>10</v>
      </c>
      <c r="M295" s="15">
        <v>3.1</v>
      </c>
      <c r="N295">
        <v>4</v>
      </c>
      <c r="O295">
        <v>6</v>
      </c>
      <c r="P295">
        <v>5.9</v>
      </c>
      <c r="Q295">
        <v>8.4</v>
      </c>
      <c r="R295" s="2">
        <f>IF(ISBLANK(Table1[[#This Row],[Age]]),AVERAGE(Table1[Age]),Table1[[#This Row],[Age]])</f>
        <v>22</v>
      </c>
      <c r="S295" t="str">
        <f>PROPER(Table1[[#This Row],[Country]])</f>
        <v>Unknown</v>
      </c>
      <c r="T295" t="str">
        <f>TRIM(Table1[[#This Row],[Profession]])</f>
        <v>Computer Science Student</v>
      </c>
      <c r="U295" s="5">
        <f>IF(ISBLANK(H295),AVERAGEIF(Table1[Profession imputed],T295,Table1[Monthly_Income]),H295)</f>
        <v>158</v>
      </c>
      <c r="V295" s="6" t="str">
        <f>PROPER(TRIM(Table1[AI_Tool]))</f>
        <v>Chat Gpt</v>
      </c>
      <c r="W295" s="8">
        <f>IF(ISBLANK(Table1[[#This Row],[Time_Saved_Hours_Per_Week]]),AVERAGEIF(Table1[Satisfaction_Score],Table1[[#This Row],[Satisfaction_Score]],Table1[Time_Saved_Hours_Per_Week]),Table1[[#This Row],[Time_Saved_Hours_Per_Week]])</f>
        <v>5.9</v>
      </c>
    </row>
    <row r="296" spans="1:23" x14ac:dyDescent="0.25">
      <c r="A296" t="s">
        <v>1171</v>
      </c>
      <c r="C296" t="s">
        <v>22</v>
      </c>
      <c r="D296" t="s">
        <v>35</v>
      </c>
      <c r="E296" t="s">
        <v>111</v>
      </c>
      <c r="F296" t="s">
        <v>25</v>
      </c>
      <c r="G296" t="s">
        <v>73</v>
      </c>
      <c r="H296">
        <v>162</v>
      </c>
      <c r="I296" t="s">
        <v>271</v>
      </c>
      <c r="J296" s="6" t="s">
        <v>130</v>
      </c>
      <c r="K296" s="15">
        <v>7.7</v>
      </c>
      <c r="L296" s="5">
        <v>0</v>
      </c>
      <c r="M296" s="15">
        <v>8.4</v>
      </c>
      <c r="N296">
        <v>5</v>
      </c>
      <c r="O296">
        <v>10</v>
      </c>
      <c r="P296">
        <v>13.6</v>
      </c>
      <c r="Q296">
        <v>6.8</v>
      </c>
      <c r="R296" s="2">
        <f>IF(ISBLANK(Table1[[#This Row],[Age]]),AVERAGE(Table1[Age]),Table1[[#This Row],[Age]])</f>
        <v>30.023333333333333</v>
      </c>
      <c r="S296" t="str">
        <f>PROPER(Table1[[#This Row],[Country]])</f>
        <v>Philippines</v>
      </c>
      <c r="T296" t="str">
        <f>TRIM(Table1[[#This Row],[Profession]])</f>
        <v>UNKNOWN</v>
      </c>
      <c r="U296" s="5">
        <f>IF(ISBLANK(H296),AVERAGEIF(Table1[[#This Row],[Profession imputed]],T296,Table1[Monthly_Income]),H296)</f>
        <v>162</v>
      </c>
      <c r="V296" s="6" t="str">
        <f>PROPER(TRIM(Table1[AI_Tool]))</f>
        <v>Chat Gpt</v>
      </c>
      <c r="W296" s="8">
        <f>IF(ISBLANK(Table1[[#This Row],[Time_Saved_Hours_Per_Week]]),AVERAGEIF(Table1[Satisfaction_Score],Table1[[#This Row],[Satisfaction_Score]],Table1[Time_Saved_Hours_Per_Week]),Table1[[#This Row],[Time_Saved_Hours_Per_Week]])</f>
        <v>13.6</v>
      </c>
    </row>
    <row r="297" spans="1:23" x14ac:dyDescent="0.25">
      <c r="A297" t="s">
        <v>667</v>
      </c>
      <c r="B297">
        <v>22</v>
      </c>
      <c r="C297" t="s">
        <v>29</v>
      </c>
      <c r="D297" t="s">
        <v>52</v>
      </c>
      <c r="E297" t="s">
        <v>111</v>
      </c>
      <c r="F297" t="s">
        <v>662</v>
      </c>
      <c r="G297" t="s">
        <v>663</v>
      </c>
      <c r="H297">
        <v>164</v>
      </c>
      <c r="I297" t="s">
        <v>280</v>
      </c>
      <c r="J297" s="6" t="s">
        <v>124</v>
      </c>
      <c r="K297" s="15">
        <v>5.4</v>
      </c>
      <c r="L297" s="5">
        <v>0</v>
      </c>
      <c r="M297" s="15">
        <v>8.1</v>
      </c>
      <c r="N297">
        <v>4</v>
      </c>
      <c r="O297">
        <v>9</v>
      </c>
      <c r="P297">
        <v>6.8</v>
      </c>
      <c r="Q297">
        <v>6.9</v>
      </c>
      <c r="R297" s="2">
        <f>IF(ISBLANK(Table1[[#This Row],[Age]]),AVERAGE(Table1[Age]),Table1[[#This Row],[Age]])</f>
        <v>22</v>
      </c>
      <c r="S297" t="str">
        <f>PROPER(Table1[[#This Row],[Country]])</f>
        <v>India</v>
      </c>
      <c r="T297" t="str">
        <f>TRIM(Table1[[#This Row],[Profession]])</f>
        <v>Engineering Student</v>
      </c>
      <c r="U297" s="5">
        <f>IF(ISBLANK(H297),AVERAGEIF(Table1[Profession imputed],T297,Table1[Monthly_Income]),H297)</f>
        <v>164</v>
      </c>
      <c r="V297" s="6" t="str">
        <f>PROPER(TRIM(Table1[AI_Tool]))</f>
        <v>Unknown</v>
      </c>
      <c r="W297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298" spans="1:23" x14ac:dyDescent="0.25">
      <c r="A298" t="s">
        <v>1053</v>
      </c>
      <c r="B298">
        <v>30</v>
      </c>
      <c r="C298" t="s">
        <v>22</v>
      </c>
      <c r="D298" t="s">
        <v>30</v>
      </c>
      <c r="E298" t="s">
        <v>111</v>
      </c>
      <c r="F298" t="s">
        <v>50</v>
      </c>
      <c r="G298" t="s">
        <v>1051</v>
      </c>
      <c r="H298">
        <v>164</v>
      </c>
      <c r="I298" t="s">
        <v>58</v>
      </c>
      <c r="J298" s="6" t="s">
        <v>33</v>
      </c>
      <c r="K298" s="15">
        <v>1.9</v>
      </c>
      <c r="L298" s="5">
        <v>0</v>
      </c>
      <c r="M298" s="15">
        <v>4.8</v>
      </c>
      <c r="N298">
        <v>4</v>
      </c>
      <c r="O298">
        <v>7</v>
      </c>
      <c r="P298">
        <v>4.8</v>
      </c>
      <c r="Q298">
        <v>5.0999999999999996</v>
      </c>
      <c r="R298" s="2">
        <f>IF(ISBLANK(Table1[[#This Row],[Age]]),AVERAGE(Table1[Age]),Table1[[#This Row],[Age]])</f>
        <v>30</v>
      </c>
      <c r="S298" t="str">
        <f>PROPER(Table1[[#This Row],[Country]])</f>
        <v>Brazil</v>
      </c>
      <c r="T298" t="str">
        <f>TRIM(Table1[[#This Row],[Profession]])</f>
        <v>Software Development Student</v>
      </c>
      <c r="U298" s="5">
        <f>IF(ISBLANK(H298),AVERAGEIF(Table1[[#This Row],[Profession imputed]],T298,Table1[Monthly_Income]),H298)</f>
        <v>164</v>
      </c>
      <c r="V298" s="6" t="str">
        <f>PROPER(TRIM(Table1[AI_Tool]))</f>
        <v>Claude</v>
      </c>
      <c r="W298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299" spans="1:23" x14ac:dyDescent="0.25">
      <c r="A299" t="s">
        <v>1154</v>
      </c>
      <c r="C299" t="s">
        <v>22</v>
      </c>
      <c r="D299" t="s">
        <v>35</v>
      </c>
      <c r="E299" t="s">
        <v>111</v>
      </c>
      <c r="F299" t="s">
        <v>25</v>
      </c>
      <c r="G299" t="s">
        <v>73</v>
      </c>
      <c r="H299">
        <v>164</v>
      </c>
      <c r="I299" t="s">
        <v>271</v>
      </c>
      <c r="J299" s="6" t="s">
        <v>130</v>
      </c>
      <c r="K299" s="15">
        <v>7.7</v>
      </c>
      <c r="L299" s="5">
        <v>0</v>
      </c>
      <c r="M299" s="15">
        <v>8.4</v>
      </c>
      <c r="N299">
        <v>5</v>
      </c>
      <c r="O299">
        <v>10</v>
      </c>
      <c r="P299">
        <v>13.6</v>
      </c>
      <c r="Q299">
        <v>6.8</v>
      </c>
      <c r="R299" s="2">
        <f>IF(ISBLANK(Table1[[#This Row],[Age]]),AVERAGE(Table1[Age]),Table1[[#This Row],[Age]])</f>
        <v>30.023333333333333</v>
      </c>
      <c r="S299" t="str">
        <f>PROPER(Table1[[#This Row],[Country]])</f>
        <v>Philippines</v>
      </c>
      <c r="T299" t="str">
        <f>TRIM(Table1[[#This Row],[Profession]])</f>
        <v>UNKNOWN</v>
      </c>
      <c r="U299" s="5">
        <f>IF(ISBLANK(H299),AVERAGEIF(Table1[[#This Row],[Profession imputed]],T299,Table1[Monthly_Income]),H299)</f>
        <v>164</v>
      </c>
      <c r="V299" s="6" t="str">
        <f>PROPER(TRIM(Table1[AI_Tool]))</f>
        <v>Chat Gpt</v>
      </c>
      <c r="W299" s="8">
        <f>IF(ISBLANK(Table1[[#This Row],[Time_Saved_Hours_Per_Week]]),AVERAGEIF(Table1[Satisfaction_Score],Table1[[#This Row],[Satisfaction_Score]],Table1[Time_Saved_Hours_Per_Week]),Table1[[#This Row],[Time_Saved_Hours_Per_Week]])</f>
        <v>13.6</v>
      </c>
    </row>
    <row r="300" spans="1:23" x14ac:dyDescent="0.25">
      <c r="A300" t="s">
        <v>688</v>
      </c>
      <c r="B300">
        <v>22</v>
      </c>
      <c r="C300" t="s">
        <v>22</v>
      </c>
      <c r="D300" t="s">
        <v>52</v>
      </c>
      <c r="E300" t="s">
        <v>111</v>
      </c>
      <c r="F300" t="s">
        <v>55</v>
      </c>
      <c r="G300" t="s">
        <v>671</v>
      </c>
      <c r="H300">
        <v>167</v>
      </c>
      <c r="I300" t="s">
        <v>271</v>
      </c>
      <c r="J300" s="6" t="s">
        <v>38</v>
      </c>
      <c r="K300" s="15">
        <v>8.6</v>
      </c>
      <c r="L300" s="5">
        <v>0</v>
      </c>
      <c r="M300" s="15">
        <v>7.6</v>
      </c>
      <c r="N300" s="7">
        <v>4</v>
      </c>
      <c r="O300">
        <v>6</v>
      </c>
      <c r="P300">
        <v>17.7</v>
      </c>
      <c r="Q300">
        <v>5.5</v>
      </c>
      <c r="R300" s="2">
        <f>IF(ISBLANK(Table1[[#This Row],[Age]]),AVERAGE(Table1[Age]),Table1[[#This Row],[Age]])</f>
        <v>22</v>
      </c>
      <c r="S300" t="str">
        <f>PROPER(Table1[[#This Row],[Country]])</f>
        <v>India</v>
      </c>
      <c r="T300" t="str">
        <f>TRIM(Table1[[#This Row],[Profession]])</f>
        <v>English Literature Student</v>
      </c>
      <c r="U300" s="5">
        <f>IF(ISBLANK(H300),AVERAGEIF(Table1[[#This Row],[Profession imputed]],T300,Table1[Monthly_Income]),H300)</f>
        <v>167</v>
      </c>
      <c r="V300" s="6" t="str">
        <f>PROPER(TRIM(Table1[AI_Tool]))</f>
        <v>Chat Gpt</v>
      </c>
      <c r="W300" s="8">
        <f>IF(ISBLANK(Table1[[#This Row],[Time_Saved_Hours_Per_Week]]),AVERAGEIF(Table1[Satisfaction_Score],Table1[[#This Row],[Satisfaction_Score]],Table1[Time_Saved_Hours_Per_Week]),Table1[[#This Row],[Time_Saved_Hours_Per_Week]])</f>
        <v>17.7</v>
      </c>
    </row>
    <row r="301" spans="1:23" x14ac:dyDescent="0.25">
      <c r="A301" t="s">
        <v>661</v>
      </c>
      <c r="B301">
        <v>23</v>
      </c>
      <c r="C301" t="s">
        <v>29</v>
      </c>
      <c r="D301" t="s">
        <v>52</v>
      </c>
      <c r="E301" t="s">
        <v>111</v>
      </c>
      <c r="F301" t="s">
        <v>662</v>
      </c>
      <c r="G301" t="s">
        <v>663</v>
      </c>
      <c r="H301">
        <v>169</v>
      </c>
      <c r="I301" t="s">
        <v>280</v>
      </c>
      <c r="J301" s="6" t="s">
        <v>124</v>
      </c>
      <c r="K301" s="15">
        <v>5.4</v>
      </c>
      <c r="L301" s="5">
        <v>0</v>
      </c>
      <c r="M301" s="15">
        <v>8.1</v>
      </c>
      <c r="N301">
        <v>4</v>
      </c>
      <c r="O301">
        <v>9</v>
      </c>
      <c r="P301">
        <v>6.8</v>
      </c>
      <c r="Q301">
        <v>6.9</v>
      </c>
      <c r="R301" s="2">
        <f>IF(ISBLANK(Table1[[#This Row],[Age]]),AVERAGE(Table1[Age]),Table1[[#This Row],[Age]])</f>
        <v>23</v>
      </c>
      <c r="S301" t="str">
        <f>PROPER(Table1[[#This Row],[Country]])</f>
        <v>India</v>
      </c>
      <c r="T301" t="str">
        <f>TRIM(Table1[[#This Row],[Profession]])</f>
        <v>Engineering Student</v>
      </c>
      <c r="U301" s="5">
        <f>IF(ISBLANK(H301),AVERAGEIF(Table1[Profession imputed],T301,Table1[Monthly_Income]),H301)</f>
        <v>169</v>
      </c>
      <c r="V301" s="6" t="str">
        <f>PROPER(TRIM(Table1[AI_Tool]))</f>
        <v>Unknown</v>
      </c>
      <c r="W301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02" spans="1:23" x14ac:dyDescent="0.25">
      <c r="A302" t="s">
        <v>1164</v>
      </c>
      <c r="C302" t="s">
        <v>22</v>
      </c>
      <c r="D302" t="s">
        <v>35</v>
      </c>
      <c r="E302" t="s">
        <v>111</v>
      </c>
      <c r="F302" t="s">
        <v>25</v>
      </c>
      <c r="G302" t="s">
        <v>73</v>
      </c>
      <c r="H302">
        <v>173</v>
      </c>
      <c r="I302" t="s">
        <v>271</v>
      </c>
      <c r="J302" s="6" t="s">
        <v>130</v>
      </c>
      <c r="K302" s="15">
        <v>7.7</v>
      </c>
      <c r="L302" s="5">
        <v>0</v>
      </c>
      <c r="M302" s="15">
        <v>8.4</v>
      </c>
      <c r="N302">
        <v>5</v>
      </c>
      <c r="O302">
        <v>10</v>
      </c>
      <c r="P302">
        <v>13.6</v>
      </c>
      <c r="Q302">
        <v>6.8</v>
      </c>
      <c r="R302" s="2">
        <f>IF(ISBLANK(Table1[[#This Row],[Age]]),AVERAGE(Table1[Age]),Table1[[#This Row],[Age]])</f>
        <v>30.023333333333333</v>
      </c>
      <c r="S302" t="str">
        <f>PROPER(Table1[[#This Row],[Country]])</f>
        <v>Philippines</v>
      </c>
      <c r="T302" t="str">
        <f>TRIM(Table1[[#This Row],[Profession]])</f>
        <v>UNKNOWN</v>
      </c>
      <c r="U302" s="5">
        <f>IF(ISBLANK(H302),AVERAGEIF(Table1[[#This Row],[Profession imputed]],T302,Table1[Monthly_Income]),H302)</f>
        <v>173</v>
      </c>
      <c r="V302" s="6" t="str">
        <f>PROPER(TRIM(Table1[AI_Tool]))</f>
        <v>Chat Gpt</v>
      </c>
      <c r="W302" s="8">
        <f>IF(ISBLANK(Table1[[#This Row],[Time_Saved_Hours_Per_Week]]),AVERAGEIF(Table1[Satisfaction_Score],Table1[[#This Row],[Satisfaction_Score]],Table1[Time_Saved_Hours_Per_Week]),Table1[[#This Row],[Time_Saved_Hours_Per_Week]])</f>
        <v>13.6</v>
      </c>
    </row>
    <row r="303" spans="1:23" x14ac:dyDescent="0.25">
      <c r="A303" t="s">
        <v>669</v>
      </c>
      <c r="B303">
        <v>23</v>
      </c>
      <c r="C303" t="s">
        <v>29</v>
      </c>
      <c r="D303" t="s">
        <v>52</v>
      </c>
      <c r="E303" t="s">
        <v>111</v>
      </c>
      <c r="F303" t="s">
        <v>662</v>
      </c>
      <c r="G303" t="s">
        <v>663</v>
      </c>
      <c r="H303">
        <v>175</v>
      </c>
      <c r="I303" t="s">
        <v>280</v>
      </c>
      <c r="J303" s="6" t="s">
        <v>124</v>
      </c>
      <c r="K303" s="15">
        <v>5.4</v>
      </c>
      <c r="L303" s="5">
        <v>0</v>
      </c>
      <c r="M303" s="15">
        <v>8.1</v>
      </c>
      <c r="N303">
        <v>4</v>
      </c>
      <c r="O303">
        <v>9</v>
      </c>
      <c r="P303">
        <v>6.8</v>
      </c>
      <c r="Q303">
        <v>6.9</v>
      </c>
      <c r="R303" s="2">
        <f>IF(ISBLANK(Table1[[#This Row],[Age]]),AVERAGE(Table1[Age]),Table1[[#This Row],[Age]])</f>
        <v>23</v>
      </c>
      <c r="S303" t="str">
        <f>PROPER(Table1[[#This Row],[Country]])</f>
        <v>India</v>
      </c>
      <c r="T303" t="str">
        <f>TRIM(Table1[[#This Row],[Profession]])</f>
        <v>Engineering Student</v>
      </c>
      <c r="U303" s="5">
        <f>IF(ISBLANK(H303),AVERAGEIF(Table1[Profession imputed],T303,Table1[Monthly_Income]),H303)</f>
        <v>175</v>
      </c>
      <c r="V303" s="6" t="str">
        <f>PROPER(TRIM(Table1[AI_Tool]))</f>
        <v>Unknown</v>
      </c>
      <c r="W303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04" spans="1:23" x14ac:dyDescent="0.25">
      <c r="A304" t="s">
        <v>666</v>
      </c>
      <c r="B304">
        <v>24</v>
      </c>
      <c r="C304" t="s">
        <v>29</v>
      </c>
      <c r="D304" t="s">
        <v>52</v>
      </c>
      <c r="E304" t="s">
        <v>111</v>
      </c>
      <c r="F304" t="s">
        <v>662</v>
      </c>
      <c r="G304" t="s">
        <v>663</v>
      </c>
      <c r="H304">
        <v>179</v>
      </c>
      <c r="I304" t="s">
        <v>280</v>
      </c>
      <c r="J304" s="6" t="s">
        <v>124</v>
      </c>
      <c r="K304" s="15">
        <v>5.4</v>
      </c>
      <c r="L304" s="5">
        <v>0</v>
      </c>
      <c r="M304" s="15">
        <v>8.1</v>
      </c>
      <c r="N304">
        <v>4</v>
      </c>
      <c r="O304">
        <v>9</v>
      </c>
      <c r="P304">
        <v>6.8</v>
      </c>
      <c r="Q304">
        <v>6.9</v>
      </c>
      <c r="R304" s="2">
        <f>IF(ISBLANK(Table1[[#This Row],[Age]]),AVERAGE(Table1[Age]),Table1[[#This Row],[Age]])</f>
        <v>24</v>
      </c>
      <c r="S304" t="str">
        <f>PROPER(Table1[[#This Row],[Country]])</f>
        <v>India</v>
      </c>
      <c r="T304" t="str">
        <f>TRIM(Table1[[#This Row],[Profession]])</f>
        <v>Engineering Student</v>
      </c>
      <c r="U304" s="5">
        <f>IF(ISBLANK(H304),AVERAGEIF(Table1[Profession imputed],T304,Table1[Monthly_Income]),H304)</f>
        <v>179</v>
      </c>
      <c r="V304" s="6" t="str">
        <f>PROPER(TRIM(Table1[AI_Tool]))</f>
        <v>Unknown</v>
      </c>
      <c r="W304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05" spans="1:23" x14ac:dyDescent="0.25">
      <c r="A305" t="s">
        <v>750</v>
      </c>
      <c r="B305">
        <v>19</v>
      </c>
      <c r="C305" t="s">
        <v>29</v>
      </c>
      <c r="D305" t="s">
        <v>35</v>
      </c>
      <c r="E305" t="s">
        <v>111</v>
      </c>
      <c r="F305" t="s">
        <v>132</v>
      </c>
      <c r="G305" t="s">
        <v>671</v>
      </c>
      <c r="H305">
        <v>181</v>
      </c>
      <c r="I305" t="s">
        <v>271</v>
      </c>
      <c r="J305" s="6" t="s">
        <v>38</v>
      </c>
      <c r="K305" s="15">
        <v>3.8</v>
      </c>
      <c r="L305" s="5">
        <v>0</v>
      </c>
      <c r="M305" s="15">
        <v>6.5</v>
      </c>
      <c r="N305">
        <v>4</v>
      </c>
      <c r="O305">
        <v>9</v>
      </c>
      <c r="P305">
        <v>7</v>
      </c>
      <c r="Q305">
        <v>7.6</v>
      </c>
      <c r="R305" s="2">
        <f>IF(ISBLANK(Table1[[#This Row],[Age]]),AVERAGE(Table1[Age]),Table1[[#This Row],[Age]])</f>
        <v>19</v>
      </c>
      <c r="S305" t="str">
        <f>PROPER(Table1[[#This Row],[Country]])</f>
        <v>Philippines</v>
      </c>
      <c r="T305" t="str">
        <f>TRIM(Table1[[#This Row],[Profession]])</f>
        <v>English Literature Student</v>
      </c>
      <c r="U305" s="5">
        <f>IF(ISBLANK(H305),AVERAGEIF(Table1[[#This Row],[Profession imputed]],T305,Table1[Monthly_Income]),H305)</f>
        <v>181</v>
      </c>
      <c r="V305" s="6" t="str">
        <f>PROPER(TRIM(Table1[AI_Tool]))</f>
        <v>Chat Gpt</v>
      </c>
      <c r="W305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306" spans="1:23" x14ac:dyDescent="0.25">
      <c r="A306" t="s">
        <v>119</v>
      </c>
      <c r="B306">
        <v>22</v>
      </c>
      <c r="C306" t="s">
        <v>29</v>
      </c>
      <c r="D306" t="s">
        <v>117</v>
      </c>
      <c r="E306" t="s">
        <v>111</v>
      </c>
      <c r="F306" t="s">
        <v>55</v>
      </c>
      <c r="G306" t="s">
        <v>118</v>
      </c>
      <c r="H306">
        <v>182</v>
      </c>
      <c r="I306" t="s">
        <v>53</v>
      </c>
      <c r="J306" s="6" t="s">
        <v>33</v>
      </c>
      <c r="K306" s="15">
        <v>9.1</v>
      </c>
      <c r="L306" s="5">
        <v>30</v>
      </c>
      <c r="M306" s="15">
        <v>6.5</v>
      </c>
      <c r="N306">
        <v>3</v>
      </c>
      <c r="O306">
        <v>8</v>
      </c>
      <c r="P306">
        <v>14.9</v>
      </c>
      <c r="Q306">
        <v>5.4</v>
      </c>
      <c r="R306" s="2">
        <f>IF(ISBLANK(Table1[[#This Row],[Age]]),AVERAGE(Table1[Age]),Table1[[#This Row],[Age]])</f>
        <v>22</v>
      </c>
      <c r="S306" t="str">
        <f>PROPER(Table1[[#This Row],[Country]])</f>
        <v>United Kingdom</v>
      </c>
      <c r="T306" t="str">
        <f>TRIM(Table1[[#This Row],[Profession]])</f>
        <v>Artificial Intelligence and Machine Learning Student</v>
      </c>
      <c r="U306" s="5">
        <f>IF(ISBLANK(H306),AVERAGEIF(Table1[[#This Row],[Profession imputed]],T306,Table1[Monthly_Income]),H306)</f>
        <v>182</v>
      </c>
      <c r="V306" s="6" t="str">
        <f>PROPER(TRIM(Table1[AI_Tool]))</f>
        <v>Google Gemini</v>
      </c>
      <c r="W306" s="8">
        <f>IF(ISBLANK(Table1[[#This Row],[Time_Saved_Hours_Per_Week]]),AVERAGEIF(Table1[Satisfaction_Score],Table1[[#This Row],[Satisfaction_Score]],Table1[Time_Saved_Hours_Per_Week]),Table1[[#This Row],[Time_Saved_Hours_Per_Week]])</f>
        <v>14.9</v>
      </c>
    </row>
    <row r="307" spans="1:23" x14ac:dyDescent="0.25">
      <c r="A307" t="s">
        <v>184</v>
      </c>
      <c r="B307">
        <v>22</v>
      </c>
      <c r="C307" t="s">
        <v>22</v>
      </c>
      <c r="D307" t="s">
        <v>52</v>
      </c>
      <c r="E307" t="s">
        <v>111</v>
      </c>
      <c r="F307" t="s">
        <v>132</v>
      </c>
      <c r="G307" t="s">
        <v>179</v>
      </c>
      <c r="H307">
        <v>187</v>
      </c>
      <c r="I307" t="s">
        <v>37</v>
      </c>
      <c r="J307" s="6" t="s">
        <v>124</v>
      </c>
      <c r="K307" s="15">
        <v>1.4</v>
      </c>
      <c r="L307" s="5">
        <v>0</v>
      </c>
      <c r="M307" s="15">
        <v>4.8</v>
      </c>
      <c r="N307">
        <v>4</v>
      </c>
      <c r="O307">
        <v>6</v>
      </c>
      <c r="P307">
        <v>3.6</v>
      </c>
      <c r="Q307">
        <v>6.1</v>
      </c>
      <c r="R307" s="2">
        <f>IF(ISBLANK(Table1[[#This Row],[Age]]),AVERAGE(Table1[Age]),Table1[[#This Row],[Age]])</f>
        <v>22</v>
      </c>
      <c r="S307" t="str">
        <f>PROPER(Table1[[#This Row],[Country]])</f>
        <v>India</v>
      </c>
      <c r="T307" t="str">
        <f>TRIM(Table1[[#This Row],[Profession]])</f>
        <v>Biomedical Engineering Student</v>
      </c>
      <c r="U307" s="5">
        <f>IF(ISBLANK(H307),AVERAGEIF(Table1[Profession imputed],T307,Table1[Monthly_Income]),H307)</f>
        <v>187</v>
      </c>
      <c r="V307" s="6" t="str">
        <f>PROPER(TRIM(Table1[AI_Tool]))</f>
        <v>Grammarly</v>
      </c>
      <c r="W307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08" spans="1:23" x14ac:dyDescent="0.25">
      <c r="A308" t="s">
        <v>1052</v>
      </c>
      <c r="B308">
        <v>29</v>
      </c>
      <c r="C308" t="s">
        <v>22</v>
      </c>
      <c r="D308" t="s">
        <v>30</v>
      </c>
      <c r="E308" t="s">
        <v>111</v>
      </c>
      <c r="F308" t="s">
        <v>50</v>
      </c>
      <c r="G308" t="s">
        <v>1051</v>
      </c>
      <c r="H308">
        <v>187</v>
      </c>
      <c r="I308" t="s">
        <v>58</v>
      </c>
      <c r="J308" s="6" t="s">
        <v>33</v>
      </c>
      <c r="K308" s="15">
        <v>1.9</v>
      </c>
      <c r="L308" s="5">
        <v>0</v>
      </c>
      <c r="M308" s="15">
        <v>4.8</v>
      </c>
      <c r="N308">
        <v>4</v>
      </c>
      <c r="O308">
        <v>7</v>
      </c>
      <c r="P308">
        <v>4.8</v>
      </c>
      <c r="Q308">
        <v>5.0999999999999996</v>
      </c>
      <c r="R308" s="2">
        <f>IF(ISBLANK(Table1[[#This Row],[Age]]),AVERAGE(Table1[Age]),Table1[[#This Row],[Age]])</f>
        <v>29</v>
      </c>
      <c r="S308" t="str">
        <f>PROPER(Table1[[#This Row],[Country]])</f>
        <v>Brazil</v>
      </c>
      <c r="T308" t="str">
        <f>TRIM(Table1[[#This Row],[Profession]])</f>
        <v>Software Development Student</v>
      </c>
      <c r="U308" s="5">
        <f>IF(ISBLANK(H308),AVERAGEIF(Table1[[#This Row],[Profession imputed]],T308,Table1[Monthly_Income]),H308)</f>
        <v>187</v>
      </c>
      <c r="V308" s="6" t="str">
        <f>PROPER(TRIM(Table1[AI_Tool]))</f>
        <v>Claude</v>
      </c>
      <c r="W308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09" spans="1:23" x14ac:dyDescent="0.25">
      <c r="A309" t="s">
        <v>608</v>
      </c>
      <c r="B309">
        <v>47</v>
      </c>
      <c r="C309" t="s">
        <v>29</v>
      </c>
      <c r="D309" t="s">
        <v>57</v>
      </c>
      <c r="E309" t="s">
        <v>24</v>
      </c>
      <c r="F309" t="s">
        <v>25</v>
      </c>
      <c r="G309" t="s">
        <v>607</v>
      </c>
      <c r="H309">
        <v>189</v>
      </c>
      <c r="I309" t="s">
        <v>271</v>
      </c>
      <c r="J309" s="6" t="s">
        <v>75</v>
      </c>
      <c r="K309" s="15">
        <v>1.8</v>
      </c>
      <c r="L309" s="5">
        <v>10</v>
      </c>
      <c r="M309" s="15">
        <v>3.6</v>
      </c>
      <c r="N309">
        <v>3</v>
      </c>
      <c r="O309">
        <v>4</v>
      </c>
      <c r="P309">
        <v>5.0999999999999996</v>
      </c>
      <c r="Q309">
        <v>9.5</v>
      </c>
      <c r="R309" s="2">
        <f>IF(ISBLANK(Table1[[#This Row],[Age]]),AVERAGE(Table1[Age]),Table1[[#This Row],[Age]])</f>
        <v>47</v>
      </c>
      <c r="S309" t="str">
        <f>PROPER(Table1[[#This Row],[Country]])</f>
        <v>Pakistan</v>
      </c>
      <c r="T309" t="str">
        <f>TRIM(Table1[[#This Row],[Profession]])</f>
        <v>Digital Marketing Manager</v>
      </c>
      <c r="U309" s="5">
        <f>IF(ISBLANK(H309),AVERAGEIF(Table1[Profession imputed],T309,Table1[Monthly_Income]),H309)</f>
        <v>189</v>
      </c>
      <c r="V309" s="6" t="str">
        <f>PROPER(TRIM(Table1[AI_Tool]))</f>
        <v>Chat Gpt</v>
      </c>
      <c r="W309" s="8">
        <f>IF(ISBLANK(Table1[[#This Row],[Time_Saved_Hours_Per_Week]]),AVERAGEIF(Table1[Satisfaction_Score],Table1[[#This Row],[Satisfaction_Score]],Table1[Time_Saved_Hours_Per_Week]),Table1[[#This Row],[Time_Saved_Hours_Per_Week]])</f>
        <v>5.0999999999999996</v>
      </c>
    </row>
    <row r="310" spans="1:23" x14ac:dyDescent="0.25">
      <c r="A310" t="s">
        <v>1136</v>
      </c>
      <c r="C310" t="s">
        <v>22</v>
      </c>
      <c r="D310" t="s">
        <v>35</v>
      </c>
      <c r="E310" t="s">
        <v>111</v>
      </c>
      <c r="F310" t="s">
        <v>25</v>
      </c>
      <c r="G310" t="s">
        <v>73</v>
      </c>
      <c r="H310">
        <v>190</v>
      </c>
      <c r="I310" t="s">
        <v>271</v>
      </c>
      <c r="J310" s="6" t="s">
        <v>130</v>
      </c>
      <c r="K310" s="15">
        <v>7.7</v>
      </c>
      <c r="L310" s="5">
        <v>0</v>
      </c>
      <c r="M310" s="15">
        <v>8.4</v>
      </c>
      <c r="N310">
        <v>5</v>
      </c>
      <c r="O310">
        <v>10</v>
      </c>
      <c r="P310">
        <v>13.6</v>
      </c>
      <c r="Q310">
        <v>6.8</v>
      </c>
      <c r="R310" s="2">
        <f>IF(ISBLANK(Table1[[#This Row],[Age]]),AVERAGE(Table1[Age]),Table1[[#This Row],[Age]])</f>
        <v>30.023333333333333</v>
      </c>
      <c r="S310" t="str">
        <f>PROPER(Table1[[#This Row],[Country]])</f>
        <v>Philippines</v>
      </c>
      <c r="T310" t="str">
        <f>TRIM(Table1[[#This Row],[Profession]])</f>
        <v>UNKNOWN</v>
      </c>
      <c r="U310" s="5">
        <f>IF(ISBLANK(H310),AVERAGEIF(Table1[[#This Row],[Profession imputed]],T310,Table1[Monthly_Income]),H310)</f>
        <v>190</v>
      </c>
      <c r="V310" s="6" t="str">
        <f>PROPER(TRIM(Table1[AI_Tool]))</f>
        <v>Chat Gpt</v>
      </c>
      <c r="W310" s="8">
        <f>IF(ISBLANK(Table1[[#This Row],[Time_Saved_Hours_Per_Week]]),AVERAGEIF(Table1[Satisfaction_Score],Table1[[#This Row],[Satisfaction_Score]],Table1[Time_Saved_Hours_Per_Week]),Table1[[#This Row],[Time_Saved_Hours_Per_Week]])</f>
        <v>13.6</v>
      </c>
    </row>
    <row r="311" spans="1:23" x14ac:dyDescent="0.25">
      <c r="A311" t="s">
        <v>1050</v>
      </c>
      <c r="B311">
        <v>31</v>
      </c>
      <c r="C311" t="s">
        <v>22</v>
      </c>
      <c r="D311" t="s">
        <v>30</v>
      </c>
      <c r="E311" t="s">
        <v>111</v>
      </c>
      <c r="F311" t="s">
        <v>50</v>
      </c>
      <c r="G311" t="s">
        <v>1051</v>
      </c>
      <c r="H311">
        <v>191</v>
      </c>
      <c r="I311" t="s">
        <v>58</v>
      </c>
      <c r="J311" s="6" t="s">
        <v>33</v>
      </c>
      <c r="K311" s="15">
        <v>1.9</v>
      </c>
      <c r="L311" s="5">
        <v>0</v>
      </c>
      <c r="M311" s="15">
        <v>4.8</v>
      </c>
      <c r="N311">
        <v>4</v>
      </c>
      <c r="O311">
        <v>7</v>
      </c>
      <c r="P311">
        <v>4.8</v>
      </c>
      <c r="Q311">
        <v>5.0999999999999996</v>
      </c>
      <c r="R311" s="2">
        <f>IF(ISBLANK(Table1[[#This Row],[Age]]),AVERAGE(Table1[Age]),Table1[[#This Row],[Age]])</f>
        <v>31</v>
      </c>
      <c r="S311" t="str">
        <f>PROPER(Table1[[#This Row],[Country]])</f>
        <v>Brazil</v>
      </c>
      <c r="T311" t="str">
        <f>TRIM(Table1[[#This Row],[Profession]])</f>
        <v>Software Development Student</v>
      </c>
      <c r="U311" s="5">
        <f>IF(ISBLANK(H311),AVERAGEIF(Table1[[#This Row],[Profession imputed]],T311,Table1[Monthly_Income]),H311)</f>
        <v>191</v>
      </c>
      <c r="V311" s="6" t="str">
        <f>PROPER(TRIM(Table1[AI_Tool]))</f>
        <v>Claude</v>
      </c>
      <c r="W311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12" spans="1:23" x14ac:dyDescent="0.25">
      <c r="A312" t="s">
        <v>677</v>
      </c>
      <c r="B312">
        <v>18</v>
      </c>
      <c r="C312" t="s">
        <v>29</v>
      </c>
      <c r="D312" t="s">
        <v>35</v>
      </c>
      <c r="E312" t="s">
        <v>111</v>
      </c>
      <c r="F312" t="s">
        <v>132</v>
      </c>
      <c r="G312" t="s">
        <v>671</v>
      </c>
      <c r="H312">
        <v>192</v>
      </c>
      <c r="I312" t="s">
        <v>271</v>
      </c>
      <c r="J312" s="6" t="s">
        <v>38</v>
      </c>
      <c r="K312" s="15">
        <v>3.8</v>
      </c>
      <c r="L312" s="5">
        <v>0</v>
      </c>
      <c r="M312" s="15">
        <v>6.5</v>
      </c>
      <c r="N312">
        <v>4</v>
      </c>
      <c r="O312">
        <v>9</v>
      </c>
      <c r="P312">
        <v>7</v>
      </c>
      <c r="Q312">
        <v>7.6</v>
      </c>
      <c r="R312" s="2">
        <f>IF(ISBLANK(Table1[[#This Row],[Age]]),AVERAGE(Table1[Age]),Table1[[#This Row],[Age]])</f>
        <v>18</v>
      </c>
      <c r="S312" t="str">
        <f>PROPER(Table1[[#This Row],[Country]])</f>
        <v>Philippines</v>
      </c>
      <c r="T312" t="str">
        <f>TRIM(Table1[[#This Row],[Profession]])</f>
        <v>English Literature Student</v>
      </c>
      <c r="U312" s="5">
        <f>IF(ISBLANK(H312),AVERAGEIF(Table1[[#This Row],[Profession imputed]],T312,Table1[Monthly_Income]),H312)</f>
        <v>192</v>
      </c>
      <c r="V312" s="6" t="str">
        <f>PROPER(TRIM(Table1[AI_Tool]))</f>
        <v>Chat Gpt</v>
      </c>
      <c r="W312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313" spans="1:23" x14ac:dyDescent="0.25">
      <c r="A313" t="s">
        <v>1147</v>
      </c>
      <c r="C313" t="s">
        <v>22</v>
      </c>
      <c r="D313" t="s">
        <v>35</v>
      </c>
      <c r="E313" t="s">
        <v>111</v>
      </c>
      <c r="F313" t="s">
        <v>25</v>
      </c>
      <c r="G313" t="s">
        <v>73</v>
      </c>
      <c r="H313">
        <v>197</v>
      </c>
      <c r="I313" t="s">
        <v>271</v>
      </c>
      <c r="J313" s="6" t="s">
        <v>130</v>
      </c>
      <c r="K313" s="15">
        <v>7.7</v>
      </c>
      <c r="L313" s="5">
        <v>0</v>
      </c>
      <c r="M313" s="15">
        <v>8.4</v>
      </c>
      <c r="N313">
        <v>5</v>
      </c>
      <c r="O313">
        <v>10</v>
      </c>
      <c r="P313">
        <v>13.6</v>
      </c>
      <c r="Q313">
        <v>6.8</v>
      </c>
      <c r="R313" s="2">
        <f>IF(ISBLANK(Table1[[#This Row],[Age]]),AVERAGE(Table1[Age]),Table1[[#This Row],[Age]])</f>
        <v>30.023333333333333</v>
      </c>
      <c r="S313" t="str">
        <f>PROPER(Table1[[#This Row],[Country]])</f>
        <v>Philippines</v>
      </c>
      <c r="T313" t="str">
        <f>TRIM(Table1[[#This Row],[Profession]])</f>
        <v>UNKNOWN</v>
      </c>
      <c r="U313" s="5">
        <f>IF(ISBLANK(H313),AVERAGEIF(Table1[[#This Row],[Profession imputed]],T313,Table1[Monthly_Income]),H313)</f>
        <v>197</v>
      </c>
      <c r="V313" s="6" t="str">
        <f>PROPER(TRIM(Table1[AI_Tool]))</f>
        <v>Chat Gpt</v>
      </c>
      <c r="W313" s="8">
        <f>IF(ISBLANK(Table1[[#This Row],[Time_Saved_Hours_Per_Week]]),AVERAGEIF(Table1[Satisfaction_Score],Table1[[#This Row],[Satisfaction_Score]],Table1[Time_Saved_Hours_Per_Week]),Table1[[#This Row],[Time_Saved_Hours_Per_Week]])</f>
        <v>13.6</v>
      </c>
    </row>
    <row r="314" spans="1:23" x14ac:dyDescent="0.25">
      <c r="A314" t="s">
        <v>1153</v>
      </c>
      <c r="B314">
        <v>30</v>
      </c>
      <c r="C314" t="s">
        <v>29</v>
      </c>
      <c r="D314" t="s">
        <v>189</v>
      </c>
      <c r="E314" t="s">
        <v>111</v>
      </c>
      <c r="F314" t="s">
        <v>132</v>
      </c>
      <c r="G314" t="s">
        <v>73</v>
      </c>
      <c r="H314">
        <v>197</v>
      </c>
      <c r="I314" t="s">
        <v>253</v>
      </c>
      <c r="J314" s="6" t="s">
        <v>38</v>
      </c>
      <c r="K314" s="15">
        <v>0.6</v>
      </c>
      <c r="L314" s="5">
        <v>0</v>
      </c>
      <c r="M314" s="15">
        <v>3.3</v>
      </c>
      <c r="N314">
        <v>2</v>
      </c>
      <c r="O314">
        <v>4</v>
      </c>
      <c r="P314">
        <v>3.6</v>
      </c>
      <c r="Q314">
        <v>5.6</v>
      </c>
      <c r="R314" s="2">
        <f>IF(ISBLANK(Table1[[#This Row],[Age]]),AVERAGE(Table1[Age]),Table1[[#This Row],[Age]])</f>
        <v>30</v>
      </c>
      <c r="S314" t="str">
        <f>PROPER(Table1[[#This Row],[Country]])</f>
        <v>Australia</v>
      </c>
      <c r="T314" t="str">
        <f>TRIM(Table1[[#This Row],[Profession]])</f>
        <v>UNKNOWN</v>
      </c>
      <c r="U314" s="5">
        <f>IF(ISBLANK(H314),AVERAGEIF(Table1[[#This Row],[Profession imputed]],T314,Table1[Monthly_Income]),H314)</f>
        <v>197</v>
      </c>
      <c r="V314" s="6" t="str">
        <f>PROPER(TRIM(Table1[AI_Tool]))</f>
        <v>Meta Ai</v>
      </c>
      <c r="W314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15" spans="1:23" x14ac:dyDescent="0.25">
      <c r="A315" t="s">
        <v>674</v>
      </c>
      <c r="B315">
        <v>18</v>
      </c>
      <c r="C315" t="s">
        <v>29</v>
      </c>
      <c r="D315" t="s">
        <v>35</v>
      </c>
      <c r="E315" t="s">
        <v>111</v>
      </c>
      <c r="F315" t="s">
        <v>50</v>
      </c>
      <c r="G315" t="s">
        <v>671</v>
      </c>
      <c r="H315">
        <v>198</v>
      </c>
      <c r="I315" t="s">
        <v>69</v>
      </c>
      <c r="J315" s="6" t="s">
        <v>38</v>
      </c>
      <c r="K315" s="15">
        <v>0</v>
      </c>
      <c r="L315" s="5">
        <v>0</v>
      </c>
      <c r="M315" s="15">
        <v>6.9</v>
      </c>
      <c r="N315">
        <v>2</v>
      </c>
      <c r="O315">
        <v>6</v>
      </c>
      <c r="P315">
        <v>7.2</v>
      </c>
      <c r="Q315">
        <v>7.2</v>
      </c>
      <c r="R315" s="2">
        <f>IF(ISBLANK(Table1[[#This Row],[Age]]),AVERAGE(Table1[Age]),Table1[[#This Row],[Age]])</f>
        <v>18</v>
      </c>
      <c r="S315" t="str">
        <f>PROPER(Table1[[#This Row],[Country]])</f>
        <v>Philippines</v>
      </c>
      <c r="T315" t="str">
        <f>TRIM(Table1[[#This Row],[Profession]])</f>
        <v>English Literature Student</v>
      </c>
      <c r="U315" s="5">
        <f>IF(ISBLANK(H315),AVERAGEIF(Table1[Profession imputed],T315,Table1[Monthly_Income]),H315)</f>
        <v>198</v>
      </c>
      <c r="V315" s="6" t="str">
        <f>PROPER(TRIM(Table1[AI_Tool]))</f>
        <v>Perplexity Ai</v>
      </c>
      <c r="W315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316" spans="1:23" x14ac:dyDescent="0.25">
      <c r="A316" t="s">
        <v>676</v>
      </c>
      <c r="C316" t="s">
        <v>22</v>
      </c>
      <c r="D316" t="s">
        <v>89</v>
      </c>
      <c r="E316" t="s">
        <v>111</v>
      </c>
      <c r="F316" t="s">
        <v>25</v>
      </c>
      <c r="G316" t="s">
        <v>671</v>
      </c>
      <c r="I316" t="s">
        <v>271</v>
      </c>
      <c r="J316" s="6" t="s">
        <v>38</v>
      </c>
      <c r="K316" s="15">
        <v>2.1</v>
      </c>
      <c r="L316" s="5">
        <v>0</v>
      </c>
      <c r="M316" s="15">
        <v>4.7</v>
      </c>
      <c r="N316">
        <v>5</v>
      </c>
      <c r="O316">
        <v>8</v>
      </c>
      <c r="Q316">
        <v>5.9</v>
      </c>
      <c r="R316" s="2">
        <f>IF(ISBLANK(Table1[[#This Row],[Age]]),AVERAGE(Table1[Age]),Table1[[#This Row],[Age]])</f>
        <v>30.023333333333333</v>
      </c>
      <c r="S316" t="str">
        <f>PROPER(Table1[[#This Row],[Country]])</f>
        <v>Nigeria</v>
      </c>
      <c r="T316" t="str">
        <f>TRIM(Table1[[#This Row],[Profession]])</f>
        <v>English Literature Student</v>
      </c>
      <c r="U316" s="5">
        <f>IF(ISBLANK(H316),AVERAGEIF(Table1[Profession imputed],T316,Table1[Monthly_Income]),H316)</f>
        <v>198.28</v>
      </c>
      <c r="V316" s="6" t="str">
        <f>PROPER(TRIM(Table1[AI_Tool]))</f>
        <v>Chat Gpt</v>
      </c>
      <c r="W316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317" spans="1:23" x14ac:dyDescent="0.25">
      <c r="A317" t="s">
        <v>689</v>
      </c>
      <c r="B317">
        <v>23</v>
      </c>
      <c r="C317" t="s">
        <v>29</v>
      </c>
      <c r="D317" t="s">
        <v>52</v>
      </c>
      <c r="E317" t="s">
        <v>111</v>
      </c>
      <c r="F317" t="s">
        <v>132</v>
      </c>
      <c r="G317" t="s">
        <v>671</v>
      </c>
      <c r="I317" t="s">
        <v>271</v>
      </c>
      <c r="J317" s="6" t="s">
        <v>38</v>
      </c>
      <c r="K317" s="15">
        <v>9.6999999999999993</v>
      </c>
      <c r="L317" s="5">
        <v>0</v>
      </c>
      <c r="M317" s="15">
        <v>7.5</v>
      </c>
      <c r="N317">
        <v>4</v>
      </c>
      <c r="O317">
        <f>IF(Table1[[#This Row],[Accuracy_Rating]]=4,8,Table1[[#This Row],[Accuracy_Rating]])</f>
        <v>8</v>
      </c>
      <c r="P317">
        <v>17.2</v>
      </c>
      <c r="Q317">
        <v>4.0999999999999996</v>
      </c>
      <c r="R317" s="2">
        <f>IF(ISBLANK(Table1[[#This Row],[Age]]),AVERAGE(Table1[Age]),Table1[[#This Row],[Age]])</f>
        <v>23</v>
      </c>
      <c r="S317" t="str">
        <f>PROPER(Table1[[#This Row],[Country]])</f>
        <v>India</v>
      </c>
      <c r="T317" t="str">
        <f>TRIM(Table1[[#This Row],[Profession]])</f>
        <v>English Literature Student</v>
      </c>
      <c r="U317" s="5">
        <f>IF(ISBLANK(H317),AVERAGEIF(Table1[Profession imputed],T317,Table1[Monthly_Income]),H317)</f>
        <v>198.28</v>
      </c>
      <c r="V317" s="6" t="str">
        <f>PROPER(TRIM(Table1[AI_Tool]))</f>
        <v>Chat Gpt</v>
      </c>
      <c r="W317" s="8">
        <f>IF(ISBLANK(Table1[[#This Row],[Time_Saved_Hours_Per_Week]]),AVERAGEIF(Table1[Satisfaction_Score],Table1[[#This Row],[Satisfaction_Score]],Table1[Time_Saved_Hours_Per_Week]),Table1[[#This Row],[Time_Saved_Hours_Per_Week]])</f>
        <v>17.2</v>
      </c>
    </row>
    <row r="318" spans="1:23" x14ac:dyDescent="0.25">
      <c r="A318" t="s">
        <v>697</v>
      </c>
      <c r="B318">
        <v>21</v>
      </c>
      <c r="C318" t="s">
        <v>29</v>
      </c>
      <c r="D318" t="s">
        <v>52</v>
      </c>
      <c r="E318" t="s">
        <v>111</v>
      </c>
      <c r="F318" t="s">
        <v>132</v>
      </c>
      <c r="G318" t="s">
        <v>671</v>
      </c>
      <c r="I318" t="s">
        <v>271</v>
      </c>
      <c r="J318" s="6" t="s">
        <v>38</v>
      </c>
      <c r="K318" s="15">
        <v>9.6999999999999993</v>
      </c>
      <c r="L318" s="5">
        <v>0</v>
      </c>
      <c r="M318" s="15">
        <v>7.5</v>
      </c>
      <c r="N318">
        <v>4</v>
      </c>
      <c r="O318">
        <f>IF(Table1[[#This Row],[Accuracy_Rating]]=4,8,Table1[[#This Row],[Accuracy_Rating]])</f>
        <v>8</v>
      </c>
      <c r="P318">
        <v>17.2</v>
      </c>
      <c r="Q318">
        <v>4.0999999999999996</v>
      </c>
      <c r="R318" s="2">
        <f>IF(ISBLANK(Table1[[#This Row],[Age]]),AVERAGE(Table1[Age]),Table1[[#This Row],[Age]])</f>
        <v>21</v>
      </c>
      <c r="S318" t="str">
        <f>PROPER(Table1[[#This Row],[Country]])</f>
        <v>India</v>
      </c>
      <c r="T318" t="str">
        <f>TRIM(Table1[[#This Row],[Profession]])</f>
        <v>English Literature Student</v>
      </c>
      <c r="U318" s="5">
        <f>IF(ISBLANK(H318),AVERAGEIF(Table1[Profession imputed],T318,Table1[Monthly_Income]),H318)</f>
        <v>198.28</v>
      </c>
      <c r="V318" s="6" t="str">
        <f>PROPER(TRIM(Table1[AI_Tool]))</f>
        <v>Chat Gpt</v>
      </c>
      <c r="W318" s="8">
        <f>IF(ISBLANK(Table1[[#This Row],[Time_Saved_Hours_Per_Week]]),AVERAGEIF(Table1[Satisfaction_Score],Table1[[#This Row],[Satisfaction_Score]],Table1[Time_Saved_Hours_Per_Week]),Table1[[#This Row],[Time_Saved_Hours_Per_Week]])</f>
        <v>17.2</v>
      </c>
    </row>
    <row r="319" spans="1:23" x14ac:dyDescent="0.25">
      <c r="A319" t="s">
        <v>702</v>
      </c>
      <c r="C319" t="s">
        <v>22</v>
      </c>
      <c r="D319" t="s">
        <v>89</v>
      </c>
      <c r="E319" t="s">
        <v>111</v>
      </c>
      <c r="F319" t="s">
        <v>25</v>
      </c>
      <c r="G319" t="s">
        <v>671</v>
      </c>
      <c r="I319" t="s">
        <v>271</v>
      </c>
      <c r="J319" s="6" t="s">
        <v>38</v>
      </c>
      <c r="K319" s="15">
        <v>2.1</v>
      </c>
      <c r="L319" s="5">
        <v>0</v>
      </c>
      <c r="M319" s="15">
        <v>4.7</v>
      </c>
      <c r="N319">
        <v>5</v>
      </c>
      <c r="O319">
        <v>8</v>
      </c>
      <c r="Q319">
        <v>5.9</v>
      </c>
      <c r="R319" s="2">
        <f>IF(ISBLANK(Table1[[#This Row],[Age]]),AVERAGE(Table1[Age]),Table1[[#This Row],[Age]])</f>
        <v>30.023333333333333</v>
      </c>
      <c r="S319" t="str">
        <f>PROPER(Table1[[#This Row],[Country]])</f>
        <v>Nigeria</v>
      </c>
      <c r="T319" t="str">
        <f>TRIM(Table1[[#This Row],[Profession]])</f>
        <v>English Literature Student</v>
      </c>
      <c r="U319" s="5">
        <f>IF(ISBLANK(H319),AVERAGEIF(Table1[Profession imputed],T319,Table1[Monthly_Income]),H319)</f>
        <v>198.28</v>
      </c>
      <c r="V319" s="6" t="str">
        <f>PROPER(TRIM(Table1[AI_Tool]))</f>
        <v>Chat Gpt</v>
      </c>
      <c r="W319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320" spans="1:23" x14ac:dyDescent="0.25">
      <c r="A320" t="s">
        <v>716</v>
      </c>
      <c r="B320">
        <v>24</v>
      </c>
      <c r="C320" t="s">
        <v>29</v>
      </c>
      <c r="D320" t="s">
        <v>52</v>
      </c>
      <c r="E320" t="s">
        <v>111</v>
      </c>
      <c r="F320" t="s">
        <v>132</v>
      </c>
      <c r="G320" t="s">
        <v>671</v>
      </c>
      <c r="I320" t="s">
        <v>271</v>
      </c>
      <c r="J320" s="6" t="s">
        <v>38</v>
      </c>
      <c r="K320" s="15">
        <v>9.6999999999999993</v>
      </c>
      <c r="L320" s="5">
        <v>0</v>
      </c>
      <c r="M320" s="15">
        <v>7.5</v>
      </c>
      <c r="N320">
        <v>4</v>
      </c>
      <c r="O320">
        <f>IF(Table1[[#This Row],[Accuracy_Rating]]=4,8,Table1[[#This Row],[Accuracy_Rating]])</f>
        <v>8</v>
      </c>
      <c r="P320">
        <v>17.2</v>
      </c>
      <c r="Q320">
        <v>4.0999999999999996</v>
      </c>
      <c r="R320" s="2">
        <f>IF(ISBLANK(Table1[[#This Row],[Age]]),AVERAGE(Table1[Age]),Table1[[#This Row],[Age]])</f>
        <v>24</v>
      </c>
      <c r="S320" t="str">
        <f>PROPER(Table1[[#This Row],[Country]])</f>
        <v>India</v>
      </c>
      <c r="T320" t="str">
        <f>TRIM(Table1[[#This Row],[Profession]])</f>
        <v>English Literature Student</v>
      </c>
      <c r="U320" s="5">
        <f>IF(ISBLANK(H320),AVERAGEIF(Table1[Profession imputed],T320,Table1[Monthly_Income]),H320)</f>
        <v>198.28</v>
      </c>
      <c r="V320" s="6" t="str">
        <f>PROPER(TRIM(Table1[AI_Tool]))</f>
        <v>Chat Gpt</v>
      </c>
      <c r="W320" s="8">
        <f>IF(ISBLANK(Table1[[#This Row],[Time_Saved_Hours_Per_Week]]),AVERAGEIF(Table1[Satisfaction_Score],Table1[[#This Row],[Satisfaction_Score]],Table1[Time_Saved_Hours_Per_Week]),Table1[[#This Row],[Time_Saved_Hours_Per_Week]])</f>
        <v>17.2</v>
      </c>
    </row>
    <row r="321" spans="1:23" x14ac:dyDescent="0.25">
      <c r="A321" t="s">
        <v>720</v>
      </c>
      <c r="B321">
        <v>25</v>
      </c>
      <c r="C321" t="s">
        <v>29</v>
      </c>
      <c r="D321" t="s">
        <v>52</v>
      </c>
      <c r="E321" t="s">
        <v>111</v>
      </c>
      <c r="F321" t="s">
        <v>132</v>
      </c>
      <c r="G321" t="s">
        <v>671</v>
      </c>
      <c r="I321" t="s">
        <v>271</v>
      </c>
      <c r="J321" s="6" t="s">
        <v>38</v>
      </c>
      <c r="K321" s="15">
        <v>9.6999999999999993</v>
      </c>
      <c r="L321" s="5">
        <v>0</v>
      </c>
      <c r="M321" s="15">
        <v>7.5</v>
      </c>
      <c r="N321">
        <v>4</v>
      </c>
      <c r="O321">
        <f>IF(Table1[[#This Row],[Accuracy_Rating]]=4,8,Table1[[#This Row],[Accuracy_Rating]])</f>
        <v>8</v>
      </c>
      <c r="P321">
        <v>17.2</v>
      </c>
      <c r="Q321">
        <v>4.0999999999999996</v>
      </c>
      <c r="R321" s="2">
        <f>IF(ISBLANK(Table1[[#This Row],[Age]]),AVERAGE(Table1[Age]),Table1[[#This Row],[Age]])</f>
        <v>25</v>
      </c>
      <c r="S321" t="str">
        <f>PROPER(Table1[[#This Row],[Country]])</f>
        <v>India</v>
      </c>
      <c r="T321" t="str">
        <f>TRIM(Table1[[#This Row],[Profession]])</f>
        <v>English Literature Student</v>
      </c>
      <c r="U321" s="5">
        <f>IF(ISBLANK(H321),AVERAGEIF(Table1[Profession imputed],T321,Table1[Monthly_Income]),H321)</f>
        <v>198.28</v>
      </c>
      <c r="V321" s="6" t="str">
        <f>PROPER(TRIM(Table1[AI_Tool]))</f>
        <v>Chat Gpt</v>
      </c>
      <c r="W321" s="8">
        <f>IF(ISBLANK(Table1[[#This Row],[Time_Saved_Hours_Per_Week]]),AVERAGEIF(Table1[Satisfaction_Score],Table1[[#This Row],[Satisfaction_Score]],Table1[Time_Saved_Hours_Per_Week]),Table1[[#This Row],[Time_Saved_Hours_Per_Week]])</f>
        <v>17.2</v>
      </c>
    </row>
    <row r="322" spans="1:23" x14ac:dyDescent="0.25">
      <c r="A322" t="s">
        <v>723</v>
      </c>
      <c r="C322" t="s">
        <v>22</v>
      </c>
      <c r="D322" t="s">
        <v>89</v>
      </c>
      <c r="E322" t="s">
        <v>111</v>
      </c>
      <c r="F322" t="s">
        <v>25</v>
      </c>
      <c r="G322" t="s">
        <v>671</v>
      </c>
      <c r="I322" t="s">
        <v>271</v>
      </c>
      <c r="J322" s="6" t="s">
        <v>38</v>
      </c>
      <c r="K322" s="15">
        <v>2.1</v>
      </c>
      <c r="L322" s="5">
        <v>0</v>
      </c>
      <c r="M322" s="15">
        <v>4.7</v>
      </c>
      <c r="N322">
        <v>5</v>
      </c>
      <c r="O322">
        <v>8</v>
      </c>
      <c r="Q322">
        <v>5.9</v>
      </c>
      <c r="R322" s="2">
        <f>IF(ISBLANK(Table1[[#This Row],[Age]]),AVERAGE(Table1[Age]),Table1[[#This Row],[Age]])</f>
        <v>30.023333333333333</v>
      </c>
      <c r="S322" t="str">
        <f>PROPER(Table1[[#This Row],[Country]])</f>
        <v>Nigeria</v>
      </c>
      <c r="T322" t="str">
        <f>TRIM(Table1[[#This Row],[Profession]])</f>
        <v>English Literature Student</v>
      </c>
      <c r="U322" s="5">
        <f>IF(ISBLANK(H322),AVERAGEIF(Table1[Profession imputed],T322,Table1[Monthly_Income]),H322)</f>
        <v>198.28</v>
      </c>
      <c r="V322" s="6" t="str">
        <f>PROPER(TRIM(Table1[AI_Tool]))</f>
        <v>Chat Gpt</v>
      </c>
      <c r="W322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323" spans="1:23" x14ac:dyDescent="0.25">
      <c r="A323" t="s">
        <v>749</v>
      </c>
      <c r="C323" t="s">
        <v>22</v>
      </c>
      <c r="D323" t="s">
        <v>89</v>
      </c>
      <c r="E323" t="s">
        <v>111</v>
      </c>
      <c r="F323" t="s">
        <v>25</v>
      </c>
      <c r="G323" t="s">
        <v>671</v>
      </c>
      <c r="I323" t="s">
        <v>271</v>
      </c>
      <c r="J323" s="6" t="s">
        <v>38</v>
      </c>
      <c r="K323" s="15">
        <v>2.1</v>
      </c>
      <c r="L323" s="5">
        <v>0</v>
      </c>
      <c r="M323" s="15">
        <v>4.7</v>
      </c>
      <c r="N323">
        <v>5</v>
      </c>
      <c r="O323">
        <v>8</v>
      </c>
      <c r="Q323">
        <v>5.9</v>
      </c>
      <c r="R323" s="2">
        <f>IF(ISBLANK(Table1[[#This Row],[Age]]),AVERAGE(Table1[Age]),Table1[[#This Row],[Age]])</f>
        <v>30.023333333333333</v>
      </c>
      <c r="S323" t="str">
        <f>PROPER(Table1[[#This Row],[Country]])</f>
        <v>Nigeria</v>
      </c>
      <c r="T323" t="str">
        <f>TRIM(Table1[[#This Row],[Profession]])</f>
        <v>English Literature Student</v>
      </c>
      <c r="U323" s="5">
        <f>IF(ISBLANK(H323),AVERAGEIF(Table1[Profession imputed],T323,Table1[Monthly_Income]),H323)</f>
        <v>198.28</v>
      </c>
      <c r="V323" s="6" t="str">
        <f>PROPER(TRIM(Table1[AI_Tool]))</f>
        <v>Chat Gpt</v>
      </c>
      <c r="W323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324" spans="1:23" x14ac:dyDescent="0.25">
      <c r="A324" t="s">
        <v>754</v>
      </c>
      <c r="C324" t="s">
        <v>22</v>
      </c>
      <c r="D324" t="s">
        <v>89</v>
      </c>
      <c r="E324" t="s">
        <v>111</v>
      </c>
      <c r="F324" t="s">
        <v>25</v>
      </c>
      <c r="G324" t="s">
        <v>671</v>
      </c>
      <c r="I324" t="s">
        <v>271</v>
      </c>
      <c r="J324" s="6" t="s">
        <v>38</v>
      </c>
      <c r="K324" s="15">
        <v>2.1</v>
      </c>
      <c r="L324" s="5">
        <v>0</v>
      </c>
      <c r="M324" s="15">
        <v>4.7</v>
      </c>
      <c r="N324">
        <v>5</v>
      </c>
      <c r="O324">
        <v>8</v>
      </c>
      <c r="Q324">
        <v>5.9</v>
      </c>
      <c r="R324" s="2">
        <f>IF(ISBLANK(Table1[[#This Row],[Age]]),AVERAGE(Table1[Age]),Table1[[#This Row],[Age]])</f>
        <v>30.023333333333333</v>
      </c>
      <c r="S324" t="str">
        <f>PROPER(Table1[[#This Row],[Country]])</f>
        <v>Nigeria</v>
      </c>
      <c r="T324" t="str">
        <f>TRIM(Table1[[#This Row],[Profession]])</f>
        <v>English Literature Student</v>
      </c>
      <c r="U324" s="5">
        <f>IF(ISBLANK(H324),AVERAGEIF(Table1[Profession imputed],T324,Table1[Monthly_Income]),H324)</f>
        <v>198.28</v>
      </c>
      <c r="V324" s="6" t="str">
        <f>PROPER(TRIM(Table1[AI_Tool]))</f>
        <v>Chat Gpt</v>
      </c>
      <c r="W324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325" spans="1:23" x14ac:dyDescent="0.25">
      <c r="A325" t="s">
        <v>310</v>
      </c>
      <c r="B325">
        <v>20</v>
      </c>
      <c r="C325" t="s">
        <v>29</v>
      </c>
      <c r="D325" t="s">
        <v>52</v>
      </c>
      <c r="E325" t="s">
        <v>111</v>
      </c>
      <c r="F325" t="s">
        <v>50</v>
      </c>
      <c r="G325" t="s">
        <v>270</v>
      </c>
      <c r="H325">
        <v>199</v>
      </c>
      <c r="I325" t="s">
        <v>1186</v>
      </c>
      <c r="J325" s="6" t="s">
        <v>33</v>
      </c>
      <c r="K325" s="15">
        <v>2.4</v>
      </c>
      <c r="L325" s="5">
        <v>20</v>
      </c>
      <c r="M325" s="15">
        <v>5.5</v>
      </c>
      <c r="N325">
        <v>3</v>
      </c>
      <c r="O325">
        <v>5</v>
      </c>
      <c r="P325">
        <v>7.3</v>
      </c>
      <c r="Q325">
        <v>8.6</v>
      </c>
      <c r="R325" s="2">
        <f>IF(ISBLANK(Table1[[#This Row],[Age]]),AVERAGE(Table1[Age]),Table1[[#This Row],[Age]])</f>
        <v>20</v>
      </c>
      <c r="S325" t="str">
        <f>PROPER(Table1[[#This Row],[Country]])</f>
        <v>India</v>
      </c>
      <c r="T325" t="str">
        <f>TRIM(Table1[[#This Row],[Profession]])</f>
        <v>Computer Science Student</v>
      </c>
      <c r="U325" s="5">
        <f>IF(ISBLANK(H325),AVERAGEIF(Table1[Profession imputed],T325,Table1[Monthly_Income]),H325)</f>
        <v>199</v>
      </c>
      <c r="V325" s="6" t="str">
        <f>PROPER(TRIM(Table1[AI_Tool]))</f>
        <v>Google Gemini</v>
      </c>
      <c r="W325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326" spans="1:23" x14ac:dyDescent="0.25">
      <c r="A326" t="s">
        <v>182</v>
      </c>
      <c r="B326">
        <v>23</v>
      </c>
      <c r="C326" t="s">
        <v>22</v>
      </c>
      <c r="D326" t="s">
        <v>52</v>
      </c>
      <c r="E326" t="s">
        <v>111</v>
      </c>
      <c r="F326" t="s">
        <v>132</v>
      </c>
      <c r="G326" t="s">
        <v>179</v>
      </c>
      <c r="H326">
        <v>200</v>
      </c>
      <c r="I326" t="s">
        <v>37</v>
      </c>
      <c r="J326" s="6" t="s">
        <v>124</v>
      </c>
      <c r="K326" s="15">
        <v>1.4</v>
      </c>
      <c r="L326" s="5">
        <v>0</v>
      </c>
      <c r="M326" s="15">
        <v>4.8</v>
      </c>
      <c r="N326">
        <v>4</v>
      </c>
      <c r="O326">
        <v>6</v>
      </c>
      <c r="P326">
        <v>3.6</v>
      </c>
      <c r="Q326">
        <v>6.1</v>
      </c>
      <c r="R326" s="2">
        <f>IF(ISBLANK(Table1[[#This Row],[Age]]),AVERAGE(Table1[Age]),Table1[[#This Row],[Age]])</f>
        <v>23</v>
      </c>
      <c r="S326" t="str">
        <f>PROPER(Table1[[#This Row],[Country]])</f>
        <v>India</v>
      </c>
      <c r="T326" t="str">
        <f>TRIM(Table1[[#This Row],[Profession]])</f>
        <v>Biomedical Engineering Student</v>
      </c>
      <c r="U326" s="5">
        <f>IF(ISBLANK(H326),AVERAGEIF(Table1[Profession imputed],T326,Table1[Monthly_Income]),H326)</f>
        <v>200</v>
      </c>
      <c r="V326" s="6" t="str">
        <f>PROPER(TRIM(Table1[AI_Tool]))</f>
        <v>Grammarly</v>
      </c>
      <c r="W326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27" spans="1:23" x14ac:dyDescent="0.25">
      <c r="A327" t="s">
        <v>744</v>
      </c>
      <c r="B327">
        <v>17</v>
      </c>
      <c r="C327" t="s">
        <v>29</v>
      </c>
      <c r="D327" t="s">
        <v>35</v>
      </c>
      <c r="E327" t="s">
        <v>111</v>
      </c>
      <c r="F327" t="s">
        <v>132</v>
      </c>
      <c r="G327" t="s">
        <v>671</v>
      </c>
      <c r="H327">
        <v>201</v>
      </c>
      <c r="I327" t="s">
        <v>271</v>
      </c>
      <c r="J327" s="6" t="s">
        <v>38</v>
      </c>
      <c r="K327" s="15">
        <v>3.8</v>
      </c>
      <c r="L327" s="5">
        <v>0</v>
      </c>
      <c r="M327" s="15">
        <v>6.5</v>
      </c>
      <c r="N327">
        <v>4</v>
      </c>
      <c r="O327">
        <v>9</v>
      </c>
      <c r="P327">
        <v>7</v>
      </c>
      <c r="Q327">
        <v>7.6</v>
      </c>
      <c r="R327" s="2">
        <f>IF(ISBLANK(Table1[[#This Row],[Age]]),AVERAGE(Table1[Age]),Table1[[#This Row],[Age]])</f>
        <v>17</v>
      </c>
      <c r="S327" t="str">
        <f>PROPER(Table1[[#This Row],[Country]])</f>
        <v>Philippines</v>
      </c>
      <c r="T327" t="str">
        <f>TRIM(Table1[[#This Row],[Profession]])</f>
        <v>English Literature Student</v>
      </c>
      <c r="U327" s="5">
        <f>IF(ISBLANK(H327),AVERAGEIF(Table1[[#This Row],[Profession imputed]],T327,Table1[Monthly_Income]),H327)</f>
        <v>201</v>
      </c>
      <c r="V327" s="6" t="str">
        <f>PROPER(TRIM(Table1[AI_Tool]))</f>
        <v>Chat Gpt</v>
      </c>
      <c r="W327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328" spans="1:23" x14ac:dyDescent="0.25">
      <c r="A328" t="s">
        <v>1144</v>
      </c>
      <c r="B328">
        <v>31</v>
      </c>
      <c r="C328" t="s">
        <v>29</v>
      </c>
      <c r="D328" t="s">
        <v>189</v>
      </c>
      <c r="E328" t="s">
        <v>111</v>
      </c>
      <c r="F328" t="s">
        <v>132</v>
      </c>
      <c r="G328" t="s">
        <v>73</v>
      </c>
      <c r="H328">
        <v>204</v>
      </c>
      <c r="I328" t="s">
        <v>253</v>
      </c>
      <c r="J328" s="6" t="s">
        <v>38</v>
      </c>
      <c r="K328" s="15">
        <v>0.6</v>
      </c>
      <c r="L328" s="5">
        <v>0</v>
      </c>
      <c r="M328" s="15">
        <v>3.3</v>
      </c>
      <c r="N328">
        <v>2</v>
      </c>
      <c r="O328">
        <v>4</v>
      </c>
      <c r="P328">
        <v>3.6</v>
      </c>
      <c r="Q328">
        <v>5.6</v>
      </c>
      <c r="R328" s="2">
        <f>IF(ISBLANK(Table1[[#This Row],[Age]]),AVERAGE(Table1[Age]),Table1[[#This Row],[Age]])</f>
        <v>31</v>
      </c>
      <c r="S328" t="str">
        <f>PROPER(Table1[[#This Row],[Country]])</f>
        <v>Australia</v>
      </c>
      <c r="T328" t="str">
        <f>TRIM(Table1[[#This Row],[Profession]])</f>
        <v>UNKNOWN</v>
      </c>
      <c r="U328" s="5">
        <f>IF(ISBLANK(H328),AVERAGEIF(Table1[[#This Row],[Profession imputed]],T328,Table1[Monthly_Income]),H328)</f>
        <v>204</v>
      </c>
      <c r="V328" s="6" t="str">
        <f>PROPER(TRIM(Table1[AI_Tool]))</f>
        <v>Meta Ai</v>
      </c>
      <c r="W328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29" spans="1:23" x14ac:dyDescent="0.25">
      <c r="A329" t="s">
        <v>712</v>
      </c>
      <c r="B329">
        <v>16</v>
      </c>
      <c r="C329" t="s">
        <v>29</v>
      </c>
      <c r="D329" t="s">
        <v>35</v>
      </c>
      <c r="E329" t="s">
        <v>111</v>
      </c>
      <c r="F329" t="s">
        <v>50</v>
      </c>
      <c r="G329" s="16" t="s">
        <v>671</v>
      </c>
      <c r="H329">
        <v>205</v>
      </c>
      <c r="I329" t="s">
        <v>69</v>
      </c>
      <c r="J329" s="6" t="s">
        <v>38</v>
      </c>
      <c r="K329" s="15">
        <v>0</v>
      </c>
      <c r="L329" s="5">
        <v>0</v>
      </c>
      <c r="M329" s="15">
        <v>6.9</v>
      </c>
      <c r="N329">
        <v>2</v>
      </c>
      <c r="O329">
        <v>6</v>
      </c>
      <c r="P329">
        <v>7.2</v>
      </c>
      <c r="Q329">
        <v>7.2</v>
      </c>
      <c r="R329" s="2">
        <f>IF(ISBLANK(Table1[[#This Row],[Age]]),AVERAGE(Table1[Age]),Table1[[#This Row],[Age]])</f>
        <v>16</v>
      </c>
      <c r="S329" t="str">
        <f>PROPER(Table1[[#This Row],[Country]])</f>
        <v>Philippines</v>
      </c>
      <c r="T329" t="str">
        <f>TRIM(Table1[[#This Row],[Profession]])</f>
        <v>English Literature Student</v>
      </c>
      <c r="U329" s="5">
        <f>IF(ISBLANK(H329),AVERAGEIF(Table1[[#This Row],[Profession imputed]],T329,Table1[Monthly_Income]),H329)</f>
        <v>205</v>
      </c>
      <c r="V329" s="6" t="str">
        <f>PROPER(TRIM(Table1[AI_Tool]))</f>
        <v>Perplexity Ai</v>
      </c>
      <c r="W329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330" spans="1:23" x14ac:dyDescent="0.25">
      <c r="A330" t="s">
        <v>116</v>
      </c>
      <c r="B330">
        <v>21</v>
      </c>
      <c r="C330" t="s">
        <v>29</v>
      </c>
      <c r="D330" t="s">
        <v>117</v>
      </c>
      <c r="E330" t="s">
        <v>111</v>
      </c>
      <c r="F330" t="s">
        <v>55</v>
      </c>
      <c r="G330" t="s">
        <v>118</v>
      </c>
      <c r="H330">
        <v>206</v>
      </c>
      <c r="I330" t="s">
        <v>53</v>
      </c>
      <c r="J330" s="6" t="s">
        <v>33</v>
      </c>
      <c r="K330" s="15">
        <v>9.1</v>
      </c>
      <c r="L330" s="5">
        <v>30</v>
      </c>
      <c r="M330" s="15">
        <v>6.5</v>
      </c>
      <c r="N330">
        <v>3</v>
      </c>
      <c r="O330">
        <v>8</v>
      </c>
      <c r="P330">
        <v>14.9</v>
      </c>
      <c r="Q330">
        <v>5.4</v>
      </c>
      <c r="R330" s="2">
        <f>IF(ISBLANK(Table1[[#This Row],[Age]]),AVERAGE(Table1[Age]),Table1[[#This Row],[Age]])</f>
        <v>21</v>
      </c>
      <c r="S330" t="str">
        <f>PROPER(Table1[[#This Row],[Country]])</f>
        <v>United Kingdom</v>
      </c>
      <c r="T330" t="str">
        <f>TRIM(Table1[[#This Row],[Profession]])</f>
        <v>Artificial Intelligence and Machine Learning Student</v>
      </c>
      <c r="U330" s="5">
        <f>IF(ISBLANK(H330),AVERAGEIF(Table1[[#This Row],[Profession imputed]],T330,Table1[Monthly_Income]),H330)</f>
        <v>206</v>
      </c>
      <c r="V330" s="6" t="str">
        <f>PROPER(TRIM(Table1[AI_Tool]))</f>
        <v>Google Gemini</v>
      </c>
      <c r="W330" s="8">
        <f>IF(ISBLANK(Table1[[#This Row],[Time_Saved_Hours_Per_Week]]),AVERAGEIF(Table1[Satisfaction_Score],Table1[[#This Row],[Satisfaction_Score]],Table1[Time_Saved_Hours_Per_Week]),Table1[[#This Row],[Time_Saved_Hours_Per_Week]])</f>
        <v>14.9</v>
      </c>
    </row>
    <row r="331" spans="1:23" x14ac:dyDescent="0.25">
      <c r="A331" t="s">
        <v>274</v>
      </c>
      <c r="B331">
        <v>20</v>
      </c>
      <c r="C331" t="s">
        <v>29</v>
      </c>
      <c r="D331" t="s">
        <v>52</v>
      </c>
      <c r="E331" t="s">
        <v>111</v>
      </c>
      <c r="F331" t="s">
        <v>50</v>
      </c>
      <c r="G331" t="s">
        <v>270</v>
      </c>
      <c r="H331">
        <v>206</v>
      </c>
      <c r="I331" t="s">
        <v>1186</v>
      </c>
      <c r="J331" s="6" t="s">
        <v>33</v>
      </c>
      <c r="K331" s="15">
        <v>2.4</v>
      </c>
      <c r="L331" s="5">
        <v>20</v>
      </c>
      <c r="M331" s="15">
        <v>5.5</v>
      </c>
      <c r="N331">
        <v>3</v>
      </c>
      <c r="O331">
        <v>5</v>
      </c>
      <c r="P331">
        <v>7.3</v>
      </c>
      <c r="Q331">
        <v>8.6</v>
      </c>
      <c r="R331" s="2">
        <f>IF(ISBLANK(Table1[[#This Row],[Age]]),AVERAGE(Table1[Age]),Table1[[#This Row],[Age]])</f>
        <v>20</v>
      </c>
      <c r="S331" t="str">
        <f>PROPER(Table1[[#This Row],[Country]])</f>
        <v>India</v>
      </c>
      <c r="T331" t="str">
        <f>TRIM(Table1[[#This Row],[Profession]])</f>
        <v>Computer Science Student</v>
      </c>
      <c r="U331" s="5">
        <f>IF(ISBLANK(H331),AVERAGEIF(Table1[Profession imputed],T331,Table1[Monthly_Income]),H331)</f>
        <v>206</v>
      </c>
      <c r="V331" s="6" t="str">
        <f>PROPER(TRIM(Table1[AI_Tool]))</f>
        <v>Google Gemini</v>
      </c>
      <c r="W331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332" spans="1:23" x14ac:dyDescent="0.25">
      <c r="A332" t="s">
        <v>135</v>
      </c>
      <c r="B332">
        <v>23</v>
      </c>
      <c r="C332" t="s">
        <v>22</v>
      </c>
      <c r="D332" t="s">
        <v>92</v>
      </c>
      <c r="E332" t="s">
        <v>111</v>
      </c>
      <c r="F332" t="s">
        <v>132</v>
      </c>
      <c r="G332" t="s">
        <v>133</v>
      </c>
      <c r="I332" t="s">
        <v>271</v>
      </c>
      <c r="J332" s="6" t="s">
        <v>124</v>
      </c>
      <c r="K332" s="15">
        <v>7.4</v>
      </c>
      <c r="L332" s="5">
        <v>0</v>
      </c>
      <c r="M332" s="15">
        <v>8.6999999999999993</v>
      </c>
      <c r="N332">
        <v>3</v>
      </c>
      <c r="O332">
        <v>9</v>
      </c>
      <c r="P332">
        <v>12.3</v>
      </c>
      <c r="Q332">
        <v>6.8</v>
      </c>
      <c r="R332" s="2">
        <f>IF(ISBLANK(Table1[[#This Row],[Age]]),AVERAGE(Table1[Age]),Table1[[#This Row],[Age]])</f>
        <v>23</v>
      </c>
      <c r="S332" t="str">
        <f>PROPER(Table1[[#This Row],[Country]])</f>
        <v>Canada</v>
      </c>
      <c r="T332" t="str">
        <f>TRIM(Table1[[#This Row],[Profession]])</f>
        <v>Biology Student</v>
      </c>
      <c r="U332" s="5">
        <f>IF(ISBLANK(H332),AVERAGEIF(Table1[Profession imputed],T332,Table1[Monthly_Income]),H332)</f>
        <v>206.74358974358975</v>
      </c>
      <c r="V332" s="6" t="str">
        <f>PROPER(TRIM(Table1[AI_Tool]))</f>
        <v>Chat Gpt</v>
      </c>
      <c r="W332" s="8">
        <f>IF(ISBLANK(Table1[[#This Row],[Time_Saved_Hours_Per_Week]]),AVERAGEIF(Table1[Satisfaction_Score],Table1[[#This Row],[Satisfaction_Score]],Table1[Time_Saved_Hours_Per_Week]),Table1[[#This Row],[Time_Saved_Hours_Per_Week]])</f>
        <v>12.3</v>
      </c>
    </row>
    <row r="333" spans="1:23" x14ac:dyDescent="0.25">
      <c r="A333" t="s">
        <v>149</v>
      </c>
      <c r="B333">
        <v>24</v>
      </c>
      <c r="C333" t="s">
        <v>22</v>
      </c>
      <c r="D333" t="s">
        <v>92</v>
      </c>
      <c r="E333" t="s">
        <v>111</v>
      </c>
      <c r="F333" t="s">
        <v>132</v>
      </c>
      <c r="G333" t="s">
        <v>133</v>
      </c>
      <c r="I333" t="s">
        <v>271</v>
      </c>
      <c r="J333" s="6" t="s">
        <v>124</v>
      </c>
      <c r="K333" s="15">
        <v>7.4</v>
      </c>
      <c r="L333" s="5">
        <v>0</v>
      </c>
      <c r="M333" s="15">
        <v>8.6999999999999993</v>
      </c>
      <c r="N333">
        <v>3</v>
      </c>
      <c r="O333">
        <v>9</v>
      </c>
      <c r="P333">
        <v>12.3</v>
      </c>
      <c r="Q333">
        <v>6.8</v>
      </c>
      <c r="R333" s="2">
        <f>IF(ISBLANK(Table1[[#This Row],[Age]]),AVERAGE(Table1[Age]),Table1[[#This Row],[Age]])</f>
        <v>24</v>
      </c>
      <c r="S333" t="str">
        <f>PROPER(Table1[[#This Row],[Country]])</f>
        <v>Canada</v>
      </c>
      <c r="T333" t="str">
        <f>TRIM(Table1[[#This Row],[Profession]])</f>
        <v>Biology Student</v>
      </c>
      <c r="U333" s="5">
        <f>IF(ISBLANK(H333),AVERAGEIF(Table1[Profession imputed],T333,Table1[Monthly_Income]),H333)</f>
        <v>206.74358974358975</v>
      </c>
      <c r="V333" s="6" t="str">
        <f>PROPER(TRIM(Table1[AI_Tool]))</f>
        <v>Chat Gpt</v>
      </c>
      <c r="W333" s="8">
        <f>IF(ISBLANK(Table1[[#This Row],[Time_Saved_Hours_Per_Week]]),AVERAGEIF(Table1[Satisfaction_Score],Table1[[#This Row],[Satisfaction_Score]],Table1[Time_Saved_Hours_Per_Week]),Table1[[#This Row],[Time_Saved_Hours_Per_Week]])</f>
        <v>12.3</v>
      </c>
    </row>
    <row r="334" spans="1:23" x14ac:dyDescent="0.25">
      <c r="A334" t="s">
        <v>168</v>
      </c>
      <c r="B334">
        <v>21</v>
      </c>
      <c r="C334" t="s">
        <v>22</v>
      </c>
      <c r="D334" t="s">
        <v>92</v>
      </c>
      <c r="E334" t="s">
        <v>111</v>
      </c>
      <c r="F334" t="s">
        <v>132</v>
      </c>
      <c r="G334" t="s">
        <v>133</v>
      </c>
      <c r="I334" t="s">
        <v>271</v>
      </c>
      <c r="J334" s="6" t="s">
        <v>124</v>
      </c>
      <c r="K334" s="15">
        <v>7.4</v>
      </c>
      <c r="L334" s="5">
        <v>0</v>
      </c>
      <c r="M334" s="15">
        <v>8.6999999999999993</v>
      </c>
      <c r="N334">
        <v>3</v>
      </c>
      <c r="O334">
        <v>9</v>
      </c>
      <c r="P334">
        <v>12.3</v>
      </c>
      <c r="Q334">
        <v>6.8</v>
      </c>
      <c r="R334" s="2">
        <f>IF(ISBLANK(Table1[[#This Row],[Age]]),AVERAGE(Table1[Age]),Table1[[#This Row],[Age]])</f>
        <v>21</v>
      </c>
      <c r="S334" t="str">
        <f>PROPER(Table1[[#This Row],[Country]])</f>
        <v>Canada</v>
      </c>
      <c r="T334" t="str">
        <f>TRIM(Table1[[#This Row],[Profession]])</f>
        <v>Biology Student</v>
      </c>
      <c r="U334" s="5">
        <f>IF(ISBLANK(H334),AVERAGEIF(Table1[Profession imputed],T334,Table1[Monthly_Income]),H334)</f>
        <v>206.74358974358975</v>
      </c>
      <c r="V334" s="6" t="str">
        <f>PROPER(TRIM(Table1[AI_Tool]))</f>
        <v>Chat Gpt</v>
      </c>
      <c r="W334" s="8">
        <f>IF(ISBLANK(Table1[[#This Row],[Time_Saved_Hours_Per_Week]]),AVERAGEIF(Table1[Satisfaction_Score],Table1[[#This Row],[Satisfaction_Score]],Table1[Time_Saved_Hours_Per_Week]),Table1[[#This Row],[Time_Saved_Hours_Per_Week]])</f>
        <v>12.3</v>
      </c>
    </row>
    <row r="335" spans="1:23" x14ac:dyDescent="0.25">
      <c r="A335" t="s">
        <v>173</v>
      </c>
      <c r="B335">
        <v>24</v>
      </c>
      <c r="C335" t="s">
        <v>22</v>
      </c>
      <c r="D335" t="s">
        <v>92</v>
      </c>
      <c r="E335" t="s">
        <v>111</v>
      </c>
      <c r="F335" t="s">
        <v>132</v>
      </c>
      <c r="G335" t="s">
        <v>133</v>
      </c>
      <c r="I335" t="s">
        <v>271</v>
      </c>
      <c r="J335" s="6" t="s">
        <v>124</v>
      </c>
      <c r="K335" s="15">
        <v>7.4</v>
      </c>
      <c r="L335" s="5">
        <v>0</v>
      </c>
      <c r="M335" s="15">
        <v>8.6999999999999993</v>
      </c>
      <c r="N335">
        <v>3</v>
      </c>
      <c r="O335">
        <v>9</v>
      </c>
      <c r="P335">
        <v>12.3</v>
      </c>
      <c r="Q335">
        <v>6.8</v>
      </c>
      <c r="R335" s="2">
        <f>IF(ISBLANK(Table1[[#This Row],[Age]]),AVERAGE(Table1[Age]),Table1[[#This Row],[Age]])</f>
        <v>24</v>
      </c>
      <c r="S335" t="str">
        <f>PROPER(Table1[[#This Row],[Country]])</f>
        <v>Canada</v>
      </c>
      <c r="T335" t="str">
        <f>TRIM(Table1[[#This Row],[Profession]])</f>
        <v>Biology Student</v>
      </c>
      <c r="U335" s="5">
        <f>IF(ISBLANK(H335),AVERAGEIF(Table1[Profession imputed],T335,Table1[Monthly_Income]),H335)</f>
        <v>206.74358974358975</v>
      </c>
      <c r="V335" s="6" t="str">
        <f>PROPER(TRIM(Table1[AI_Tool]))</f>
        <v>Chat Gpt</v>
      </c>
      <c r="W335" s="8">
        <f>IF(ISBLANK(Table1[[#This Row],[Time_Saved_Hours_Per_Week]]),AVERAGEIF(Table1[Satisfaction_Score],Table1[[#This Row],[Satisfaction_Score]],Table1[Time_Saved_Hours_Per_Week]),Table1[[#This Row],[Time_Saved_Hours_Per_Week]])</f>
        <v>12.3</v>
      </c>
    </row>
    <row r="336" spans="1:23" x14ac:dyDescent="0.25">
      <c r="A336" t="s">
        <v>641</v>
      </c>
      <c r="C336" t="s">
        <v>29</v>
      </c>
      <c r="D336" t="s">
        <v>30</v>
      </c>
      <c r="E336" t="s">
        <v>111</v>
      </c>
      <c r="F336" t="s">
        <v>25</v>
      </c>
      <c r="G336" t="s">
        <v>638</v>
      </c>
      <c r="H336">
        <v>209</v>
      </c>
      <c r="I336" t="s">
        <v>58</v>
      </c>
      <c r="J336" s="6" t="s">
        <v>75</v>
      </c>
      <c r="K336" s="15">
        <v>2.8</v>
      </c>
      <c r="L336" s="5">
        <v>100</v>
      </c>
      <c r="M336" s="15">
        <v>5.4</v>
      </c>
      <c r="N336">
        <v>3</v>
      </c>
      <c r="O336">
        <v>6</v>
      </c>
      <c r="P336">
        <v>6.8</v>
      </c>
      <c r="Q336">
        <v>8.5</v>
      </c>
      <c r="R336" s="2">
        <f>IF(ISBLANK(Table1[[#This Row],[Age]]),AVERAGE(Table1[Age]),Table1[[#This Row],[Age]])</f>
        <v>30.023333333333333</v>
      </c>
      <c r="S336" t="str">
        <f>PROPER(Table1[[#This Row],[Country]])</f>
        <v>Brazil</v>
      </c>
      <c r="T336" t="str">
        <f>TRIM(Table1[[#This Row],[Profession]])</f>
        <v>Digital Media Production Student</v>
      </c>
      <c r="U336" s="5">
        <f>IF(ISBLANK(H336),AVERAGEIF(Table1[Profession imputed],T336,Table1[Monthly_Income]),H336)</f>
        <v>209</v>
      </c>
      <c r="V336" s="6" t="str">
        <f>PROPER(TRIM(Table1[AI_Tool]))</f>
        <v>Claude</v>
      </c>
      <c r="W336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37" spans="1:23" x14ac:dyDescent="0.25">
      <c r="A337" t="s">
        <v>185</v>
      </c>
      <c r="B337">
        <v>21</v>
      </c>
      <c r="C337" t="s">
        <v>22</v>
      </c>
      <c r="D337" t="s">
        <v>52</v>
      </c>
      <c r="E337" t="s">
        <v>111</v>
      </c>
      <c r="F337" t="s">
        <v>132</v>
      </c>
      <c r="G337" t="s">
        <v>179</v>
      </c>
      <c r="H337">
        <v>210</v>
      </c>
      <c r="I337" t="s">
        <v>37</v>
      </c>
      <c r="J337" s="6" t="s">
        <v>124</v>
      </c>
      <c r="K337" s="15">
        <v>1.4</v>
      </c>
      <c r="L337" s="5">
        <v>0</v>
      </c>
      <c r="M337" s="15">
        <v>4.8</v>
      </c>
      <c r="N337">
        <v>4</v>
      </c>
      <c r="O337">
        <v>6</v>
      </c>
      <c r="P337">
        <v>3.6</v>
      </c>
      <c r="Q337">
        <v>6.1</v>
      </c>
      <c r="R337" s="2">
        <f>IF(ISBLANK(Table1[[#This Row],[Age]]),AVERAGE(Table1[Age]),Table1[[#This Row],[Age]])</f>
        <v>21</v>
      </c>
      <c r="S337" t="str">
        <f>PROPER(Table1[[#This Row],[Country]])</f>
        <v>India</v>
      </c>
      <c r="T337" t="str">
        <f>TRIM(Table1[[#This Row],[Profession]])</f>
        <v>Biomedical Engineering Student</v>
      </c>
      <c r="U337" s="5">
        <f>IF(ISBLANK(H337),AVERAGEIF(Table1[Profession imputed],T337,Table1[Monthly_Income]),H337)</f>
        <v>210</v>
      </c>
      <c r="V337" s="6" t="str">
        <f>PROPER(TRIM(Table1[AI_Tool]))</f>
        <v>Grammarly</v>
      </c>
      <c r="W337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38" spans="1:23" x14ac:dyDescent="0.25">
      <c r="A338" t="s">
        <v>305</v>
      </c>
      <c r="B338">
        <v>23</v>
      </c>
      <c r="C338" t="s">
        <v>29</v>
      </c>
      <c r="D338" t="s">
        <v>30</v>
      </c>
      <c r="E338" t="s">
        <v>111</v>
      </c>
      <c r="F338" t="s">
        <v>132</v>
      </c>
      <c r="G338" t="s">
        <v>270</v>
      </c>
      <c r="H338">
        <v>210</v>
      </c>
      <c r="I338" t="s">
        <v>271</v>
      </c>
      <c r="J338" s="6" t="s">
        <v>33</v>
      </c>
      <c r="K338" s="15">
        <v>0.6</v>
      </c>
      <c r="L338" s="5">
        <v>10</v>
      </c>
      <c r="M338" s="15">
        <v>3</v>
      </c>
      <c r="N338">
        <v>4</v>
      </c>
      <c r="O338">
        <v>5</v>
      </c>
      <c r="P338">
        <v>0</v>
      </c>
      <c r="Q338">
        <v>6.5</v>
      </c>
      <c r="R338" s="2">
        <f>IF(ISBLANK(Table1[[#This Row],[Age]]),AVERAGE(Table1[Age]),Table1[[#This Row],[Age]])</f>
        <v>23</v>
      </c>
      <c r="S338" t="str">
        <f>PROPER(Table1[[#This Row],[Country]])</f>
        <v>Brazil</v>
      </c>
      <c r="T338" t="str">
        <f>TRIM(Table1[[#This Row],[Profession]])</f>
        <v>Computer Science Student</v>
      </c>
      <c r="U338" s="5">
        <f>IF(ISBLANK(H338),AVERAGEIF(Table1[Profession imputed],T338,Table1[Monthly_Income]),H338)</f>
        <v>210</v>
      </c>
      <c r="V338" s="6" t="str">
        <f>PROPER(TRIM(Table1[AI_Tool]))</f>
        <v>Chat Gpt</v>
      </c>
      <c r="W338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39" spans="1:23" x14ac:dyDescent="0.25">
      <c r="A339" t="s">
        <v>606</v>
      </c>
      <c r="B339">
        <v>48</v>
      </c>
      <c r="C339" t="s">
        <v>29</v>
      </c>
      <c r="D339" t="s">
        <v>57</v>
      </c>
      <c r="E339" t="s">
        <v>24</v>
      </c>
      <c r="F339" t="s">
        <v>25</v>
      </c>
      <c r="G339" t="s">
        <v>607</v>
      </c>
      <c r="H339">
        <v>210</v>
      </c>
      <c r="I339" t="s">
        <v>271</v>
      </c>
      <c r="J339" s="6" t="s">
        <v>75</v>
      </c>
      <c r="K339" s="15">
        <v>1.8</v>
      </c>
      <c r="L339" s="5">
        <v>10</v>
      </c>
      <c r="M339" s="15">
        <v>3.6</v>
      </c>
      <c r="N339">
        <v>3</v>
      </c>
      <c r="O339">
        <v>4</v>
      </c>
      <c r="P339">
        <v>5.0999999999999996</v>
      </c>
      <c r="Q339">
        <v>9.5</v>
      </c>
      <c r="R339" s="2">
        <f>IF(ISBLANK(Table1[[#This Row],[Age]]),AVERAGE(Table1[Age]),Table1[[#This Row],[Age]])</f>
        <v>48</v>
      </c>
      <c r="S339" t="str">
        <f>PROPER(Table1[[#This Row],[Country]])</f>
        <v>Pakistan</v>
      </c>
      <c r="T339" t="str">
        <f>TRIM(Table1[[#This Row],[Profession]])</f>
        <v>Digital Marketing Manager</v>
      </c>
      <c r="U339" s="5">
        <f>IF(ISBLANK(H339),AVERAGEIF(Table1[Profession imputed],T339,Table1[Monthly_Income]),H339)</f>
        <v>210</v>
      </c>
      <c r="V339" s="6" t="str">
        <f>PROPER(TRIM(Table1[AI_Tool]))</f>
        <v>Chat Gpt</v>
      </c>
      <c r="W339" s="8">
        <f>IF(ISBLANK(Table1[[#This Row],[Time_Saved_Hours_Per_Week]]),AVERAGEIF(Table1[Satisfaction_Score],Table1[[#This Row],[Satisfaction_Score]],Table1[Time_Saved_Hours_Per_Week]),Table1[[#This Row],[Time_Saved_Hours_Per_Week]])</f>
        <v>5.0999999999999996</v>
      </c>
    </row>
    <row r="340" spans="1:23" x14ac:dyDescent="0.25">
      <c r="A340" t="s">
        <v>115</v>
      </c>
      <c r="B340">
        <v>21</v>
      </c>
      <c r="C340" t="s">
        <v>29</v>
      </c>
      <c r="D340" t="s">
        <v>30</v>
      </c>
      <c r="E340" t="s">
        <v>111</v>
      </c>
      <c r="F340" t="s">
        <v>31</v>
      </c>
      <c r="G340" t="s">
        <v>112</v>
      </c>
      <c r="H340">
        <v>212</v>
      </c>
      <c r="I340" t="s">
        <v>113</v>
      </c>
      <c r="J340" s="6" t="s">
        <v>75</v>
      </c>
      <c r="K340" s="15">
        <v>1</v>
      </c>
      <c r="L340" s="5">
        <v>0</v>
      </c>
      <c r="M340" s="15">
        <v>0</v>
      </c>
      <c r="N340">
        <v>0</v>
      </c>
      <c r="O340">
        <v>6</v>
      </c>
      <c r="P340">
        <v>2.7</v>
      </c>
      <c r="Q340">
        <v>6.2</v>
      </c>
      <c r="R340" s="2">
        <f>IF(ISBLANK(Table1[[#This Row],[Age]]),AVERAGE(Table1[Age]),Table1[[#This Row],[Age]])</f>
        <v>21</v>
      </c>
      <c r="S340" t="str">
        <f>PROPER(Table1[[#This Row],[Country]])</f>
        <v>Brazil</v>
      </c>
      <c r="T340" t="str">
        <f>TRIM(Table1[[#This Row],[Profession]])</f>
        <v>Artificial Intelligence &amp; Digital Media Student</v>
      </c>
      <c r="U340" s="5">
        <f>IF(ISBLANK(H340),AVERAGEIF(Table1[[#This Row],[Profession imputed]],T340,Table1[Monthly_Income]),H340)</f>
        <v>212</v>
      </c>
      <c r="V340" s="6" t="str">
        <f>PROPER(TRIM(Table1[AI_Tool]))</f>
        <v>Claude</v>
      </c>
      <c r="W340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341" spans="1:23" x14ac:dyDescent="0.25">
      <c r="A341" t="s">
        <v>273</v>
      </c>
      <c r="B341">
        <v>23</v>
      </c>
      <c r="C341" t="s">
        <v>29</v>
      </c>
      <c r="D341" t="s">
        <v>30</v>
      </c>
      <c r="E341" t="s">
        <v>111</v>
      </c>
      <c r="F341" t="s">
        <v>132</v>
      </c>
      <c r="G341" t="s">
        <v>270</v>
      </c>
      <c r="H341">
        <v>215</v>
      </c>
      <c r="I341" t="s">
        <v>271</v>
      </c>
      <c r="J341" s="6" t="s">
        <v>33</v>
      </c>
      <c r="K341" s="15">
        <v>0.6</v>
      </c>
      <c r="L341" s="5">
        <v>10</v>
      </c>
      <c r="M341" s="15">
        <v>3</v>
      </c>
      <c r="N341">
        <v>4</v>
      </c>
      <c r="O341">
        <v>5</v>
      </c>
      <c r="P341">
        <v>0</v>
      </c>
      <c r="Q341">
        <v>6.5</v>
      </c>
      <c r="R341" s="2">
        <f>IF(ISBLANK(Table1[[#This Row],[Age]]),AVERAGE(Table1[Age]),Table1[[#This Row],[Age]])</f>
        <v>23</v>
      </c>
      <c r="S341" t="str">
        <f>PROPER(Table1[[#This Row],[Country]])</f>
        <v>Brazil</v>
      </c>
      <c r="T341" t="str">
        <f>TRIM(Table1[[#This Row],[Profession]])</f>
        <v>Computer Science Student</v>
      </c>
      <c r="U341" s="5">
        <f>IF(ISBLANK(H341),AVERAGEIF(Table1[Profession imputed],T341,Table1[Monthly_Income]),H341)</f>
        <v>215</v>
      </c>
      <c r="V341" s="6" t="str">
        <f>PROPER(TRIM(Table1[AI_Tool]))</f>
        <v>Chat Gpt</v>
      </c>
      <c r="W341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342" spans="1:23" x14ac:dyDescent="0.25">
      <c r="A342" t="s">
        <v>1185</v>
      </c>
      <c r="B342">
        <v>22</v>
      </c>
      <c r="C342" t="s">
        <v>29</v>
      </c>
      <c r="D342" t="s">
        <v>52</v>
      </c>
      <c r="E342" t="s">
        <v>111</v>
      </c>
      <c r="F342" t="s">
        <v>50</v>
      </c>
      <c r="G342" t="s">
        <v>270</v>
      </c>
      <c r="H342">
        <v>215</v>
      </c>
      <c r="I342" t="s">
        <v>1186</v>
      </c>
      <c r="J342" s="6" t="s">
        <v>33</v>
      </c>
      <c r="K342" s="15">
        <v>2.4</v>
      </c>
      <c r="L342" s="5">
        <v>20</v>
      </c>
      <c r="M342" s="15">
        <v>5.5</v>
      </c>
      <c r="N342">
        <v>3</v>
      </c>
      <c r="O342">
        <v>5</v>
      </c>
      <c r="P342">
        <v>7.3</v>
      </c>
      <c r="Q342">
        <v>8.6</v>
      </c>
      <c r="R342" s="2">
        <f>IF(ISBLANK(Table1[[#This Row],[Age]]),AVERAGE(Table1[Age]),Table1[[#This Row],[Age]])</f>
        <v>22</v>
      </c>
      <c r="S342" t="str">
        <f>PROPER(Table1[[#This Row],[Country]])</f>
        <v>India</v>
      </c>
      <c r="T342" t="str">
        <f>TRIM(Table1[[#This Row],[Profession]])</f>
        <v>Computer Science Student</v>
      </c>
      <c r="U342" s="5">
        <f>IF(ISBLANK(H342),AVERAGEIF(Table1[Profession imputed],T342,Table1[Monthly_Income]),H342)</f>
        <v>215</v>
      </c>
      <c r="V342" s="6" t="str">
        <f>PROPER(TRIM(Table1[AI_Tool]))</f>
        <v>Google Gemini</v>
      </c>
      <c r="W342" s="8">
        <f>IF(ISBLANK(Table1[[#This Row],[Time_Saved_Hours_Per_Week]]),AVERAGEIF(Table1[Satisfaction_Score],Table1[[#This Row],[Satisfaction_Score]],Table1[Time_Saved_Hours_Per_Week]),Table1[[#This Row],[Time_Saved_Hours_Per_Week]])</f>
        <v>7.3</v>
      </c>
    </row>
    <row r="343" spans="1:23" x14ac:dyDescent="0.25">
      <c r="A343" t="s">
        <v>721</v>
      </c>
      <c r="B343">
        <v>16</v>
      </c>
      <c r="C343" t="s">
        <v>29</v>
      </c>
      <c r="D343" t="s">
        <v>35</v>
      </c>
      <c r="E343" t="s">
        <v>111</v>
      </c>
      <c r="F343" t="s">
        <v>50</v>
      </c>
      <c r="G343" t="s">
        <v>671</v>
      </c>
      <c r="H343">
        <v>215</v>
      </c>
      <c r="I343" t="s">
        <v>69</v>
      </c>
      <c r="J343" s="6" t="s">
        <v>38</v>
      </c>
      <c r="K343" s="15">
        <v>0</v>
      </c>
      <c r="L343" s="5">
        <v>0</v>
      </c>
      <c r="M343" s="15">
        <v>6.9</v>
      </c>
      <c r="N343">
        <v>2</v>
      </c>
      <c r="O343">
        <v>6</v>
      </c>
      <c r="P343">
        <v>7.2</v>
      </c>
      <c r="Q343">
        <v>7.2</v>
      </c>
      <c r="R343" s="2">
        <f>IF(ISBLANK(Table1[[#This Row],[Age]]),AVERAGE(Table1[Age]),Table1[[#This Row],[Age]])</f>
        <v>16</v>
      </c>
      <c r="S343" t="str">
        <f>PROPER(Table1[[#This Row],[Country]])</f>
        <v>Philippines</v>
      </c>
      <c r="T343" t="str">
        <f>TRIM(Table1[[#This Row],[Profession]])</f>
        <v>English Literature Student</v>
      </c>
      <c r="U343" s="5">
        <f>IF(ISBLANK(H343),AVERAGEIF(Table1[[#This Row],[Profession imputed]],T343,Table1[Monthly_Income]),H343)</f>
        <v>215</v>
      </c>
      <c r="V343" s="6" t="str">
        <f>PROPER(TRIM(Table1[AI_Tool]))</f>
        <v>Perplexity Ai</v>
      </c>
      <c r="W343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344" spans="1:23" x14ac:dyDescent="0.25">
      <c r="A344" t="s">
        <v>180</v>
      </c>
      <c r="B344">
        <v>23</v>
      </c>
      <c r="C344" t="s">
        <v>22</v>
      </c>
      <c r="D344" t="s">
        <v>52</v>
      </c>
      <c r="E344" t="s">
        <v>111</v>
      </c>
      <c r="F344" t="s">
        <v>132</v>
      </c>
      <c r="G344" t="s">
        <v>179</v>
      </c>
      <c r="H344">
        <v>219</v>
      </c>
      <c r="I344" t="s">
        <v>37</v>
      </c>
      <c r="J344" s="6" t="s">
        <v>124</v>
      </c>
      <c r="K344" s="15">
        <v>1.4</v>
      </c>
      <c r="L344" s="5">
        <v>0</v>
      </c>
      <c r="M344" s="15">
        <v>4.8</v>
      </c>
      <c r="N344">
        <v>4</v>
      </c>
      <c r="O344">
        <v>6</v>
      </c>
      <c r="P344">
        <v>3.6</v>
      </c>
      <c r="Q344">
        <v>6.1</v>
      </c>
      <c r="R344" s="2">
        <f>IF(ISBLANK(Table1[[#This Row],[Age]]),AVERAGE(Table1[Age]),Table1[[#This Row],[Age]])</f>
        <v>23</v>
      </c>
      <c r="S344" t="str">
        <f>PROPER(Table1[[#This Row],[Country]])</f>
        <v>India</v>
      </c>
      <c r="T344" t="str">
        <f>TRIM(Table1[[#This Row],[Profession]])</f>
        <v>Biomedical Engineering Student</v>
      </c>
      <c r="U344" s="5">
        <f>IF(ISBLANK(H344),AVERAGEIF(Table1[Profession imputed],T344,Table1[Monthly_Income]),H344)</f>
        <v>219</v>
      </c>
      <c r="V344" s="6" t="str">
        <f>PROPER(TRIM(Table1[AI_Tool]))</f>
        <v>Grammarly</v>
      </c>
      <c r="W344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45" spans="1:23" x14ac:dyDescent="0.25">
      <c r="A345" t="s">
        <v>617</v>
      </c>
      <c r="B345">
        <v>22</v>
      </c>
      <c r="C345" t="s">
        <v>29</v>
      </c>
      <c r="D345" t="s">
        <v>44</v>
      </c>
      <c r="E345" t="s">
        <v>111</v>
      </c>
      <c r="F345" t="s">
        <v>25</v>
      </c>
      <c r="G345" t="s">
        <v>611</v>
      </c>
      <c r="H345">
        <v>219</v>
      </c>
      <c r="I345" t="s">
        <v>139</v>
      </c>
      <c r="J345" s="6" t="s">
        <v>75</v>
      </c>
      <c r="K345" s="15">
        <v>2.2000000000000002</v>
      </c>
      <c r="L345" s="5">
        <v>0</v>
      </c>
      <c r="M345" s="15">
        <v>4.5</v>
      </c>
      <c r="N345">
        <v>4</v>
      </c>
      <c r="O345">
        <v>5</v>
      </c>
      <c r="P345">
        <v>2</v>
      </c>
      <c r="Q345">
        <v>0</v>
      </c>
      <c r="R345" s="2">
        <f>IF(ISBLANK(Table1[[#This Row],[Age]]),AVERAGE(Table1[Age]),Table1[[#This Row],[Age]])</f>
        <v>22</v>
      </c>
      <c r="S345" t="str">
        <f>PROPER(Table1[[#This Row],[Country]])</f>
        <v>United States</v>
      </c>
      <c r="T345" t="str">
        <f>TRIM(Table1[[#This Row],[Profession]])</f>
        <v>Digital Marketing Student</v>
      </c>
      <c r="U345" s="5">
        <f>IF(ISBLANK(H345),AVERAGEIF(Table1[Profession imputed],T345,Table1[Monthly_Income]),H345)</f>
        <v>219</v>
      </c>
      <c r="V345" s="6" t="str">
        <f>PROPER(TRIM(Table1[AI_Tool]))</f>
        <v>Microsoft Copilot</v>
      </c>
      <c r="W345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346" spans="1:23" x14ac:dyDescent="0.25">
      <c r="A346" t="s">
        <v>725</v>
      </c>
      <c r="B346">
        <v>18</v>
      </c>
      <c r="C346" t="s">
        <v>29</v>
      </c>
      <c r="D346" t="s">
        <v>35</v>
      </c>
      <c r="E346" t="s">
        <v>111</v>
      </c>
      <c r="F346" t="s">
        <v>132</v>
      </c>
      <c r="G346" t="s">
        <v>671</v>
      </c>
      <c r="H346">
        <v>220</v>
      </c>
      <c r="I346" t="s">
        <v>271</v>
      </c>
      <c r="J346" s="6" t="s">
        <v>38</v>
      </c>
      <c r="K346" s="15">
        <v>3.8</v>
      </c>
      <c r="L346" s="5">
        <v>0</v>
      </c>
      <c r="M346" s="15">
        <v>6.5</v>
      </c>
      <c r="N346">
        <v>4</v>
      </c>
      <c r="O346">
        <v>9</v>
      </c>
      <c r="P346">
        <v>7</v>
      </c>
      <c r="Q346">
        <v>7.6</v>
      </c>
      <c r="R346" s="2">
        <f>IF(ISBLANK(Table1[[#This Row],[Age]]),AVERAGE(Table1[Age]),Table1[[#This Row],[Age]])</f>
        <v>18</v>
      </c>
      <c r="S346" t="str">
        <f>PROPER(Table1[[#This Row],[Country]])</f>
        <v>Philippines</v>
      </c>
      <c r="T346" t="str">
        <f>TRIM(Table1[[#This Row],[Profession]])</f>
        <v>English Literature Student</v>
      </c>
      <c r="U346" s="5">
        <f>IF(ISBLANK(H346),AVERAGEIF(Table1[[#This Row],[Profession imputed]],T346,Table1[Monthly_Income]),H346)</f>
        <v>220</v>
      </c>
      <c r="V346" s="6" t="str">
        <f>PROPER(TRIM(Table1[AI_Tool]))</f>
        <v>Chat Gpt</v>
      </c>
      <c r="W346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347" spans="1:23" x14ac:dyDescent="0.25">
      <c r="A347" t="s">
        <v>120</v>
      </c>
      <c r="B347">
        <v>20</v>
      </c>
      <c r="C347" t="s">
        <v>29</v>
      </c>
      <c r="D347" t="s">
        <v>117</v>
      </c>
      <c r="E347" t="s">
        <v>111</v>
      </c>
      <c r="F347" t="s">
        <v>55</v>
      </c>
      <c r="G347" t="s">
        <v>118</v>
      </c>
      <c r="H347">
        <v>221</v>
      </c>
      <c r="I347" t="s">
        <v>53</v>
      </c>
      <c r="J347" s="6" t="s">
        <v>33</v>
      </c>
      <c r="K347" s="15">
        <v>9.1</v>
      </c>
      <c r="L347" s="5">
        <v>30</v>
      </c>
      <c r="M347" s="15">
        <v>6.5</v>
      </c>
      <c r="N347">
        <v>3</v>
      </c>
      <c r="O347">
        <v>8</v>
      </c>
      <c r="P347">
        <v>14.9</v>
      </c>
      <c r="Q347">
        <v>5.4</v>
      </c>
      <c r="R347" s="2">
        <f>IF(ISBLANK(Table1[[#This Row],[Age]]),AVERAGE(Table1[Age]),Table1[[#This Row],[Age]])</f>
        <v>20</v>
      </c>
      <c r="S347" t="str">
        <f>PROPER(Table1[[#This Row],[Country]])</f>
        <v>United Kingdom</v>
      </c>
      <c r="T347" t="str">
        <f>TRIM(Table1[[#This Row],[Profession]])</f>
        <v>Artificial Intelligence and Machine Learning Student</v>
      </c>
      <c r="U347" s="5">
        <f>IF(ISBLANK(H347),AVERAGEIF(Table1[[#This Row],[Profession imputed]],T347,Table1[Monthly_Income]),H347)</f>
        <v>221</v>
      </c>
      <c r="V347" s="6" t="str">
        <f>PROPER(TRIM(Table1[AI_Tool]))</f>
        <v>Google Gemini</v>
      </c>
      <c r="W347" s="8">
        <f>IF(ISBLANK(Table1[[#This Row],[Time_Saved_Hours_Per_Week]]),AVERAGEIF(Table1[Satisfaction_Score],Table1[[#This Row],[Satisfaction_Score]],Table1[Time_Saved_Hours_Per_Week]),Table1[[#This Row],[Time_Saved_Hours_Per_Week]])</f>
        <v>14.9</v>
      </c>
    </row>
    <row r="348" spans="1:23" x14ac:dyDescent="0.25">
      <c r="A348" t="s">
        <v>214</v>
      </c>
      <c r="B348">
        <v>21</v>
      </c>
      <c r="C348" t="s">
        <v>29</v>
      </c>
      <c r="D348" t="s">
        <v>137</v>
      </c>
      <c r="E348" t="s">
        <v>111</v>
      </c>
      <c r="F348" t="s">
        <v>50</v>
      </c>
      <c r="G348" t="s">
        <v>213</v>
      </c>
      <c r="H348">
        <v>221</v>
      </c>
      <c r="I348" t="s">
        <v>69</v>
      </c>
      <c r="J348" s="6" t="s">
        <v>130</v>
      </c>
      <c r="K348" s="15">
        <v>6.5</v>
      </c>
      <c r="L348" s="5">
        <v>10</v>
      </c>
      <c r="M348" s="15">
        <v>8.3000000000000007</v>
      </c>
      <c r="N348">
        <v>2</v>
      </c>
      <c r="O348">
        <v>6</v>
      </c>
      <c r="P348">
        <v>14.2</v>
      </c>
      <c r="Q348">
        <v>4.8</v>
      </c>
      <c r="R348" s="2">
        <f>IF(ISBLANK(Table1[[#This Row],[Age]]),AVERAGE(Table1[Age]),Table1[[#This Row],[Age]])</f>
        <v>21</v>
      </c>
      <c r="S348" t="str">
        <f>PROPER(Table1[[#This Row],[Country]])</f>
        <v>France</v>
      </c>
      <c r="T348" t="str">
        <f>TRIM(Table1[[#This Row],[Profession]])</f>
        <v>Business Administration Student</v>
      </c>
      <c r="U348" s="5">
        <f>IF(ISBLANK(H348),AVERAGEIF(Table1[Profession imputed],T348,Table1[Monthly_Income]),H348)</f>
        <v>221</v>
      </c>
      <c r="V348" s="6" t="str">
        <f>PROPER(TRIM(Table1[AI_Tool]))</f>
        <v>Perplexity Ai</v>
      </c>
      <c r="W348" s="8">
        <f>IF(ISBLANK(Table1[[#This Row],[Time_Saved_Hours_Per_Week]]),AVERAGEIF(Table1[Satisfaction_Score],Table1[[#This Row],[Satisfaction_Score]],Table1[Time_Saved_Hours_Per_Week]),Table1[[#This Row],[Time_Saved_Hours_Per_Week]])</f>
        <v>14.2</v>
      </c>
    </row>
    <row r="349" spans="1:23" x14ac:dyDescent="0.25">
      <c r="A349" t="s">
        <v>281</v>
      </c>
      <c r="B349">
        <v>23</v>
      </c>
      <c r="C349" t="s">
        <v>29</v>
      </c>
      <c r="D349" t="s">
        <v>44</v>
      </c>
      <c r="E349" t="s">
        <v>111</v>
      </c>
      <c r="F349" t="s">
        <v>132</v>
      </c>
      <c r="G349" t="s">
        <v>270</v>
      </c>
      <c r="H349">
        <v>221</v>
      </c>
      <c r="I349" t="s">
        <v>282</v>
      </c>
      <c r="J349" s="6" t="s">
        <v>33</v>
      </c>
      <c r="K349" s="15">
        <v>1.3</v>
      </c>
      <c r="L349" s="5">
        <v>25</v>
      </c>
      <c r="M349" s="15">
        <v>4.5</v>
      </c>
      <c r="N349">
        <v>2</v>
      </c>
      <c r="O349">
        <v>4</v>
      </c>
      <c r="P349">
        <v>3.8</v>
      </c>
      <c r="Q349">
        <v>6.3</v>
      </c>
      <c r="R349" s="2">
        <f>IF(ISBLANK(Table1[[#This Row],[Age]]),AVERAGE(Table1[Age]),Table1[[#This Row],[Age]])</f>
        <v>23</v>
      </c>
      <c r="S349" t="str">
        <f>PROPER(Table1[[#This Row],[Country]])</f>
        <v>United States</v>
      </c>
      <c r="T349" t="str">
        <f>TRIM(Table1[[#This Row],[Profession]])</f>
        <v>Computer Science Student</v>
      </c>
      <c r="U349" s="5">
        <f>IF(ISBLANK(H349),AVERAGEIF(Table1[Profession imputed],T349,Table1[Monthly_Income]),H349)</f>
        <v>221</v>
      </c>
      <c r="V349" s="6" t="str">
        <f>PROPER(TRIM(Table1[AI_Tool]))</f>
        <v>Deepseek</v>
      </c>
      <c r="W349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350" spans="1:23" x14ac:dyDescent="0.25">
      <c r="A350" t="s">
        <v>1170</v>
      </c>
      <c r="B350">
        <v>16</v>
      </c>
      <c r="C350" t="s">
        <v>22</v>
      </c>
      <c r="D350" t="s">
        <v>30</v>
      </c>
      <c r="E350" t="s">
        <v>111</v>
      </c>
      <c r="F350" t="s">
        <v>132</v>
      </c>
      <c r="G350" t="s">
        <v>73</v>
      </c>
      <c r="H350">
        <v>223</v>
      </c>
      <c r="I350" t="s">
        <v>271</v>
      </c>
      <c r="J350" s="6" t="s">
        <v>124</v>
      </c>
      <c r="K350" s="15">
        <v>5.0999999999999996</v>
      </c>
      <c r="L350" s="5">
        <v>0</v>
      </c>
      <c r="M350" s="15">
        <v>8.3000000000000007</v>
      </c>
      <c r="N350">
        <v>5</v>
      </c>
      <c r="O350">
        <v>9</v>
      </c>
      <c r="P350">
        <v>11.4</v>
      </c>
      <c r="Q350">
        <v>7.2</v>
      </c>
      <c r="R350" s="2">
        <f>IF(ISBLANK(Table1[[#This Row],[Age]]),AVERAGE(Table1[Age]),Table1[[#This Row],[Age]])</f>
        <v>16</v>
      </c>
      <c r="S350" t="str">
        <f>PROPER(Table1[[#This Row],[Country]])</f>
        <v>Brazil</v>
      </c>
      <c r="T350" t="str">
        <f>TRIM(Table1[[#This Row],[Profession]])</f>
        <v>UNKNOWN</v>
      </c>
      <c r="U350" s="5">
        <f>IF(ISBLANK(H350),AVERAGEIF(Table1[[#This Row],[Profession imputed]],T350,Table1[Monthly_Income]),H350)</f>
        <v>223</v>
      </c>
      <c r="V350" s="6" t="str">
        <f>PROPER(TRIM(Table1[AI_Tool]))</f>
        <v>Chat Gpt</v>
      </c>
      <c r="W350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351" spans="1:23" x14ac:dyDescent="0.25">
      <c r="A351" t="s">
        <v>121</v>
      </c>
      <c r="B351">
        <v>21</v>
      </c>
      <c r="C351" t="s">
        <v>29</v>
      </c>
      <c r="D351" t="s">
        <v>117</v>
      </c>
      <c r="E351" t="s">
        <v>111</v>
      </c>
      <c r="F351" t="s">
        <v>55</v>
      </c>
      <c r="G351" t="s">
        <v>118</v>
      </c>
      <c r="H351">
        <v>224</v>
      </c>
      <c r="I351" t="s">
        <v>53</v>
      </c>
      <c r="J351" s="6" t="s">
        <v>33</v>
      </c>
      <c r="K351" s="15">
        <v>9.1</v>
      </c>
      <c r="L351" s="5">
        <v>30</v>
      </c>
      <c r="M351" s="15">
        <v>6.5</v>
      </c>
      <c r="N351">
        <v>3</v>
      </c>
      <c r="O351">
        <v>8</v>
      </c>
      <c r="P351">
        <v>14.9</v>
      </c>
      <c r="Q351">
        <v>5.4</v>
      </c>
      <c r="R351" s="2">
        <f>IF(ISBLANK(Table1[[#This Row],[Age]]),AVERAGE(Table1[Age]),Table1[[#This Row],[Age]])</f>
        <v>21</v>
      </c>
      <c r="S351" t="str">
        <f>PROPER(Table1[[#This Row],[Country]])</f>
        <v>United Kingdom</v>
      </c>
      <c r="T351" t="str">
        <f>TRIM(Table1[[#This Row],[Profession]])</f>
        <v>Artificial Intelligence and Machine Learning Student</v>
      </c>
      <c r="U351" s="5">
        <f>IF(ISBLANK(H351),AVERAGEIF(Table1[[#This Row],[Profession imputed]],T351,Table1[Monthly_Income]),H351)</f>
        <v>224</v>
      </c>
      <c r="V351" s="6" t="str">
        <f>PROPER(TRIM(Table1[AI_Tool]))</f>
        <v>Google Gemini</v>
      </c>
      <c r="W351" s="8">
        <f>IF(ISBLANK(Table1[[#This Row],[Time_Saved_Hours_Per_Week]]),AVERAGEIF(Table1[Satisfaction_Score],Table1[[#This Row],[Satisfaction_Score]],Table1[Time_Saved_Hours_Per_Week]),Table1[[#This Row],[Time_Saved_Hours_Per_Week]])</f>
        <v>14.9</v>
      </c>
    </row>
    <row r="352" spans="1:23" x14ac:dyDescent="0.25">
      <c r="A352" t="s">
        <v>609</v>
      </c>
      <c r="B352">
        <v>50</v>
      </c>
      <c r="C352" t="s">
        <v>29</v>
      </c>
      <c r="D352" t="s">
        <v>57</v>
      </c>
      <c r="E352" t="s">
        <v>24</v>
      </c>
      <c r="F352" t="s">
        <v>25</v>
      </c>
      <c r="G352" t="s">
        <v>607</v>
      </c>
      <c r="H352">
        <v>225</v>
      </c>
      <c r="I352" t="s">
        <v>271</v>
      </c>
      <c r="J352" s="6" t="s">
        <v>75</v>
      </c>
      <c r="K352" s="15">
        <v>1.8</v>
      </c>
      <c r="L352" s="5">
        <v>10</v>
      </c>
      <c r="M352" s="15">
        <v>3.6</v>
      </c>
      <c r="N352">
        <v>3</v>
      </c>
      <c r="O352">
        <v>4</v>
      </c>
      <c r="P352">
        <v>5.0999999999999996</v>
      </c>
      <c r="Q352">
        <v>9.5</v>
      </c>
      <c r="R352" s="2">
        <f>IF(ISBLANK(Table1[[#This Row],[Age]]),AVERAGE(Table1[Age]),Table1[[#This Row],[Age]])</f>
        <v>50</v>
      </c>
      <c r="S352" t="str">
        <f>PROPER(Table1[[#This Row],[Country]])</f>
        <v>Pakistan</v>
      </c>
      <c r="T352" t="str">
        <f>TRIM(Table1[[#This Row],[Profession]])</f>
        <v>Digital Marketing Manager</v>
      </c>
      <c r="U352" s="5">
        <f>IF(ISBLANK(H352),AVERAGEIF(Table1[Profession imputed],T352,Table1[Monthly_Income]),H352)</f>
        <v>225</v>
      </c>
      <c r="V352" s="6" t="str">
        <f>PROPER(TRIM(Table1[AI_Tool]))</f>
        <v>Chat Gpt</v>
      </c>
      <c r="W352" s="8">
        <f>IF(ISBLANK(Table1[[#This Row],[Time_Saved_Hours_Per_Week]]),AVERAGEIF(Table1[Satisfaction_Score],Table1[[#This Row],[Satisfaction_Score]],Table1[Time_Saved_Hours_Per_Week]),Table1[[#This Row],[Time_Saved_Hours_Per_Week]])</f>
        <v>5.0999999999999996</v>
      </c>
    </row>
    <row r="353" spans="1:23" x14ac:dyDescent="0.25">
      <c r="A353" t="s">
        <v>1174</v>
      </c>
      <c r="B353">
        <v>33</v>
      </c>
      <c r="C353" t="s">
        <v>29</v>
      </c>
      <c r="D353" t="s">
        <v>189</v>
      </c>
      <c r="E353" t="s">
        <v>111</v>
      </c>
      <c r="F353" t="s">
        <v>132</v>
      </c>
      <c r="G353" t="s">
        <v>73</v>
      </c>
      <c r="H353">
        <v>232</v>
      </c>
      <c r="I353" t="s">
        <v>253</v>
      </c>
      <c r="J353" s="6" t="s">
        <v>38</v>
      </c>
      <c r="K353" s="15">
        <v>0.6</v>
      </c>
      <c r="L353" s="5">
        <v>0</v>
      </c>
      <c r="M353" s="15">
        <v>3.3</v>
      </c>
      <c r="N353">
        <v>2</v>
      </c>
      <c r="O353">
        <v>4</v>
      </c>
      <c r="P353">
        <v>3.6</v>
      </c>
      <c r="Q353">
        <v>5.6</v>
      </c>
      <c r="R353" s="2">
        <f>IF(ISBLANK(Table1[[#This Row],[Age]]),AVERAGE(Table1[Age]),Table1[[#This Row],[Age]])</f>
        <v>33</v>
      </c>
      <c r="S353" t="str">
        <f>PROPER(Table1[[#This Row],[Country]])</f>
        <v>Australia</v>
      </c>
      <c r="T353" t="str">
        <f>TRIM(Table1[[#This Row],[Profession]])</f>
        <v>UNKNOWN</v>
      </c>
      <c r="U353" s="5">
        <f>IF(ISBLANK(H353),AVERAGEIF(Table1[[#This Row],[Profession imputed]],T353,Table1[Monthly_Income]),H353)</f>
        <v>232</v>
      </c>
      <c r="V353" s="6" t="str">
        <f>PROPER(TRIM(Table1[AI_Tool]))</f>
        <v>Meta Ai</v>
      </c>
      <c r="W353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354" spans="1:23" x14ac:dyDescent="0.25">
      <c r="A354" t="s">
        <v>1135</v>
      </c>
      <c r="B354">
        <v>17</v>
      </c>
      <c r="C354" t="s">
        <v>22</v>
      </c>
      <c r="D354" t="s">
        <v>30</v>
      </c>
      <c r="E354" t="s">
        <v>111</v>
      </c>
      <c r="F354" t="s">
        <v>132</v>
      </c>
      <c r="G354" t="s">
        <v>73</v>
      </c>
      <c r="H354">
        <v>234</v>
      </c>
      <c r="I354" t="s">
        <v>271</v>
      </c>
      <c r="J354" s="6" t="s">
        <v>124</v>
      </c>
      <c r="K354" s="15">
        <v>5.0999999999999996</v>
      </c>
      <c r="L354" s="5">
        <v>0</v>
      </c>
      <c r="M354" s="15">
        <v>8.3000000000000007</v>
      </c>
      <c r="N354">
        <v>5</v>
      </c>
      <c r="O354">
        <v>9</v>
      </c>
      <c r="P354">
        <v>11.4</v>
      </c>
      <c r="Q354">
        <v>7.2</v>
      </c>
      <c r="R354" s="2">
        <f>IF(ISBLANK(Table1[[#This Row],[Age]]),AVERAGE(Table1[Age]),Table1[[#This Row],[Age]])</f>
        <v>17</v>
      </c>
      <c r="S354" t="str">
        <f>PROPER(Table1[[#This Row],[Country]])</f>
        <v>Brazil</v>
      </c>
      <c r="T354" t="str">
        <f>TRIM(Table1[[#This Row],[Profession]])</f>
        <v>UNKNOWN</v>
      </c>
      <c r="U354" s="5">
        <f>IF(ISBLANK(H354),AVERAGEIF(Table1[[#This Row],[Profession imputed]],T354,Table1[Monthly_Income]),H354)</f>
        <v>234</v>
      </c>
      <c r="V354" s="6" t="str">
        <f>PROPER(TRIM(Table1[AI_Tool]))</f>
        <v>Chat Gpt</v>
      </c>
      <c r="W354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355" spans="1:23" x14ac:dyDescent="0.25">
      <c r="A355" t="s">
        <v>612</v>
      </c>
      <c r="B355">
        <v>23</v>
      </c>
      <c r="C355" t="s">
        <v>29</v>
      </c>
      <c r="D355" t="s">
        <v>44</v>
      </c>
      <c r="E355" t="s">
        <v>111</v>
      </c>
      <c r="F355" t="s">
        <v>25</v>
      </c>
      <c r="G355" t="s">
        <v>611</v>
      </c>
      <c r="H355">
        <v>237</v>
      </c>
      <c r="I355" t="s">
        <v>139</v>
      </c>
      <c r="J355" s="6" t="s">
        <v>75</v>
      </c>
      <c r="K355" s="15">
        <v>2.2000000000000002</v>
      </c>
      <c r="L355" s="5">
        <v>0</v>
      </c>
      <c r="M355" s="15">
        <v>4.5</v>
      </c>
      <c r="N355">
        <v>4</v>
      </c>
      <c r="O355">
        <v>5</v>
      </c>
      <c r="P355">
        <v>2</v>
      </c>
      <c r="Q355">
        <v>0</v>
      </c>
      <c r="R355" s="2">
        <f>IF(ISBLANK(Table1[[#This Row],[Age]]),AVERAGE(Table1[Age]),Table1[[#This Row],[Age]])</f>
        <v>23</v>
      </c>
      <c r="S355" t="str">
        <f>PROPER(Table1[[#This Row],[Country]])</f>
        <v>United States</v>
      </c>
      <c r="T355" t="str">
        <f>TRIM(Table1[[#This Row],[Profession]])</f>
        <v>Digital Marketing Student</v>
      </c>
      <c r="U355" s="5">
        <f>IF(ISBLANK(H355),AVERAGEIF(Table1[Profession imputed],T355,Table1[Monthly_Income]),H355)</f>
        <v>237</v>
      </c>
      <c r="V355" s="6" t="str">
        <f>PROPER(TRIM(Table1[AI_Tool]))</f>
        <v>Microsoft Copilot</v>
      </c>
      <c r="W355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356" spans="1:23" x14ac:dyDescent="0.25">
      <c r="A356" t="s">
        <v>110</v>
      </c>
      <c r="B356">
        <v>20</v>
      </c>
      <c r="C356" t="s">
        <v>29</v>
      </c>
      <c r="D356" t="s">
        <v>30</v>
      </c>
      <c r="E356" t="s">
        <v>111</v>
      </c>
      <c r="F356" t="s">
        <v>31</v>
      </c>
      <c r="G356" t="s">
        <v>112</v>
      </c>
      <c r="H356">
        <v>238</v>
      </c>
      <c r="I356" t="s">
        <v>113</v>
      </c>
      <c r="J356" s="6" t="s">
        <v>75</v>
      </c>
      <c r="K356" s="15">
        <v>1</v>
      </c>
      <c r="L356" s="5">
        <v>0</v>
      </c>
      <c r="M356" s="15">
        <v>0</v>
      </c>
      <c r="N356">
        <v>0</v>
      </c>
      <c r="O356">
        <v>6</v>
      </c>
      <c r="P356">
        <v>2.7</v>
      </c>
      <c r="Q356">
        <v>6.2</v>
      </c>
      <c r="R356" s="2">
        <f>IF(ISBLANK(Table1[[#This Row],[Age]]),AVERAGE(Table1[Age]),Table1[[#This Row],[Age]])</f>
        <v>20</v>
      </c>
      <c r="S356" t="str">
        <f>PROPER(Table1[[#This Row],[Country]])</f>
        <v>Brazil</v>
      </c>
      <c r="T356" t="str">
        <f>TRIM(Table1[[#This Row],[Profession]])</f>
        <v>Artificial Intelligence &amp; Digital Media Student</v>
      </c>
      <c r="U356" s="5">
        <f>IF(ISBLANK(H356),AVERAGEIF(Table1[[#This Row],[Profession imputed]],T356,Table1[Monthly_Income]),H356)</f>
        <v>238</v>
      </c>
      <c r="V356" s="6" t="str">
        <f>PROPER(TRIM(Table1[AI_Tool]))</f>
        <v>Claude</v>
      </c>
      <c r="W356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357" spans="1:23" x14ac:dyDescent="0.25">
      <c r="A357" t="s">
        <v>114</v>
      </c>
      <c r="B357">
        <v>18</v>
      </c>
      <c r="C357" t="s">
        <v>29</v>
      </c>
      <c r="D357" t="s">
        <v>30</v>
      </c>
      <c r="E357" t="s">
        <v>111</v>
      </c>
      <c r="F357" t="s">
        <v>31</v>
      </c>
      <c r="G357" t="s">
        <v>112</v>
      </c>
      <c r="H357">
        <v>242</v>
      </c>
      <c r="I357" t="s">
        <v>113</v>
      </c>
      <c r="J357" s="6" t="s">
        <v>75</v>
      </c>
      <c r="K357" s="15">
        <v>1</v>
      </c>
      <c r="L357" s="5">
        <v>0</v>
      </c>
      <c r="M357" s="15">
        <v>0</v>
      </c>
      <c r="N357">
        <v>0</v>
      </c>
      <c r="O357">
        <v>6</v>
      </c>
      <c r="P357">
        <v>2.7</v>
      </c>
      <c r="Q357">
        <v>6.2</v>
      </c>
      <c r="R357" s="2">
        <f>IF(ISBLANK(Table1[[#This Row],[Age]]),AVERAGE(Table1[Age]),Table1[[#This Row],[Age]])</f>
        <v>18</v>
      </c>
      <c r="S357" t="str">
        <f>PROPER(Table1[[#This Row],[Country]])</f>
        <v>Brazil</v>
      </c>
      <c r="T357" t="str">
        <f>TRIM(Table1[[#This Row],[Profession]])</f>
        <v>Artificial Intelligence &amp; Digital Media Student</v>
      </c>
      <c r="U357" s="5">
        <f>IF(ISBLANK(H357),AVERAGEIF(Table1[[#This Row],[Profession imputed]],T357,Table1[Monthly_Income]),H357)</f>
        <v>242</v>
      </c>
      <c r="V357" s="6" t="str">
        <f>PROPER(TRIM(Table1[AI_Tool]))</f>
        <v>Claude</v>
      </c>
      <c r="W357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358" spans="1:23" x14ac:dyDescent="0.25">
      <c r="A358" t="s">
        <v>143</v>
      </c>
      <c r="B358">
        <v>97</v>
      </c>
      <c r="C358" t="s">
        <v>22</v>
      </c>
      <c r="D358" t="s">
        <v>44</v>
      </c>
      <c r="E358" t="s">
        <v>111</v>
      </c>
      <c r="F358" t="s">
        <v>132</v>
      </c>
      <c r="G358" t="s">
        <v>133</v>
      </c>
      <c r="H358">
        <v>243</v>
      </c>
      <c r="I358" t="s">
        <v>139</v>
      </c>
      <c r="J358" s="6" t="s">
        <v>124</v>
      </c>
      <c r="K358" s="15">
        <v>0.8</v>
      </c>
      <c r="L358" s="5">
        <v>0</v>
      </c>
      <c r="M358" s="15">
        <v>2.5</v>
      </c>
      <c r="N358">
        <v>3</v>
      </c>
      <c r="O358">
        <v>5</v>
      </c>
      <c r="P358">
        <v>1.3</v>
      </c>
      <c r="Q358">
        <v>6.8</v>
      </c>
      <c r="R358" s="2">
        <f>IF(ISBLANK(Table1[[#This Row],[Age]]),AVERAGE(Table1[Age]),Table1[[#This Row],[Age]])</f>
        <v>97</v>
      </c>
      <c r="S358" t="str">
        <f>PROPER(Table1[[#This Row],[Country]])</f>
        <v>United States</v>
      </c>
      <c r="T358" t="str">
        <f>TRIM(Table1[[#This Row],[Profession]])</f>
        <v>Biology Student</v>
      </c>
      <c r="U358" s="5">
        <f>IF(ISBLANK(H358),AVERAGEIF(Table1[[#This Row],[Profession imputed]],T358,Table1[Monthly_Income]),H358)</f>
        <v>243</v>
      </c>
      <c r="V358" s="6" t="str">
        <f>PROPER(TRIM(Table1[AI_Tool]))</f>
        <v>Microsoft Copilot</v>
      </c>
      <c r="W358" s="8">
        <f>IF(ISBLANK(Table1[[#This Row],[Time_Saved_Hours_Per_Week]]),AVERAGEIF(Table1[Satisfaction_Score],Table1[[#This Row],[Satisfaction_Score]],Table1[Time_Saved_Hours_Per_Week]),Table1[[#This Row],[Time_Saved_Hours_Per_Week]])</f>
        <v>1.3</v>
      </c>
    </row>
    <row r="359" spans="1:23" x14ac:dyDescent="0.25">
      <c r="A359" t="s">
        <v>375</v>
      </c>
      <c r="B359">
        <v>49</v>
      </c>
      <c r="C359" t="s">
        <v>22</v>
      </c>
      <c r="D359" t="s">
        <v>89</v>
      </c>
      <c r="E359" t="s">
        <v>24</v>
      </c>
      <c r="F359" t="s">
        <v>25</v>
      </c>
      <c r="G359" t="s">
        <v>367</v>
      </c>
      <c r="H359">
        <v>243</v>
      </c>
      <c r="I359" t="s">
        <v>271</v>
      </c>
      <c r="J359" s="6" t="s">
        <v>38</v>
      </c>
      <c r="K359" s="15">
        <v>3.2</v>
      </c>
      <c r="L359" s="5">
        <v>0</v>
      </c>
      <c r="M359" s="15">
        <v>0</v>
      </c>
      <c r="N359">
        <v>3</v>
      </c>
      <c r="O359">
        <v>6</v>
      </c>
      <c r="P359">
        <v>10</v>
      </c>
      <c r="Q359">
        <v>7.2</v>
      </c>
      <c r="R359" s="2">
        <f>IF(ISBLANK(Table1[[#This Row],[Age]]),AVERAGE(Table1[Age]),Table1[[#This Row],[Age]])</f>
        <v>49</v>
      </c>
      <c r="S359" t="str">
        <f>PROPER(Table1[[#This Row],[Country]])</f>
        <v>Nigeria</v>
      </c>
      <c r="T359" t="str">
        <f>TRIM(Table1[[#This Row],[Profession]])</f>
        <v>Content Writer</v>
      </c>
      <c r="U359" s="5">
        <f>IF(ISBLANK(H359),AVERAGEIF(Table1[[#This Row],[Profession imputed]],T359,Table1[Monthly_Income]),H359)</f>
        <v>243</v>
      </c>
      <c r="V359" s="6" t="str">
        <f>PROPER(TRIM(Table1[AI_Tool]))</f>
        <v>Chat Gpt</v>
      </c>
      <c r="W359" s="8">
        <f>IF(ISBLANK(Table1[[#This Row],[Time_Saved_Hours_Per_Week]]),AVERAGEIF(Table1[Satisfaction_Score],Table1[[#This Row],[Satisfaction_Score]],Table1[Time_Saved_Hours_Per_Week]),Table1[[#This Row],[Time_Saved_Hours_Per_Week]])</f>
        <v>10</v>
      </c>
    </row>
    <row r="360" spans="1:23" x14ac:dyDescent="0.25">
      <c r="A360" t="s">
        <v>639</v>
      </c>
      <c r="C360" t="s">
        <v>29</v>
      </c>
      <c r="D360" t="s">
        <v>30</v>
      </c>
      <c r="E360" t="s">
        <v>111</v>
      </c>
      <c r="F360" t="s">
        <v>25</v>
      </c>
      <c r="G360" t="s">
        <v>638</v>
      </c>
      <c r="H360">
        <v>243</v>
      </c>
      <c r="I360" t="s">
        <v>58</v>
      </c>
      <c r="J360" s="6" t="s">
        <v>75</v>
      </c>
      <c r="K360" s="15">
        <v>2.8</v>
      </c>
      <c r="L360" s="5">
        <v>100</v>
      </c>
      <c r="M360" s="15">
        <v>5.4</v>
      </c>
      <c r="N360">
        <v>3</v>
      </c>
      <c r="O360">
        <v>6</v>
      </c>
      <c r="P360">
        <v>6.8</v>
      </c>
      <c r="Q360">
        <v>8.5</v>
      </c>
      <c r="R360" s="2">
        <f>IF(ISBLANK(Table1[[#This Row],[Age]]),AVERAGE(Table1[Age]),Table1[[#This Row],[Age]])</f>
        <v>30.023333333333333</v>
      </c>
      <c r="S360" t="str">
        <f>PROPER(Table1[[#This Row],[Country]])</f>
        <v>Brazil</v>
      </c>
      <c r="T360" t="str">
        <f>TRIM(Table1[[#This Row],[Profession]])</f>
        <v>Digital Media Production Student</v>
      </c>
      <c r="U360" s="5">
        <f>IF(ISBLANK(H360),AVERAGEIF(Table1[Profession imputed],T360,Table1[Monthly_Income]),H360)</f>
        <v>243</v>
      </c>
      <c r="V360" s="6" t="str">
        <f>PROPER(TRIM(Table1[AI_Tool]))</f>
        <v>Claude</v>
      </c>
      <c r="W360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61" spans="1:23" x14ac:dyDescent="0.25">
      <c r="A361" t="s">
        <v>643</v>
      </c>
      <c r="C361" t="s">
        <v>29</v>
      </c>
      <c r="D361" t="s">
        <v>30</v>
      </c>
      <c r="E361" t="s">
        <v>111</v>
      </c>
      <c r="F361" t="s">
        <v>25</v>
      </c>
      <c r="G361" t="s">
        <v>638</v>
      </c>
      <c r="H361">
        <v>247</v>
      </c>
      <c r="I361" t="s">
        <v>58</v>
      </c>
      <c r="J361" s="6" t="s">
        <v>75</v>
      </c>
      <c r="K361" s="15">
        <v>2.8</v>
      </c>
      <c r="L361" s="5">
        <v>100</v>
      </c>
      <c r="M361" s="15">
        <v>5.4</v>
      </c>
      <c r="N361">
        <v>3</v>
      </c>
      <c r="O361">
        <v>6</v>
      </c>
      <c r="P361">
        <v>6.8</v>
      </c>
      <c r="Q361">
        <v>8.5</v>
      </c>
      <c r="R361" s="2">
        <f>IF(ISBLANK(Table1[[#This Row],[Age]]),AVERAGE(Table1[Age]),Table1[[#This Row],[Age]])</f>
        <v>30.023333333333333</v>
      </c>
      <c r="S361" t="str">
        <f>PROPER(Table1[[#This Row],[Country]])</f>
        <v>Brazil</v>
      </c>
      <c r="T361" t="str">
        <f>TRIM(Table1[[#This Row],[Profession]])</f>
        <v>Digital Media Production Student</v>
      </c>
      <c r="U361" s="5">
        <f>IF(ISBLANK(H361),AVERAGEIF(Table1[Profession imputed],T361,Table1[Monthly_Income]),H361)</f>
        <v>247</v>
      </c>
      <c r="V361" s="6" t="str">
        <f>PROPER(TRIM(Table1[AI_Tool]))</f>
        <v>Claude</v>
      </c>
      <c r="W361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62" spans="1:23" x14ac:dyDescent="0.25">
      <c r="A362" t="s">
        <v>177</v>
      </c>
      <c r="B362">
        <v>65</v>
      </c>
      <c r="C362" t="s">
        <v>22</v>
      </c>
      <c r="D362" t="s">
        <v>44</v>
      </c>
      <c r="E362" t="s">
        <v>111</v>
      </c>
      <c r="F362" t="s">
        <v>132</v>
      </c>
      <c r="G362" t="s">
        <v>133</v>
      </c>
      <c r="H362">
        <v>248</v>
      </c>
      <c r="I362" t="s">
        <v>139</v>
      </c>
      <c r="J362" s="6" t="s">
        <v>124</v>
      </c>
      <c r="K362" s="15">
        <v>0.8</v>
      </c>
      <c r="L362" s="5">
        <v>0</v>
      </c>
      <c r="M362" s="15">
        <v>2.5</v>
      </c>
      <c r="N362">
        <v>3</v>
      </c>
      <c r="O362">
        <v>5</v>
      </c>
      <c r="P362">
        <v>1.3</v>
      </c>
      <c r="Q362">
        <v>6.8</v>
      </c>
      <c r="R362" s="2">
        <f>IF(ISBLANK(Table1[[#This Row],[Age]]),AVERAGE(Table1[Age]),Table1[[#This Row],[Age]])</f>
        <v>65</v>
      </c>
      <c r="S362" t="str">
        <f>PROPER(Table1[[#This Row],[Country]])</f>
        <v>United States</v>
      </c>
      <c r="T362" t="str">
        <f>TRIM(Table1[[#This Row],[Profession]])</f>
        <v>Biology Student</v>
      </c>
      <c r="U362" s="5">
        <f>IF(ISBLANK(H362),AVERAGEIF(Table1[Profession imputed],T362,Table1[Monthly_Income]),H362)</f>
        <v>248</v>
      </c>
      <c r="V362" s="6" t="str">
        <f>PROPER(TRIM(Table1[AI_Tool]))</f>
        <v>Microsoft Copilot</v>
      </c>
      <c r="W362" s="8">
        <f>IF(ISBLANK(Table1[[#This Row],[Time_Saved_Hours_Per_Week]]),AVERAGEIF(Table1[Satisfaction_Score],Table1[[#This Row],[Satisfaction_Score]],Table1[Time_Saved_Hours_Per_Week]),Table1[[#This Row],[Time_Saved_Hours_Per_Week]])</f>
        <v>1.3</v>
      </c>
    </row>
    <row r="363" spans="1:23" x14ac:dyDescent="0.25">
      <c r="A363" t="s">
        <v>642</v>
      </c>
      <c r="C363" t="s">
        <v>29</v>
      </c>
      <c r="D363" t="s">
        <v>30</v>
      </c>
      <c r="E363" t="s">
        <v>111</v>
      </c>
      <c r="F363" t="s">
        <v>25</v>
      </c>
      <c r="G363" t="s">
        <v>638</v>
      </c>
      <c r="H363">
        <v>253</v>
      </c>
      <c r="I363" t="s">
        <v>58</v>
      </c>
      <c r="J363" s="6" t="s">
        <v>75</v>
      </c>
      <c r="K363" s="15">
        <v>2.8</v>
      </c>
      <c r="L363" s="5">
        <v>100</v>
      </c>
      <c r="M363" s="15">
        <v>5.4</v>
      </c>
      <c r="N363">
        <v>3</v>
      </c>
      <c r="O363">
        <v>6</v>
      </c>
      <c r="P363">
        <v>6.8</v>
      </c>
      <c r="Q363">
        <v>8.5</v>
      </c>
      <c r="R363" s="2">
        <f>IF(ISBLANK(Table1[[#This Row],[Age]]),AVERAGE(Table1[Age]),Table1[[#This Row],[Age]])</f>
        <v>30.023333333333333</v>
      </c>
      <c r="S363" t="str">
        <f>PROPER(Table1[[#This Row],[Country]])</f>
        <v>Brazil</v>
      </c>
      <c r="T363" t="str">
        <f>TRIM(Table1[[#This Row],[Profession]])</f>
        <v>Digital Media Production Student</v>
      </c>
      <c r="U363" s="5">
        <f>IF(ISBLANK(H363),AVERAGEIF(Table1[Profession imputed],T363,Table1[Monthly_Income]),H363)</f>
        <v>253</v>
      </c>
      <c r="V363" s="6" t="str">
        <f>PROPER(TRIM(Table1[AI_Tool]))</f>
        <v>Claude</v>
      </c>
      <c r="W363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64" spans="1:23" x14ac:dyDescent="0.25">
      <c r="A364" t="s">
        <v>907</v>
      </c>
      <c r="B364">
        <v>44</v>
      </c>
      <c r="C364" t="s">
        <v>22</v>
      </c>
      <c r="D364" t="s">
        <v>49</v>
      </c>
      <c r="E364" t="s">
        <v>24</v>
      </c>
      <c r="F364" t="s">
        <v>25</v>
      </c>
      <c r="G364" t="s">
        <v>906</v>
      </c>
      <c r="H364">
        <v>258</v>
      </c>
      <c r="I364" t="s">
        <v>282</v>
      </c>
      <c r="J364" s="6" t="s">
        <v>130</v>
      </c>
      <c r="K364" s="15">
        <v>3.7</v>
      </c>
      <c r="L364" s="5">
        <v>0</v>
      </c>
      <c r="M364" s="15">
        <v>4.5999999999999996</v>
      </c>
      <c r="N364">
        <v>5</v>
      </c>
      <c r="O364">
        <v>6</v>
      </c>
      <c r="P364">
        <v>5.7</v>
      </c>
      <c r="Q364">
        <v>6.9</v>
      </c>
      <c r="R364" s="2">
        <f>IF(ISBLANK(Table1[[#This Row],[Age]]),AVERAGE(Table1[Age]),Table1[[#This Row],[Age]])</f>
        <v>44</v>
      </c>
      <c r="S364" t="str">
        <f>PROPER(Table1[[#This Row],[Country]])</f>
        <v>Kenya</v>
      </c>
      <c r="T364" t="str">
        <f>TRIM(Table1[[#This Row],[Profession]])</f>
        <v>Research Analyst</v>
      </c>
      <c r="U364" s="5">
        <f>IF(ISBLANK(H364),AVERAGEIF(Table1[[#This Row],[Profession imputed]],T364,Table1[Monthly_Income]),H364)</f>
        <v>258</v>
      </c>
      <c r="V364" s="6" t="str">
        <f>PROPER(TRIM(Table1[AI_Tool]))</f>
        <v>Deepseek</v>
      </c>
      <c r="W364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365" spans="1:23" x14ac:dyDescent="0.25">
      <c r="A365" t="s">
        <v>155</v>
      </c>
      <c r="B365">
        <v>65</v>
      </c>
      <c r="C365" t="s">
        <v>22</v>
      </c>
      <c r="D365" t="s">
        <v>44</v>
      </c>
      <c r="E365" t="s">
        <v>111</v>
      </c>
      <c r="F365" t="s">
        <v>132</v>
      </c>
      <c r="G365" t="s">
        <v>133</v>
      </c>
      <c r="H365">
        <v>262</v>
      </c>
      <c r="I365" t="s">
        <v>139</v>
      </c>
      <c r="J365" s="6" t="s">
        <v>124</v>
      </c>
      <c r="K365" s="15">
        <v>0.8</v>
      </c>
      <c r="L365" s="5">
        <v>0</v>
      </c>
      <c r="M365" s="15">
        <v>2.5</v>
      </c>
      <c r="N365">
        <v>3</v>
      </c>
      <c r="O365">
        <v>5</v>
      </c>
      <c r="P365">
        <v>1.3</v>
      </c>
      <c r="Q365">
        <v>6.8</v>
      </c>
      <c r="R365" s="2">
        <f>IF(ISBLANK(Table1[[#This Row],[Age]]),AVERAGE(Table1[Age]),Table1[[#This Row],[Age]])</f>
        <v>65</v>
      </c>
      <c r="S365" t="str">
        <f>PROPER(Table1[[#This Row],[Country]])</f>
        <v>United States</v>
      </c>
      <c r="T365" t="str">
        <f>TRIM(Table1[[#This Row],[Profession]])</f>
        <v>Biology Student</v>
      </c>
      <c r="U365" s="5">
        <f>IF(ISBLANK(H365),AVERAGEIF(Table1[[#This Row],[Profession imputed]],T365,Table1[Monthly_Income]),H365)</f>
        <v>262</v>
      </c>
      <c r="V365" s="6" t="str">
        <f>PROPER(TRIM(Table1[AI_Tool]))</f>
        <v>Microsoft Copilot</v>
      </c>
      <c r="W365" s="8">
        <f>IF(ISBLANK(Table1[[#This Row],[Time_Saved_Hours_Per_Week]]),AVERAGEIF(Table1[Satisfaction_Score],Table1[[#This Row],[Satisfaction_Score]],Table1[Time_Saved_Hours_Per_Week]),Table1[[#This Row],[Time_Saved_Hours_Per_Week]])</f>
        <v>1.3</v>
      </c>
    </row>
    <row r="366" spans="1:23" x14ac:dyDescent="0.25">
      <c r="A366" t="s">
        <v>623</v>
      </c>
      <c r="B366">
        <v>24</v>
      </c>
      <c r="C366" t="s">
        <v>29</v>
      </c>
      <c r="D366" t="s">
        <v>44</v>
      </c>
      <c r="E366" t="s">
        <v>111</v>
      </c>
      <c r="F366" t="s">
        <v>25</v>
      </c>
      <c r="G366" t="s">
        <v>611</v>
      </c>
      <c r="H366">
        <v>263</v>
      </c>
      <c r="I366" t="s">
        <v>139</v>
      </c>
      <c r="J366" s="6" t="s">
        <v>75</v>
      </c>
      <c r="K366" s="15">
        <v>2.2000000000000002</v>
      </c>
      <c r="L366" s="5">
        <v>0</v>
      </c>
      <c r="M366" s="15">
        <v>4.5</v>
      </c>
      <c r="N366">
        <v>4</v>
      </c>
      <c r="O366">
        <v>5</v>
      </c>
      <c r="P366">
        <v>2</v>
      </c>
      <c r="Q366">
        <v>0</v>
      </c>
      <c r="R366" s="2">
        <f>IF(ISBLANK(Table1[[#This Row],[Age]]),AVERAGE(Table1[Age]),Table1[[#This Row],[Age]])</f>
        <v>24</v>
      </c>
      <c r="S366" t="str">
        <f>PROPER(Table1[[#This Row],[Country]])</f>
        <v>United States</v>
      </c>
      <c r="T366" t="str">
        <f>TRIM(Table1[[#This Row],[Profession]])</f>
        <v>Digital Marketing Student</v>
      </c>
      <c r="U366" s="5">
        <f>IF(ISBLANK(H366),AVERAGEIF(Table1[Profession imputed],T366,Table1[Monthly_Income]),H366)</f>
        <v>263</v>
      </c>
      <c r="V366" s="6" t="str">
        <f>PROPER(TRIM(Table1[AI_Tool]))</f>
        <v>Microsoft Copilot</v>
      </c>
      <c r="W366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367" spans="1:23" x14ac:dyDescent="0.25">
      <c r="A367" t="s">
        <v>1156</v>
      </c>
      <c r="B367">
        <v>19</v>
      </c>
      <c r="C367" t="s">
        <v>22</v>
      </c>
      <c r="D367" t="s">
        <v>30</v>
      </c>
      <c r="E367" t="s">
        <v>111</v>
      </c>
      <c r="F367" t="s">
        <v>132</v>
      </c>
      <c r="G367" t="s">
        <v>73</v>
      </c>
      <c r="H367">
        <v>265</v>
      </c>
      <c r="I367" t="s">
        <v>271</v>
      </c>
      <c r="J367" s="6" t="s">
        <v>124</v>
      </c>
      <c r="K367" s="15">
        <v>5.0999999999999996</v>
      </c>
      <c r="L367" s="5">
        <v>0</v>
      </c>
      <c r="M367" s="15">
        <v>8.3000000000000007</v>
      </c>
      <c r="N367">
        <v>5</v>
      </c>
      <c r="O367">
        <v>9</v>
      </c>
      <c r="P367">
        <v>11.4</v>
      </c>
      <c r="Q367">
        <v>7.2</v>
      </c>
      <c r="R367" s="2">
        <f>IF(ISBLANK(Table1[[#This Row],[Age]]),AVERAGE(Table1[Age]),Table1[[#This Row],[Age]])</f>
        <v>19</v>
      </c>
      <c r="S367" t="str">
        <f>PROPER(Table1[[#This Row],[Country]])</f>
        <v>Brazil</v>
      </c>
      <c r="T367" t="str">
        <f>TRIM(Table1[[#This Row],[Profession]])</f>
        <v>UNKNOWN</v>
      </c>
      <c r="U367" s="5">
        <f>IF(ISBLANK(H367),AVERAGEIF(Table1[[#This Row],[Profession imputed]],T367,Table1[Monthly_Income]),H367)</f>
        <v>265</v>
      </c>
      <c r="V367" s="6" t="str">
        <f>PROPER(TRIM(Table1[AI_Tool]))</f>
        <v>Chat Gpt</v>
      </c>
      <c r="W367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368" spans="1:23" x14ac:dyDescent="0.25">
      <c r="A368" t="s">
        <v>646</v>
      </c>
      <c r="C368" t="s">
        <v>29</v>
      </c>
      <c r="D368" t="s">
        <v>30</v>
      </c>
      <c r="E368" t="s">
        <v>111</v>
      </c>
      <c r="F368" t="s">
        <v>25</v>
      </c>
      <c r="G368" t="s">
        <v>638</v>
      </c>
      <c r="H368">
        <v>272</v>
      </c>
      <c r="I368" t="s">
        <v>58</v>
      </c>
      <c r="J368" s="6" t="s">
        <v>75</v>
      </c>
      <c r="K368" s="15">
        <v>2.8</v>
      </c>
      <c r="L368" s="5">
        <v>100</v>
      </c>
      <c r="M368" s="15">
        <v>5.4</v>
      </c>
      <c r="N368">
        <v>3</v>
      </c>
      <c r="O368">
        <v>6</v>
      </c>
      <c r="P368">
        <v>6.8</v>
      </c>
      <c r="Q368">
        <v>8.5</v>
      </c>
      <c r="R368" s="2">
        <f>IF(ISBLANK(Table1[[#This Row],[Age]]),AVERAGE(Table1[Age]),Table1[[#This Row],[Age]])</f>
        <v>30.023333333333333</v>
      </c>
      <c r="S368" t="str">
        <f>PROPER(Table1[[#This Row],[Country]])</f>
        <v>Brazil</v>
      </c>
      <c r="T368" t="str">
        <f>TRIM(Table1[[#This Row],[Profession]])</f>
        <v>Digital Media Production Student</v>
      </c>
      <c r="U368" s="5">
        <f>IF(ISBLANK(H368),AVERAGEIF(Table1[Profession imputed],T368,Table1[Monthly_Income]),H368)</f>
        <v>272</v>
      </c>
      <c r="V368" s="6" t="str">
        <f>PROPER(TRIM(Table1[AI_Tool]))</f>
        <v>Claude</v>
      </c>
      <c r="W368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369" spans="1:23" x14ac:dyDescent="0.25">
      <c r="A369" t="s">
        <v>1163</v>
      </c>
      <c r="B369">
        <v>16</v>
      </c>
      <c r="C369" t="s">
        <v>22</v>
      </c>
      <c r="D369" t="s">
        <v>92</v>
      </c>
      <c r="E369" t="s">
        <v>111</v>
      </c>
      <c r="F369" t="s">
        <v>55</v>
      </c>
      <c r="G369" t="s">
        <v>73</v>
      </c>
      <c r="H369">
        <v>277</v>
      </c>
      <c r="I369" t="s">
        <v>139</v>
      </c>
      <c r="J369" s="6" t="s">
        <v>33</v>
      </c>
      <c r="K369" s="15">
        <v>7.1</v>
      </c>
      <c r="L369" s="5">
        <v>20</v>
      </c>
      <c r="M369" s="15">
        <v>0</v>
      </c>
      <c r="N369">
        <v>2</v>
      </c>
      <c r="O369">
        <v>5</v>
      </c>
      <c r="P369">
        <v>11.6</v>
      </c>
      <c r="Q369">
        <v>3</v>
      </c>
      <c r="R369" s="2">
        <f>IF(ISBLANK(Table1[[#This Row],[Age]]),AVERAGE(Table1[Age]),Table1[[#This Row],[Age]])</f>
        <v>16</v>
      </c>
      <c r="S369" t="str">
        <f>PROPER(Table1[[#This Row],[Country]])</f>
        <v>Canada</v>
      </c>
      <c r="T369" t="str">
        <f>TRIM(Table1[[#This Row],[Profession]])</f>
        <v>UNKNOWN</v>
      </c>
      <c r="U369" s="5">
        <f>IF(ISBLANK(H369),AVERAGEIF(Table1[[#This Row],[Profession imputed]],T369,Table1[Monthly_Income]),H369)</f>
        <v>277</v>
      </c>
      <c r="V369" s="6" t="str">
        <f>PROPER(TRIM(Table1[AI_Tool]))</f>
        <v>Microsoft Copilot</v>
      </c>
      <c r="W369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70" spans="1:23" x14ac:dyDescent="0.25">
      <c r="A370" t="s">
        <v>313</v>
      </c>
      <c r="B370">
        <v>23</v>
      </c>
      <c r="C370" t="s">
        <v>22</v>
      </c>
      <c r="D370" t="s">
        <v>117</v>
      </c>
      <c r="E370" t="s">
        <v>111</v>
      </c>
      <c r="F370" t="s">
        <v>25</v>
      </c>
      <c r="G370" t="s">
        <v>270</v>
      </c>
      <c r="H370">
        <v>279</v>
      </c>
      <c r="I370" t="s">
        <v>139</v>
      </c>
      <c r="J370" s="6" t="s">
        <v>33</v>
      </c>
      <c r="K370" s="15">
        <v>0.7</v>
      </c>
      <c r="L370" s="5">
        <v>0</v>
      </c>
      <c r="M370" s="15">
        <v>5.0999999999999996</v>
      </c>
      <c r="N370">
        <v>4</v>
      </c>
      <c r="O370">
        <v>6</v>
      </c>
      <c r="P370">
        <v>4.8</v>
      </c>
      <c r="Q370">
        <v>4.0999999999999996</v>
      </c>
      <c r="R370" s="2">
        <f>IF(ISBLANK(Table1[[#This Row],[Age]]),AVERAGE(Table1[Age]),Table1[[#This Row],[Age]])</f>
        <v>23</v>
      </c>
      <c r="S370" t="str">
        <f>PROPER(Table1[[#This Row],[Country]])</f>
        <v>United Kingdom</v>
      </c>
      <c r="T370" t="str">
        <f>TRIM(Table1[[#This Row],[Profession]])</f>
        <v>Computer Science Student</v>
      </c>
      <c r="U370" s="5">
        <f>IF(ISBLANK(H370),AVERAGEIF(Table1[Profession imputed],T370,Table1[Monthly_Income]),H370)</f>
        <v>279</v>
      </c>
      <c r="V370" s="6" t="str">
        <f>PROPER(TRIM(Table1[AI_Tool]))</f>
        <v>Microsoft Copilot</v>
      </c>
      <c r="W370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71" spans="1:23" x14ac:dyDescent="0.25">
      <c r="A371" t="s">
        <v>911</v>
      </c>
      <c r="B371">
        <v>42</v>
      </c>
      <c r="C371" t="s">
        <v>22</v>
      </c>
      <c r="D371" t="s">
        <v>49</v>
      </c>
      <c r="E371" t="s">
        <v>24</v>
      </c>
      <c r="F371" t="s">
        <v>25</v>
      </c>
      <c r="G371" t="s">
        <v>906</v>
      </c>
      <c r="H371">
        <v>280</v>
      </c>
      <c r="I371" t="s">
        <v>282</v>
      </c>
      <c r="J371" s="6" t="s">
        <v>130</v>
      </c>
      <c r="K371" s="15">
        <v>3.7</v>
      </c>
      <c r="L371" s="5">
        <v>0</v>
      </c>
      <c r="M371" s="15">
        <v>4.5999999999999996</v>
      </c>
      <c r="N371">
        <v>5</v>
      </c>
      <c r="O371">
        <v>6</v>
      </c>
      <c r="P371">
        <v>5.7</v>
      </c>
      <c r="Q371">
        <v>6.9</v>
      </c>
      <c r="R371" s="2">
        <f>IF(ISBLANK(Table1[[#This Row],[Age]]),AVERAGE(Table1[Age]),Table1[[#This Row],[Age]])</f>
        <v>42</v>
      </c>
      <c r="S371" t="str">
        <f>PROPER(Table1[[#This Row],[Country]])</f>
        <v>Kenya</v>
      </c>
      <c r="T371" t="str">
        <f>TRIM(Table1[[#This Row],[Profession]])</f>
        <v>Research Analyst</v>
      </c>
      <c r="U371" s="5">
        <f>IF(ISBLANK(H371),AVERAGEIF(Table1[[#This Row],[Profession imputed]],T371,Table1[Monthly_Income]),H371)</f>
        <v>280</v>
      </c>
      <c r="V371" s="6" t="str">
        <f>PROPER(TRIM(Table1[AI_Tool]))</f>
        <v>Deepseek</v>
      </c>
      <c r="W371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372" spans="1:23" x14ac:dyDescent="0.25">
      <c r="A372" t="s">
        <v>1149</v>
      </c>
      <c r="B372">
        <v>16</v>
      </c>
      <c r="C372" t="s">
        <v>22</v>
      </c>
      <c r="D372" t="s">
        <v>92</v>
      </c>
      <c r="E372" t="s">
        <v>111</v>
      </c>
      <c r="F372" t="s">
        <v>55</v>
      </c>
      <c r="G372" t="s">
        <v>73</v>
      </c>
      <c r="H372">
        <v>284</v>
      </c>
      <c r="I372" t="s">
        <v>139</v>
      </c>
      <c r="J372" s="6" t="s">
        <v>33</v>
      </c>
      <c r="K372" s="15">
        <v>7.1</v>
      </c>
      <c r="L372" s="5">
        <v>20</v>
      </c>
      <c r="M372" s="15">
        <v>0</v>
      </c>
      <c r="N372">
        <v>2</v>
      </c>
      <c r="O372">
        <v>5</v>
      </c>
      <c r="P372">
        <v>11.6</v>
      </c>
      <c r="Q372">
        <v>3</v>
      </c>
      <c r="R372" s="2">
        <f>IF(ISBLANK(Table1[[#This Row],[Age]]),AVERAGE(Table1[Age]),Table1[[#This Row],[Age]])</f>
        <v>16</v>
      </c>
      <c r="S372" t="str">
        <f>PROPER(Table1[[#This Row],[Country]])</f>
        <v>Canada</v>
      </c>
      <c r="T372" t="str">
        <f>TRIM(Table1[[#This Row],[Profession]])</f>
        <v>UNKNOWN</v>
      </c>
      <c r="U372" s="5">
        <f>IF(ISBLANK(H372),AVERAGEIF(Table1[[#This Row],[Profession imputed]],T372,Table1[Monthly_Income]),H372)</f>
        <v>284</v>
      </c>
      <c r="V372" s="6" t="str">
        <f>PROPER(TRIM(Table1[AI_Tool]))</f>
        <v>Microsoft Copilot</v>
      </c>
      <c r="W372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73" spans="1:23" x14ac:dyDescent="0.25">
      <c r="A373" t="s">
        <v>1175</v>
      </c>
      <c r="B373">
        <v>17</v>
      </c>
      <c r="C373" t="s">
        <v>22</v>
      </c>
      <c r="D373" t="s">
        <v>92</v>
      </c>
      <c r="E373" t="s">
        <v>111</v>
      </c>
      <c r="F373" t="s">
        <v>55</v>
      </c>
      <c r="G373" t="s">
        <v>73</v>
      </c>
      <c r="H373">
        <v>286</v>
      </c>
      <c r="I373" t="s">
        <v>139</v>
      </c>
      <c r="J373" s="6" t="s">
        <v>33</v>
      </c>
      <c r="K373" s="15">
        <v>7.1</v>
      </c>
      <c r="L373" s="5">
        <v>20</v>
      </c>
      <c r="M373" s="15">
        <v>0</v>
      </c>
      <c r="N373">
        <v>2</v>
      </c>
      <c r="O373">
        <v>5</v>
      </c>
      <c r="P373">
        <v>11.6</v>
      </c>
      <c r="Q373">
        <v>3</v>
      </c>
      <c r="R373" s="2">
        <f>IF(ISBLANK(Table1[[#This Row],[Age]]),AVERAGE(Table1[Age]),Table1[[#This Row],[Age]])</f>
        <v>17</v>
      </c>
      <c r="S373" t="str">
        <f>PROPER(Table1[[#This Row],[Country]])</f>
        <v>Canada</v>
      </c>
      <c r="T373" t="str">
        <f>TRIM(Table1[[#This Row],[Profession]])</f>
        <v>UNKNOWN</v>
      </c>
      <c r="U373" s="5">
        <f>IF(ISBLANK(H373),AVERAGEIF(Table1[[#This Row],[Profession imputed]],T373,Table1[Monthly_Income]),H373)</f>
        <v>286</v>
      </c>
      <c r="V373" s="6" t="str">
        <f>PROPER(TRIM(Table1[AI_Tool]))</f>
        <v>Microsoft Copilot</v>
      </c>
      <c r="W373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74" spans="1:23" x14ac:dyDescent="0.25">
      <c r="A374" t="s">
        <v>1158</v>
      </c>
      <c r="B374">
        <v>17</v>
      </c>
      <c r="C374" t="s">
        <v>22</v>
      </c>
      <c r="D374" t="s">
        <v>92</v>
      </c>
      <c r="E374" t="s">
        <v>111</v>
      </c>
      <c r="F374" t="s">
        <v>55</v>
      </c>
      <c r="G374" t="s">
        <v>73</v>
      </c>
      <c r="H374">
        <v>290</v>
      </c>
      <c r="I374" t="s">
        <v>139</v>
      </c>
      <c r="J374" s="6" t="s">
        <v>33</v>
      </c>
      <c r="K374" s="15">
        <v>7.1</v>
      </c>
      <c r="L374" s="5">
        <v>20</v>
      </c>
      <c r="M374" s="15">
        <v>0</v>
      </c>
      <c r="N374">
        <v>2</v>
      </c>
      <c r="O374">
        <v>5</v>
      </c>
      <c r="P374">
        <v>11.6</v>
      </c>
      <c r="Q374">
        <v>3</v>
      </c>
      <c r="R374" s="2">
        <f>IF(ISBLANK(Table1[[#This Row],[Age]]),AVERAGE(Table1[Age]),Table1[[#This Row],[Age]])</f>
        <v>17</v>
      </c>
      <c r="S374" t="str">
        <f>PROPER(Table1[[#This Row],[Country]])</f>
        <v>Canada</v>
      </c>
      <c r="T374" t="str">
        <f>TRIM(Table1[[#This Row],[Profession]])</f>
        <v>UNKNOWN</v>
      </c>
      <c r="U374" s="5">
        <f>IF(ISBLANK(H374),AVERAGEIF(Table1[[#This Row],[Profession imputed]],T374,Table1[Monthly_Income]),H374)</f>
        <v>290</v>
      </c>
      <c r="V374" s="6" t="str">
        <f>PROPER(TRIM(Table1[AI_Tool]))</f>
        <v>Microsoft Copilot</v>
      </c>
      <c r="W374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75" spans="1:23" x14ac:dyDescent="0.25">
      <c r="A375" t="s">
        <v>309</v>
      </c>
      <c r="B375">
        <v>21</v>
      </c>
      <c r="C375" t="s">
        <v>22</v>
      </c>
      <c r="D375" t="s">
        <v>117</v>
      </c>
      <c r="E375" t="s">
        <v>111</v>
      </c>
      <c r="F375" t="s">
        <v>25</v>
      </c>
      <c r="G375" t="s">
        <v>270</v>
      </c>
      <c r="H375">
        <v>297</v>
      </c>
      <c r="I375" t="s">
        <v>139</v>
      </c>
      <c r="J375" s="6" t="s">
        <v>33</v>
      </c>
      <c r="K375" s="15">
        <v>0.7</v>
      </c>
      <c r="L375" s="5">
        <v>0</v>
      </c>
      <c r="M375" s="15">
        <v>5.0999999999999996</v>
      </c>
      <c r="N375">
        <v>4</v>
      </c>
      <c r="O375">
        <v>6</v>
      </c>
      <c r="P375">
        <v>4.8</v>
      </c>
      <c r="Q375">
        <v>4.0999999999999996</v>
      </c>
      <c r="R375" s="2">
        <f>IF(ISBLANK(Table1[[#This Row],[Age]]),AVERAGE(Table1[Age]),Table1[[#This Row],[Age]])</f>
        <v>21</v>
      </c>
      <c r="S375" t="str">
        <f>PROPER(Table1[[#This Row],[Country]])</f>
        <v>United Kingdom</v>
      </c>
      <c r="T375" t="str">
        <f>TRIM(Table1[[#This Row],[Profession]])</f>
        <v>Computer Science Student</v>
      </c>
      <c r="U375" s="5">
        <f>IF(ISBLANK(H375),AVERAGEIF(Table1[Profession imputed],T375,Table1[Monthly_Income]),H375)</f>
        <v>297</v>
      </c>
      <c r="V375" s="6" t="str">
        <f>PROPER(TRIM(Table1[AI_Tool]))</f>
        <v>Microsoft Copilot</v>
      </c>
      <c r="W375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76" spans="1:23" x14ac:dyDescent="0.25">
      <c r="A376" t="s">
        <v>152</v>
      </c>
      <c r="B376">
        <v>31</v>
      </c>
      <c r="C376" t="s">
        <v>22</v>
      </c>
      <c r="D376" t="s">
        <v>137</v>
      </c>
      <c r="E376" t="s">
        <v>111</v>
      </c>
      <c r="F376" t="s">
        <v>132</v>
      </c>
      <c r="G376" t="s">
        <v>133</v>
      </c>
      <c r="H376">
        <v>298</v>
      </c>
      <c r="I376" t="s">
        <v>1186</v>
      </c>
      <c r="J376" s="6" t="s">
        <v>124</v>
      </c>
      <c r="K376" s="15">
        <v>0.7</v>
      </c>
      <c r="L376" s="5">
        <v>0</v>
      </c>
      <c r="M376" s="15">
        <v>3.4</v>
      </c>
      <c r="N376">
        <v>3</v>
      </c>
      <c r="O376">
        <v>5</v>
      </c>
      <c r="P376">
        <v>0.8</v>
      </c>
      <c r="Q376">
        <v>4.5</v>
      </c>
      <c r="R376" s="2">
        <f>IF(ISBLANK(Table1[[#This Row],[Age]]),AVERAGE(Table1[Age]),Table1[[#This Row],[Age]])</f>
        <v>31</v>
      </c>
      <c r="S376" t="str">
        <f>PROPER(Table1[[#This Row],[Country]])</f>
        <v>France</v>
      </c>
      <c r="T376" t="str">
        <f>TRIM(Table1[[#This Row],[Profession]])</f>
        <v>Biology Student</v>
      </c>
      <c r="U376" s="5">
        <f>IF(ISBLANK(H376),AVERAGEIF(Table1[[#This Row],[Profession imputed]],T376,Table1[Monthly_Income]),H376)</f>
        <v>298</v>
      </c>
      <c r="V376" s="6" t="str">
        <f>PROPER(TRIM(Table1[AI_Tool]))</f>
        <v>Google Gemini</v>
      </c>
      <c r="W376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377" spans="1:23" x14ac:dyDescent="0.25">
      <c r="A377" t="s">
        <v>836</v>
      </c>
      <c r="B377">
        <v>27</v>
      </c>
      <c r="C377" t="s">
        <v>22</v>
      </c>
      <c r="D377" t="s">
        <v>44</v>
      </c>
      <c r="E377" t="s">
        <v>111</v>
      </c>
      <c r="F377" t="s">
        <v>55</v>
      </c>
      <c r="G377" t="s">
        <v>832</v>
      </c>
      <c r="H377">
        <v>300</v>
      </c>
      <c r="I377" t="s">
        <v>69</v>
      </c>
      <c r="J377" s="6" t="s">
        <v>33</v>
      </c>
      <c r="K377" s="15">
        <v>1.5</v>
      </c>
      <c r="L377" s="5">
        <v>20</v>
      </c>
      <c r="M377" s="15">
        <v>4</v>
      </c>
      <c r="N377">
        <v>3</v>
      </c>
      <c r="O377">
        <v>6</v>
      </c>
      <c r="P377">
        <v>4.2</v>
      </c>
      <c r="Q377">
        <v>4.9000000000000004</v>
      </c>
      <c r="R377" s="2">
        <f>IF(ISBLANK(Table1[[#This Row],[Age]]),AVERAGE(Table1[Age]),Table1[[#This Row],[Age]])</f>
        <v>27</v>
      </c>
      <c r="S377" t="str">
        <f>PROPER(Table1[[#This Row],[Country]])</f>
        <v>United States</v>
      </c>
      <c r="T377" t="str">
        <f>TRIM(Table1[[#This Row],[Profession]])</f>
        <v>Machine Learning Student</v>
      </c>
      <c r="U377" s="5">
        <f>IF(ISBLANK(H377),AVERAGEIF(Table1[[#This Row],[Profession imputed]],T377,Table1[Monthly_Income]),H377)</f>
        <v>300</v>
      </c>
      <c r="V377" s="6" t="str">
        <f>PROPER(TRIM(Table1[AI_Tool]))</f>
        <v>Perplexity Ai</v>
      </c>
      <c r="W377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378" spans="1:23" x14ac:dyDescent="0.25">
      <c r="A378" t="s">
        <v>136</v>
      </c>
      <c r="B378">
        <v>31</v>
      </c>
      <c r="C378" t="s">
        <v>22</v>
      </c>
      <c r="D378" t="s">
        <v>137</v>
      </c>
      <c r="E378" t="s">
        <v>111</v>
      </c>
      <c r="F378" t="s">
        <v>132</v>
      </c>
      <c r="G378" t="s">
        <v>133</v>
      </c>
      <c r="H378">
        <v>302</v>
      </c>
      <c r="I378" t="s">
        <v>1186</v>
      </c>
      <c r="J378" s="6" t="s">
        <v>124</v>
      </c>
      <c r="K378" s="15">
        <v>0.7</v>
      </c>
      <c r="L378" s="5">
        <v>0</v>
      </c>
      <c r="M378" s="15">
        <v>3.4</v>
      </c>
      <c r="N378">
        <v>3</v>
      </c>
      <c r="O378">
        <v>5</v>
      </c>
      <c r="P378">
        <v>0.8</v>
      </c>
      <c r="Q378">
        <v>4.5</v>
      </c>
      <c r="R378" s="2">
        <f>IF(ISBLANK(Table1[[#This Row],[Age]]),AVERAGE(Table1[Age]),Table1[[#This Row],[Age]])</f>
        <v>31</v>
      </c>
      <c r="S378" t="str">
        <f>PROPER(Table1[[#This Row],[Country]])</f>
        <v>France</v>
      </c>
      <c r="T378" t="str">
        <f>TRIM(Table1[[#This Row],[Profession]])</f>
        <v>Biology Student</v>
      </c>
      <c r="U378" s="5">
        <f>IF(ISBLANK(H378),AVERAGEIF(Table1[[#This Row],[Profession imputed]],T378,Table1[Monthly_Income]),H378)</f>
        <v>302</v>
      </c>
      <c r="V378" s="6" t="str">
        <f>PROPER(TRIM(Table1[AI_Tool]))</f>
        <v>Google Gemini</v>
      </c>
      <c r="W378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379" spans="1:23" x14ac:dyDescent="0.25">
      <c r="A379" t="s">
        <v>174</v>
      </c>
      <c r="B379">
        <v>30</v>
      </c>
      <c r="C379" t="s">
        <v>22</v>
      </c>
      <c r="D379" t="s">
        <v>137</v>
      </c>
      <c r="E379" t="s">
        <v>111</v>
      </c>
      <c r="F379" t="s">
        <v>132</v>
      </c>
      <c r="G379" t="s">
        <v>133</v>
      </c>
      <c r="H379">
        <v>304</v>
      </c>
      <c r="I379" t="s">
        <v>1186</v>
      </c>
      <c r="J379" s="6" t="s">
        <v>124</v>
      </c>
      <c r="K379" s="15">
        <v>0.7</v>
      </c>
      <c r="L379" s="5">
        <v>0</v>
      </c>
      <c r="M379" s="15">
        <v>3.4</v>
      </c>
      <c r="N379">
        <v>3</v>
      </c>
      <c r="O379">
        <v>5</v>
      </c>
      <c r="P379">
        <v>0.8</v>
      </c>
      <c r="Q379">
        <v>4.5</v>
      </c>
      <c r="R379" s="2">
        <f>IF(ISBLANK(Table1[[#This Row],[Age]]),AVERAGE(Table1[Age]),Table1[[#This Row],[Age]])</f>
        <v>30</v>
      </c>
      <c r="S379" t="str">
        <f>PROPER(Table1[[#This Row],[Country]])</f>
        <v>France</v>
      </c>
      <c r="T379" t="str">
        <f>TRIM(Table1[[#This Row],[Profession]])</f>
        <v>Biology Student</v>
      </c>
      <c r="U379" s="5">
        <f>IF(ISBLANK(H379),AVERAGEIF(Table1[Profession imputed],T379,Table1[Monthly_Income]),H379)</f>
        <v>304</v>
      </c>
      <c r="V379" s="6" t="str">
        <f>PROPER(TRIM(Table1[AI_Tool]))</f>
        <v>Google Gemini</v>
      </c>
      <c r="W379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380" spans="1:23" x14ac:dyDescent="0.25">
      <c r="A380" t="s">
        <v>301</v>
      </c>
      <c r="B380">
        <v>24</v>
      </c>
      <c r="C380" t="s">
        <v>22</v>
      </c>
      <c r="D380" t="s">
        <v>117</v>
      </c>
      <c r="E380" t="s">
        <v>111</v>
      </c>
      <c r="F380" t="s">
        <v>25</v>
      </c>
      <c r="G380" t="s">
        <v>270</v>
      </c>
      <c r="H380">
        <v>306</v>
      </c>
      <c r="I380" t="s">
        <v>139</v>
      </c>
      <c r="J380" s="6" t="s">
        <v>33</v>
      </c>
      <c r="K380" s="15">
        <v>0.7</v>
      </c>
      <c r="L380" s="5">
        <v>0</v>
      </c>
      <c r="M380" s="15">
        <v>5.0999999999999996</v>
      </c>
      <c r="N380">
        <v>4</v>
      </c>
      <c r="O380">
        <v>6</v>
      </c>
      <c r="P380">
        <v>4.8</v>
      </c>
      <c r="Q380">
        <v>4.0999999999999996</v>
      </c>
      <c r="R380" s="2">
        <f>IF(ISBLANK(Table1[[#This Row],[Age]]),AVERAGE(Table1[Age]),Table1[[#This Row],[Age]])</f>
        <v>24</v>
      </c>
      <c r="S380" t="str">
        <f>PROPER(Table1[[#This Row],[Country]])</f>
        <v>United Kingdom</v>
      </c>
      <c r="T380" t="str">
        <f>TRIM(Table1[[#This Row],[Profession]])</f>
        <v>Computer Science Student</v>
      </c>
      <c r="U380" s="5">
        <f>IF(ISBLANK(H380),AVERAGEIF(Table1[Profession imputed],T380,Table1[Monthly_Income]),H380)</f>
        <v>306</v>
      </c>
      <c r="V380" s="6" t="str">
        <f>PROPER(TRIM(Table1[AI_Tool]))</f>
        <v>Microsoft Copilot</v>
      </c>
      <c r="W380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81" spans="1:23" x14ac:dyDescent="0.25">
      <c r="A381" t="s">
        <v>1155</v>
      </c>
      <c r="B381">
        <v>18</v>
      </c>
      <c r="C381" t="s">
        <v>22</v>
      </c>
      <c r="D381" t="s">
        <v>92</v>
      </c>
      <c r="E381" t="s">
        <v>111</v>
      </c>
      <c r="F381" t="s">
        <v>55</v>
      </c>
      <c r="G381" t="s">
        <v>73</v>
      </c>
      <c r="H381">
        <v>309</v>
      </c>
      <c r="I381" t="s">
        <v>139</v>
      </c>
      <c r="J381" s="6" t="s">
        <v>33</v>
      </c>
      <c r="K381" s="15">
        <v>7.1</v>
      </c>
      <c r="L381" s="5">
        <v>20</v>
      </c>
      <c r="M381" s="15">
        <v>0</v>
      </c>
      <c r="N381">
        <v>2</v>
      </c>
      <c r="O381">
        <v>5</v>
      </c>
      <c r="P381">
        <v>11.6</v>
      </c>
      <c r="Q381">
        <v>3</v>
      </c>
      <c r="R381" s="2">
        <f>IF(ISBLANK(Table1[[#This Row],[Age]]),AVERAGE(Table1[Age]),Table1[[#This Row],[Age]])</f>
        <v>18</v>
      </c>
      <c r="S381" t="str">
        <f>PROPER(Table1[[#This Row],[Country]])</f>
        <v>Canada</v>
      </c>
      <c r="T381" t="str">
        <f>TRIM(Table1[[#This Row],[Profession]])</f>
        <v>UNKNOWN</v>
      </c>
      <c r="U381" s="5">
        <f>IF(ISBLANK(H381),AVERAGEIF(Table1[[#This Row],[Profession imputed]],T381,Table1[Monthly_Income]),H381)</f>
        <v>309</v>
      </c>
      <c r="V381" s="6" t="str">
        <f>PROPER(TRIM(Table1[AI_Tool]))</f>
        <v>Microsoft Copilot</v>
      </c>
      <c r="W381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82" spans="1:23" x14ac:dyDescent="0.25">
      <c r="A382" t="s">
        <v>919</v>
      </c>
      <c r="B382">
        <v>25</v>
      </c>
      <c r="C382" t="s">
        <v>29</v>
      </c>
      <c r="D382" t="s">
        <v>89</v>
      </c>
      <c r="E382" t="s">
        <v>24</v>
      </c>
      <c r="F382" t="s">
        <v>45</v>
      </c>
      <c r="G382" t="s">
        <v>916</v>
      </c>
      <c r="H382">
        <v>310</v>
      </c>
      <c r="I382" t="s">
        <v>271</v>
      </c>
      <c r="J382" s="6" t="s">
        <v>130</v>
      </c>
      <c r="K382" s="15">
        <v>2.2999999999999998</v>
      </c>
      <c r="L382" s="5">
        <v>20</v>
      </c>
      <c r="M382" s="15">
        <v>3.9</v>
      </c>
      <c r="N382">
        <v>2</v>
      </c>
      <c r="O382">
        <v>5</v>
      </c>
      <c r="P382">
        <v>2.5</v>
      </c>
      <c r="Q382">
        <v>7.7</v>
      </c>
      <c r="R382" s="2">
        <f>IF(ISBLANK(Table1[[#This Row],[Age]]),AVERAGE(Table1[Age]),Table1[[#This Row],[Age]])</f>
        <v>25</v>
      </c>
      <c r="S382" t="str">
        <f>PROPER(Table1[[#This Row],[Country]])</f>
        <v>Nigeria</v>
      </c>
      <c r="T382" t="str">
        <f>TRIM(Table1[[#This Row],[Profession]])</f>
        <v>Research Assistant</v>
      </c>
      <c r="U382" s="5">
        <f>IF(ISBLANK(H382),AVERAGEIF(Table1[[#This Row],[Profession imputed]],T382,Table1[Monthly_Income]),H382)</f>
        <v>310</v>
      </c>
      <c r="V382" s="6" t="str">
        <f>PROPER(TRIM(Table1[AI_Tool]))</f>
        <v>Chat Gpt</v>
      </c>
      <c r="W382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383" spans="1:23" x14ac:dyDescent="0.25">
      <c r="A383" t="s">
        <v>288</v>
      </c>
      <c r="B383">
        <v>23</v>
      </c>
      <c r="C383" t="s">
        <v>22</v>
      </c>
      <c r="D383" t="s">
        <v>117</v>
      </c>
      <c r="E383" t="s">
        <v>111</v>
      </c>
      <c r="F383" t="s">
        <v>25</v>
      </c>
      <c r="G383" t="s">
        <v>270</v>
      </c>
      <c r="H383">
        <v>312</v>
      </c>
      <c r="I383" t="s">
        <v>139</v>
      </c>
      <c r="J383" s="6" t="s">
        <v>33</v>
      </c>
      <c r="K383" s="15">
        <v>0.7</v>
      </c>
      <c r="L383" s="5">
        <v>0</v>
      </c>
      <c r="M383" s="15">
        <v>5.0999999999999996</v>
      </c>
      <c r="N383">
        <v>4</v>
      </c>
      <c r="O383">
        <v>6</v>
      </c>
      <c r="P383">
        <v>4.8</v>
      </c>
      <c r="Q383">
        <v>4.0999999999999996</v>
      </c>
      <c r="R383" s="2">
        <f>IF(ISBLANK(Table1[[#This Row],[Age]]),AVERAGE(Table1[Age]),Table1[[#This Row],[Age]])</f>
        <v>23</v>
      </c>
      <c r="S383" t="str">
        <f>PROPER(Table1[[#This Row],[Country]])</f>
        <v>United Kingdom</v>
      </c>
      <c r="T383" t="str">
        <f>TRIM(Table1[[#This Row],[Profession]])</f>
        <v>Computer Science Student</v>
      </c>
      <c r="U383" s="5">
        <f>IF(ISBLANK(H383),AVERAGEIF(Table1[Profession imputed],T383,Table1[Monthly_Income]),H383)</f>
        <v>312</v>
      </c>
      <c r="V383" s="6" t="str">
        <f>PROPER(TRIM(Table1[AI_Tool]))</f>
        <v>Microsoft Copilot</v>
      </c>
      <c r="W383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384" spans="1:23" x14ac:dyDescent="0.25">
      <c r="A384" t="s">
        <v>834</v>
      </c>
      <c r="B384">
        <v>29</v>
      </c>
      <c r="C384" t="s">
        <v>22</v>
      </c>
      <c r="D384" t="s">
        <v>44</v>
      </c>
      <c r="E384" t="s">
        <v>111</v>
      </c>
      <c r="F384" t="s">
        <v>55</v>
      </c>
      <c r="G384" t="s">
        <v>832</v>
      </c>
      <c r="H384">
        <v>318</v>
      </c>
      <c r="I384" t="s">
        <v>69</v>
      </c>
      <c r="J384" s="6" t="s">
        <v>33</v>
      </c>
      <c r="K384" s="15">
        <v>1.5</v>
      </c>
      <c r="L384" s="5">
        <v>20</v>
      </c>
      <c r="M384" s="15">
        <v>4</v>
      </c>
      <c r="N384">
        <v>3</v>
      </c>
      <c r="O384">
        <v>6</v>
      </c>
      <c r="P384">
        <v>4.2</v>
      </c>
      <c r="Q384">
        <v>4.9000000000000004</v>
      </c>
      <c r="R384" s="2">
        <f>IF(ISBLANK(Table1[[#This Row],[Age]]),AVERAGE(Table1[Age]),Table1[[#This Row],[Age]])</f>
        <v>29</v>
      </c>
      <c r="S384" t="str">
        <f>PROPER(Table1[[#This Row],[Country]])</f>
        <v>United States</v>
      </c>
      <c r="T384" t="str">
        <f>TRIM(Table1[[#This Row],[Profession]])</f>
        <v>Machine Learning Student</v>
      </c>
      <c r="U384" s="5">
        <f>IF(ISBLANK(H384),AVERAGEIF(Table1[[#This Row],[Profession imputed]],T384,Table1[Monthly_Income]),H384)</f>
        <v>318</v>
      </c>
      <c r="V384" s="6" t="str">
        <f>PROPER(TRIM(Table1[AI_Tool]))</f>
        <v>Perplexity Ai</v>
      </c>
      <c r="W384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385" spans="1:23" x14ac:dyDescent="0.25">
      <c r="A385" t="s">
        <v>872</v>
      </c>
      <c r="C385" t="s">
        <v>29</v>
      </c>
      <c r="D385" t="s">
        <v>117</v>
      </c>
      <c r="E385" t="s">
        <v>111</v>
      </c>
      <c r="F385" t="s">
        <v>25</v>
      </c>
      <c r="G385" t="s">
        <v>851</v>
      </c>
      <c r="H385">
        <v>323</v>
      </c>
      <c r="I385" t="s">
        <v>271</v>
      </c>
      <c r="J385" s="6" t="s">
        <v>124</v>
      </c>
      <c r="K385" s="15">
        <v>4.0999999999999996</v>
      </c>
      <c r="L385" s="5">
        <v>20</v>
      </c>
      <c r="M385" s="15">
        <v>5.2</v>
      </c>
      <c r="N385">
        <v>3</v>
      </c>
      <c r="O385">
        <v>7</v>
      </c>
      <c r="P385">
        <v>8.4</v>
      </c>
      <c r="Q385">
        <v>5.9</v>
      </c>
      <c r="R385" s="2">
        <f>IF(ISBLANK(Table1[[#This Row],[Age]]),AVERAGE(Table1[Age]),Table1[[#This Row],[Age]])</f>
        <v>30.023333333333333</v>
      </c>
      <c r="S385" t="str">
        <f>PROPER(Table1[[#This Row],[Country]])</f>
        <v>United Kingdom</v>
      </c>
      <c r="T385" t="str">
        <f>TRIM(Table1[[#This Row],[Profession]])</f>
        <v>Mechanical Engineering Student</v>
      </c>
      <c r="U385" s="5">
        <f>IF(ISBLANK(H385),AVERAGEIF(Table1[[#This Row],[Profession imputed]],T385,Table1[Monthly_Income]),H385)</f>
        <v>323</v>
      </c>
      <c r="V385" s="6" t="str">
        <f>PROPER(TRIM(Table1[AI_Tool]))</f>
        <v>Chat Gpt</v>
      </c>
      <c r="W385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386" spans="1:23" x14ac:dyDescent="0.25">
      <c r="A386" t="s">
        <v>1133</v>
      </c>
      <c r="B386">
        <v>16</v>
      </c>
      <c r="C386" t="s">
        <v>22</v>
      </c>
      <c r="D386" t="s">
        <v>92</v>
      </c>
      <c r="E386" t="s">
        <v>111</v>
      </c>
      <c r="F386" t="s">
        <v>55</v>
      </c>
      <c r="G386" t="s">
        <v>73</v>
      </c>
      <c r="H386">
        <v>324</v>
      </c>
      <c r="I386" t="s">
        <v>139</v>
      </c>
      <c r="J386" s="6" t="s">
        <v>33</v>
      </c>
      <c r="K386" s="15">
        <v>7.1</v>
      </c>
      <c r="L386" s="5">
        <v>20</v>
      </c>
      <c r="M386" s="15">
        <v>0</v>
      </c>
      <c r="N386">
        <v>2</v>
      </c>
      <c r="O386">
        <v>5</v>
      </c>
      <c r="P386">
        <v>11.6</v>
      </c>
      <c r="Q386">
        <v>3</v>
      </c>
      <c r="R386" s="2">
        <f>IF(ISBLANK(Table1[[#This Row],[Age]]),AVERAGE(Table1[Age]),Table1[[#This Row],[Age]])</f>
        <v>16</v>
      </c>
      <c r="S386" t="str">
        <f>PROPER(Table1[[#This Row],[Country]])</f>
        <v>Canada</v>
      </c>
      <c r="T386" t="str">
        <f>TRIM(Table1[[#This Row],[Profession]])</f>
        <v>UNKNOWN</v>
      </c>
      <c r="U386" s="5">
        <f>IF(ISBLANK(H386),AVERAGEIF(Table1[[#This Row],[Profession imputed]],T386,Table1[Monthly_Income]),H386)</f>
        <v>324</v>
      </c>
      <c r="V386" s="6" t="str">
        <f>PROPER(TRIM(Table1[AI_Tool]))</f>
        <v>Microsoft Copilot</v>
      </c>
      <c r="W386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87" spans="1:23" x14ac:dyDescent="0.25">
      <c r="A387" t="s">
        <v>839</v>
      </c>
      <c r="B387">
        <v>28</v>
      </c>
      <c r="C387" t="s">
        <v>22</v>
      </c>
      <c r="D387" t="s">
        <v>44</v>
      </c>
      <c r="E387" t="s">
        <v>111</v>
      </c>
      <c r="F387" t="s">
        <v>55</v>
      </c>
      <c r="G387" t="s">
        <v>832</v>
      </c>
      <c r="H387">
        <v>325</v>
      </c>
      <c r="I387" t="s">
        <v>69</v>
      </c>
      <c r="J387" s="6" t="s">
        <v>33</v>
      </c>
      <c r="K387" s="15">
        <v>1.5</v>
      </c>
      <c r="L387" s="5">
        <v>20</v>
      </c>
      <c r="M387" s="15">
        <v>4</v>
      </c>
      <c r="N387">
        <v>3</v>
      </c>
      <c r="O387">
        <v>6</v>
      </c>
      <c r="P387">
        <v>4.2</v>
      </c>
      <c r="Q387">
        <v>4.9000000000000004</v>
      </c>
      <c r="R387" s="2">
        <f>IF(ISBLANK(Table1[[#This Row],[Age]]),AVERAGE(Table1[Age]),Table1[[#This Row],[Age]])</f>
        <v>28</v>
      </c>
      <c r="S387" t="str">
        <f>PROPER(Table1[[#This Row],[Country]])</f>
        <v>United States</v>
      </c>
      <c r="T387" t="str">
        <f>TRIM(Table1[[#This Row],[Profession]])</f>
        <v>Machine Learning Student</v>
      </c>
      <c r="U387" s="5">
        <f>IF(ISBLANK(H387),AVERAGEIF(Table1[[#This Row],[Profession imputed]],T387,Table1[Monthly_Income]),H387)</f>
        <v>325</v>
      </c>
      <c r="V387" s="6" t="str">
        <f>PROPER(TRIM(Table1[AI_Tool]))</f>
        <v>Perplexity Ai</v>
      </c>
      <c r="W387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388" spans="1:23" x14ac:dyDescent="0.25">
      <c r="A388" t="s">
        <v>859</v>
      </c>
      <c r="C388" t="s">
        <v>29</v>
      </c>
      <c r="D388" t="s">
        <v>117</v>
      </c>
      <c r="E388" t="s">
        <v>111</v>
      </c>
      <c r="F388" t="s">
        <v>25</v>
      </c>
      <c r="G388" t="s">
        <v>851</v>
      </c>
      <c r="H388">
        <v>334</v>
      </c>
      <c r="I388" t="s">
        <v>271</v>
      </c>
      <c r="J388" s="6" t="s">
        <v>124</v>
      </c>
      <c r="K388" s="15">
        <v>4.0999999999999996</v>
      </c>
      <c r="L388" s="5">
        <v>20</v>
      </c>
      <c r="M388" s="15">
        <v>5.2</v>
      </c>
      <c r="N388">
        <v>3</v>
      </c>
      <c r="O388">
        <v>7</v>
      </c>
      <c r="P388">
        <v>8.4</v>
      </c>
      <c r="Q388">
        <v>5.9</v>
      </c>
      <c r="R388" s="2">
        <f>IF(ISBLANK(Table1[[#This Row],[Age]]),AVERAGE(Table1[Age]),Table1[[#This Row],[Age]])</f>
        <v>30.023333333333333</v>
      </c>
      <c r="S388" t="str">
        <f>PROPER(Table1[[#This Row],[Country]])</f>
        <v>United Kingdom</v>
      </c>
      <c r="T388" t="str">
        <f>TRIM(Table1[[#This Row],[Profession]])</f>
        <v>Mechanical Engineering Student</v>
      </c>
      <c r="U388" s="5">
        <f>IF(ISBLANK(H388),AVERAGEIF(Table1[[#This Row],[Profession imputed]],T388,Table1[Monthly_Income]),H388)</f>
        <v>334</v>
      </c>
      <c r="V388" s="6" t="str">
        <f>PROPER(TRIM(Table1[AI_Tool]))</f>
        <v>Chat Gpt</v>
      </c>
      <c r="W388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389" spans="1:23" x14ac:dyDescent="0.25">
      <c r="A389" t="s">
        <v>915</v>
      </c>
      <c r="B389">
        <v>23</v>
      </c>
      <c r="C389" t="s">
        <v>29</v>
      </c>
      <c r="D389" t="s">
        <v>89</v>
      </c>
      <c r="E389" t="s">
        <v>24</v>
      </c>
      <c r="F389" t="s">
        <v>45</v>
      </c>
      <c r="G389" t="s">
        <v>916</v>
      </c>
      <c r="H389">
        <v>334</v>
      </c>
      <c r="I389" t="s">
        <v>271</v>
      </c>
      <c r="J389" s="6" t="s">
        <v>130</v>
      </c>
      <c r="K389" s="15">
        <v>2.2999999999999998</v>
      </c>
      <c r="L389" s="5">
        <v>20</v>
      </c>
      <c r="M389" s="15">
        <v>3.9</v>
      </c>
      <c r="N389">
        <v>2</v>
      </c>
      <c r="O389">
        <v>5</v>
      </c>
      <c r="P389">
        <v>2.5</v>
      </c>
      <c r="Q389">
        <v>7.7</v>
      </c>
      <c r="R389" s="2">
        <f>IF(ISBLANK(Table1[[#This Row],[Age]]),AVERAGE(Table1[Age]),Table1[[#This Row],[Age]])</f>
        <v>23</v>
      </c>
      <c r="S389" t="str">
        <f>PROPER(Table1[[#This Row],[Country]])</f>
        <v>Nigeria</v>
      </c>
      <c r="T389" t="str">
        <f>TRIM(Table1[[#This Row],[Profession]])</f>
        <v>Research Assistant</v>
      </c>
      <c r="U389" s="5">
        <f>IF(ISBLANK(H389),AVERAGEIF(Table1[[#This Row],[Profession imputed]],T389,Table1[Monthly_Income]),H389)</f>
        <v>334</v>
      </c>
      <c r="V389" s="6" t="str">
        <f>PROPER(TRIM(Table1[AI_Tool]))</f>
        <v>Chat Gpt</v>
      </c>
      <c r="W389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390" spans="1:23" x14ac:dyDescent="0.25">
      <c r="A390" t="s">
        <v>833</v>
      </c>
      <c r="B390">
        <v>27</v>
      </c>
      <c r="C390" t="s">
        <v>22</v>
      </c>
      <c r="D390" t="s">
        <v>44</v>
      </c>
      <c r="E390" t="s">
        <v>111</v>
      </c>
      <c r="F390" t="s">
        <v>55</v>
      </c>
      <c r="G390" t="s">
        <v>832</v>
      </c>
      <c r="H390">
        <v>335</v>
      </c>
      <c r="I390" t="s">
        <v>69</v>
      </c>
      <c r="J390" s="6" t="s">
        <v>33</v>
      </c>
      <c r="K390" s="15">
        <v>1.5</v>
      </c>
      <c r="L390" s="5">
        <v>20</v>
      </c>
      <c r="M390" s="15">
        <v>4</v>
      </c>
      <c r="N390">
        <v>3</v>
      </c>
      <c r="O390">
        <v>6</v>
      </c>
      <c r="P390">
        <v>4.2</v>
      </c>
      <c r="Q390">
        <v>4.9000000000000004</v>
      </c>
      <c r="R390" s="2">
        <f>IF(ISBLANK(Table1[[#This Row],[Age]]),AVERAGE(Table1[Age]),Table1[[#This Row],[Age]])</f>
        <v>27</v>
      </c>
      <c r="S390" t="str">
        <f>PROPER(Table1[[#This Row],[Country]])</f>
        <v>United States</v>
      </c>
      <c r="T390" t="str">
        <f>TRIM(Table1[[#This Row],[Profession]])</f>
        <v>Machine Learning Student</v>
      </c>
      <c r="U390" s="5">
        <f>IF(ISBLANK(H390),AVERAGEIF(Table1[[#This Row],[Profession imputed]],T390,Table1[Monthly_Income]),H390)</f>
        <v>335</v>
      </c>
      <c r="V390" s="6" t="str">
        <f>PROPER(TRIM(Table1[AI_Tool]))</f>
        <v>Perplexity Ai</v>
      </c>
      <c r="W390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391" spans="1:23" x14ac:dyDescent="0.25">
      <c r="A391" t="s">
        <v>724</v>
      </c>
      <c r="C391" t="s">
        <v>29</v>
      </c>
      <c r="D391" t="s">
        <v>44</v>
      </c>
      <c r="E391" t="s">
        <v>111</v>
      </c>
      <c r="F391" t="s">
        <v>25</v>
      </c>
      <c r="G391" t="s">
        <v>671</v>
      </c>
      <c r="H391">
        <v>341</v>
      </c>
      <c r="I391" t="s">
        <v>282</v>
      </c>
      <c r="J391" s="6" t="s">
        <v>38</v>
      </c>
      <c r="K391" s="15">
        <v>7.9</v>
      </c>
      <c r="L391" s="5">
        <v>0</v>
      </c>
      <c r="M391" s="15">
        <v>8.9</v>
      </c>
      <c r="N391">
        <v>4</v>
      </c>
      <c r="O391">
        <v>9</v>
      </c>
      <c r="P391">
        <v>14.2</v>
      </c>
      <c r="Q391">
        <v>6</v>
      </c>
      <c r="R391" s="2">
        <f>IF(ISBLANK(Table1[[#This Row],[Age]]),AVERAGE(Table1[Age]),Table1[[#This Row],[Age]])</f>
        <v>30.023333333333333</v>
      </c>
      <c r="S391" t="str">
        <f>PROPER(Table1[[#This Row],[Country]])</f>
        <v>United States</v>
      </c>
      <c r="T391" t="str">
        <f>TRIM(Table1[[#This Row],[Profession]])</f>
        <v>English Literature Student</v>
      </c>
      <c r="U391" s="5">
        <f>IF(ISBLANK(H391),AVERAGEIF(Table1[[#This Row],[Profession imputed]],T391,Table1[Monthly_Income]),H391)</f>
        <v>341</v>
      </c>
      <c r="V391" s="6" t="str">
        <f>PROPER(TRIM(Table1[AI_Tool]))</f>
        <v>Deepseek</v>
      </c>
      <c r="W391" s="8">
        <f>IF(ISBLANK(Table1[[#This Row],[Time_Saved_Hours_Per_Week]]),AVERAGEIF(Table1[Satisfaction_Score],Table1[[#This Row],[Satisfaction_Score]],Table1[Time_Saved_Hours_Per_Week]),Table1[[#This Row],[Time_Saved_Hours_Per_Week]])</f>
        <v>14.2</v>
      </c>
    </row>
    <row r="392" spans="1:23" x14ac:dyDescent="0.25">
      <c r="A392" t="s">
        <v>921</v>
      </c>
      <c r="B392">
        <v>24</v>
      </c>
      <c r="C392" t="s">
        <v>29</v>
      </c>
      <c r="D392" t="s">
        <v>89</v>
      </c>
      <c r="E392" t="s">
        <v>24</v>
      </c>
      <c r="F392" t="s">
        <v>45</v>
      </c>
      <c r="G392" t="s">
        <v>916</v>
      </c>
      <c r="H392">
        <v>344</v>
      </c>
      <c r="I392" t="s">
        <v>271</v>
      </c>
      <c r="J392" s="6" t="s">
        <v>130</v>
      </c>
      <c r="K392" s="15">
        <v>2.2999999999999998</v>
      </c>
      <c r="L392" s="5">
        <v>20</v>
      </c>
      <c r="M392" s="15">
        <v>3.9</v>
      </c>
      <c r="N392">
        <v>2</v>
      </c>
      <c r="O392">
        <v>5</v>
      </c>
      <c r="P392">
        <v>2.5</v>
      </c>
      <c r="Q392">
        <v>7.7</v>
      </c>
      <c r="R392" s="2">
        <f>IF(ISBLANK(Table1[[#This Row],[Age]]),AVERAGE(Table1[Age]),Table1[[#This Row],[Age]])</f>
        <v>24</v>
      </c>
      <c r="S392" t="str">
        <f>PROPER(Table1[[#This Row],[Country]])</f>
        <v>Nigeria</v>
      </c>
      <c r="T392" t="str">
        <f>TRIM(Table1[[#This Row],[Profession]])</f>
        <v>Research Assistant</v>
      </c>
      <c r="U392" s="5">
        <f>IF(ISBLANK(H392),AVERAGEIF(Table1[[#This Row],[Profession imputed]],T392,Table1[Monthly_Income]),H392)</f>
        <v>344</v>
      </c>
      <c r="V392" s="6" t="str">
        <f>PROPER(TRIM(Table1[AI_Tool]))</f>
        <v>Chat Gpt</v>
      </c>
      <c r="W392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393" spans="1:23" x14ac:dyDescent="0.25">
      <c r="A393" t="s">
        <v>918</v>
      </c>
      <c r="B393">
        <v>24</v>
      </c>
      <c r="C393" t="s">
        <v>29</v>
      </c>
      <c r="D393" t="s">
        <v>89</v>
      </c>
      <c r="E393" t="s">
        <v>24</v>
      </c>
      <c r="F393" t="s">
        <v>45</v>
      </c>
      <c r="G393" t="s">
        <v>916</v>
      </c>
      <c r="H393">
        <v>345</v>
      </c>
      <c r="I393" t="s">
        <v>271</v>
      </c>
      <c r="J393" s="6" t="s">
        <v>130</v>
      </c>
      <c r="K393" s="15">
        <v>2.2999999999999998</v>
      </c>
      <c r="L393" s="5">
        <v>20</v>
      </c>
      <c r="M393" s="15">
        <v>3.9</v>
      </c>
      <c r="N393">
        <v>2</v>
      </c>
      <c r="O393">
        <v>5</v>
      </c>
      <c r="P393">
        <v>2.5</v>
      </c>
      <c r="Q393">
        <v>7.7</v>
      </c>
      <c r="R393" s="2">
        <f>IF(ISBLANK(Table1[[#This Row],[Age]]),AVERAGE(Table1[Age]),Table1[[#This Row],[Age]])</f>
        <v>24</v>
      </c>
      <c r="S393" t="str">
        <f>PROPER(Table1[[#This Row],[Country]])</f>
        <v>Nigeria</v>
      </c>
      <c r="T393" t="str">
        <f>TRIM(Table1[[#This Row],[Profession]])</f>
        <v>Research Assistant</v>
      </c>
      <c r="U393" s="5">
        <f>IF(ISBLANK(H393),AVERAGEIF(Table1[[#This Row],[Profession imputed]],T393,Table1[Monthly_Income]),H393)</f>
        <v>345</v>
      </c>
      <c r="V393" s="6" t="str">
        <f>PROPER(TRIM(Table1[AI_Tool]))</f>
        <v>Chat Gpt</v>
      </c>
      <c r="W393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394" spans="1:23" x14ac:dyDescent="0.25">
      <c r="A394" t="s">
        <v>759</v>
      </c>
      <c r="B394">
        <v>17</v>
      </c>
      <c r="C394" t="s">
        <v>22</v>
      </c>
      <c r="D394" t="s">
        <v>73</v>
      </c>
      <c r="E394" t="s">
        <v>111</v>
      </c>
      <c r="F394" t="s">
        <v>132</v>
      </c>
      <c r="G394" t="s">
        <v>757</v>
      </c>
      <c r="I394" t="s">
        <v>271</v>
      </c>
      <c r="J394" s="6" t="s">
        <v>130</v>
      </c>
      <c r="K394" s="15">
        <v>6.1</v>
      </c>
      <c r="L394" s="5">
        <v>30</v>
      </c>
      <c r="M394" s="15">
        <v>7</v>
      </c>
      <c r="N394">
        <v>4</v>
      </c>
      <c r="O394">
        <v>8</v>
      </c>
      <c r="P394">
        <v>8.9</v>
      </c>
      <c r="Q394">
        <v>7.8</v>
      </c>
      <c r="R394" s="2">
        <f>IF(ISBLANK(Table1[[#This Row],[Age]]),AVERAGE(Table1[Age]),Table1[[#This Row],[Age]])</f>
        <v>17</v>
      </c>
      <c r="S394" t="str">
        <f>PROPER(Table1[[#This Row],[Country]])</f>
        <v>Unknown</v>
      </c>
      <c r="T394" t="str">
        <f>TRIM(Table1[[#This Row],[Profession]])</f>
        <v>Environmental Science Student</v>
      </c>
      <c r="U394" s="5">
        <f>IF(ISBLANK(H394),AVERAGEIF(Table1[Profession imputed],T394,Table1[Monthly_Income]),H394)</f>
        <v>349.33333333333331</v>
      </c>
      <c r="V394" s="6" t="str">
        <f>PROPER(TRIM(Table1[AI_Tool]))</f>
        <v>Chat Gpt</v>
      </c>
      <c r="W394" s="8">
        <f>IF(ISBLANK(Table1[[#This Row],[Time_Saved_Hours_Per_Week]]),AVERAGEIF(Table1[Satisfaction_Score],Table1[[#This Row],[Satisfaction_Score]],Table1[Time_Saved_Hours_Per_Week]),Table1[[#This Row],[Time_Saved_Hours_Per_Week]])</f>
        <v>8.9</v>
      </c>
    </row>
    <row r="395" spans="1:23" x14ac:dyDescent="0.25">
      <c r="A395" t="s">
        <v>761</v>
      </c>
      <c r="B395">
        <v>17</v>
      </c>
      <c r="C395" t="s">
        <v>22</v>
      </c>
      <c r="D395" t="s">
        <v>73</v>
      </c>
      <c r="E395" t="s">
        <v>111</v>
      </c>
      <c r="F395" t="s">
        <v>132</v>
      </c>
      <c r="G395" t="s">
        <v>757</v>
      </c>
      <c r="I395" t="s">
        <v>271</v>
      </c>
      <c r="J395" s="6" t="s">
        <v>130</v>
      </c>
      <c r="K395" s="15">
        <v>6.1</v>
      </c>
      <c r="L395" s="5">
        <v>30</v>
      </c>
      <c r="M395" s="15">
        <v>7</v>
      </c>
      <c r="N395">
        <v>4</v>
      </c>
      <c r="O395">
        <v>8</v>
      </c>
      <c r="P395">
        <v>8.9</v>
      </c>
      <c r="Q395">
        <v>7.8</v>
      </c>
      <c r="R395" s="2">
        <f>IF(ISBLANK(Table1[[#This Row],[Age]]),AVERAGE(Table1[Age]),Table1[[#This Row],[Age]])</f>
        <v>17</v>
      </c>
      <c r="S395" t="str">
        <f>PROPER(Table1[[#This Row],[Country]])</f>
        <v>Unknown</v>
      </c>
      <c r="T395" t="str">
        <f>TRIM(Table1[[#This Row],[Profession]])</f>
        <v>Environmental Science Student</v>
      </c>
      <c r="U395" s="5">
        <f>IF(ISBLANK(H395),AVERAGEIF(Table1[Profession imputed],T395,Table1[Monthly_Income]),H395)</f>
        <v>349.33333333333331</v>
      </c>
      <c r="V395" s="6" t="str">
        <f>PROPER(TRIM(Table1[AI_Tool]))</f>
        <v>Chat Gpt</v>
      </c>
      <c r="W395" s="8">
        <f>IF(ISBLANK(Table1[[#This Row],[Time_Saved_Hours_Per_Week]]),AVERAGEIF(Table1[Satisfaction_Score],Table1[[#This Row],[Satisfaction_Score]],Table1[Time_Saved_Hours_Per_Week]),Table1[[#This Row],[Time_Saved_Hours_Per_Week]])</f>
        <v>8.9</v>
      </c>
    </row>
    <row r="396" spans="1:23" x14ac:dyDescent="0.25">
      <c r="A396" t="s">
        <v>765</v>
      </c>
      <c r="B396">
        <v>16</v>
      </c>
      <c r="C396" t="s">
        <v>22</v>
      </c>
      <c r="D396" t="s">
        <v>73</v>
      </c>
      <c r="E396" t="s">
        <v>111</v>
      </c>
      <c r="F396" t="s">
        <v>132</v>
      </c>
      <c r="G396" t="s">
        <v>757</v>
      </c>
      <c r="I396" t="s">
        <v>271</v>
      </c>
      <c r="J396" s="6" t="s">
        <v>130</v>
      </c>
      <c r="K396" s="15">
        <v>6.1</v>
      </c>
      <c r="L396" s="5">
        <v>30</v>
      </c>
      <c r="M396" s="15">
        <v>7</v>
      </c>
      <c r="N396">
        <v>4</v>
      </c>
      <c r="O396">
        <v>8</v>
      </c>
      <c r="P396">
        <v>8.9</v>
      </c>
      <c r="Q396">
        <v>7.8</v>
      </c>
      <c r="R396" s="2">
        <f>IF(ISBLANK(Table1[[#This Row],[Age]]),AVERAGE(Table1[Age]),Table1[[#This Row],[Age]])</f>
        <v>16</v>
      </c>
      <c r="S396" t="str">
        <f>PROPER(Table1[[#This Row],[Country]])</f>
        <v>Unknown</v>
      </c>
      <c r="T396" t="str">
        <f>TRIM(Table1[[#This Row],[Profession]])</f>
        <v>Environmental Science Student</v>
      </c>
      <c r="U396" s="5">
        <f>IF(ISBLANK(H396),AVERAGEIF(Table1[Profession imputed],T396,Table1[Monthly_Income]),H396)</f>
        <v>349.33333333333331</v>
      </c>
      <c r="V396" s="6" t="str">
        <f>PROPER(TRIM(Table1[AI_Tool]))</f>
        <v>Chat Gpt</v>
      </c>
      <c r="W396" s="8">
        <f>IF(ISBLANK(Table1[[#This Row],[Time_Saved_Hours_Per_Week]]),AVERAGEIF(Table1[Satisfaction_Score],Table1[[#This Row],[Satisfaction_Score]],Table1[Time_Saved_Hours_Per_Week]),Table1[[#This Row],[Time_Saved_Hours_Per_Week]])</f>
        <v>8.9</v>
      </c>
    </row>
    <row r="397" spans="1:23" x14ac:dyDescent="0.25">
      <c r="A397" t="s">
        <v>1172</v>
      </c>
      <c r="B397">
        <v>16</v>
      </c>
      <c r="C397" t="s">
        <v>22</v>
      </c>
      <c r="D397" t="s">
        <v>92</v>
      </c>
      <c r="E397" t="s">
        <v>111</v>
      </c>
      <c r="F397" t="s">
        <v>55</v>
      </c>
      <c r="G397" t="s">
        <v>73</v>
      </c>
      <c r="H397">
        <v>350</v>
      </c>
      <c r="I397" t="s">
        <v>139</v>
      </c>
      <c r="J397" s="6" t="s">
        <v>33</v>
      </c>
      <c r="K397" s="15">
        <v>7.1</v>
      </c>
      <c r="L397" s="5">
        <v>20</v>
      </c>
      <c r="M397" s="15">
        <v>0</v>
      </c>
      <c r="N397">
        <v>2</v>
      </c>
      <c r="O397">
        <v>5</v>
      </c>
      <c r="P397">
        <v>11.6</v>
      </c>
      <c r="Q397">
        <v>3</v>
      </c>
      <c r="R397" s="2">
        <f>IF(ISBLANK(Table1[[#This Row],[Age]]),AVERAGE(Table1[Age]),Table1[[#This Row],[Age]])</f>
        <v>16</v>
      </c>
      <c r="S397" t="str">
        <f>PROPER(Table1[[#This Row],[Country]])</f>
        <v>Canada</v>
      </c>
      <c r="T397" t="str">
        <f>TRIM(Table1[[#This Row],[Profession]])</f>
        <v>UNKNOWN</v>
      </c>
      <c r="U397" s="5">
        <f>IF(ISBLANK(H397),AVERAGEIF(Table1[[#This Row],[Profession imputed]],T397,Table1[Monthly_Income]),H397)</f>
        <v>350</v>
      </c>
      <c r="V397" s="6" t="str">
        <f>PROPER(TRIM(Table1[AI_Tool]))</f>
        <v>Microsoft Copilot</v>
      </c>
      <c r="W397" s="8">
        <f>IF(ISBLANK(Table1[[#This Row],[Time_Saved_Hours_Per_Week]]),AVERAGEIF(Table1[Satisfaction_Score],Table1[[#This Row],[Satisfaction_Score]],Table1[Time_Saved_Hours_Per_Week]),Table1[[#This Row],[Time_Saved_Hours_Per_Week]])</f>
        <v>11.6</v>
      </c>
    </row>
    <row r="398" spans="1:23" x14ac:dyDescent="0.25">
      <c r="A398" t="s">
        <v>762</v>
      </c>
      <c r="C398" t="s">
        <v>29</v>
      </c>
      <c r="D398" t="s">
        <v>92</v>
      </c>
      <c r="E398" t="s">
        <v>111</v>
      </c>
      <c r="F398" t="s">
        <v>132</v>
      </c>
      <c r="G398" t="s">
        <v>757</v>
      </c>
      <c r="H398">
        <v>354</v>
      </c>
      <c r="I398" t="s">
        <v>1186</v>
      </c>
      <c r="J398" s="6" t="s">
        <v>130</v>
      </c>
      <c r="K398" s="15">
        <v>5.4</v>
      </c>
      <c r="L398" s="5">
        <v>0</v>
      </c>
      <c r="M398" s="15">
        <v>9.3000000000000007</v>
      </c>
      <c r="N398">
        <v>3</v>
      </c>
      <c r="O398">
        <v>8</v>
      </c>
      <c r="P398">
        <v>13.1</v>
      </c>
      <c r="Q398">
        <v>6.5</v>
      </c>
      <c r="R398" s="2">
        <f>IF(ISBLANK(Table1[[#This Row],[Age]]),AVERAGE(Table1[Age]),Table1[[#This Row],[Age]])</f>
        <v>30.023333333333333</v>
      </c>
      <c r="S398" t="str">
        <f>PROPER(Table1[[#This Row],[Country]])</f>
        <v>Canada</v>
      </c>
      <c r="T398" t="str">
        <f>TRIM(Table1[[#This Row],[Profession]])</f>
        <v>Environmental Science Student</v>
      </c>
      <c r="U398" s="5">
        <f>IF(ISBLANK(H398),AVERAGEIF(Table1[[#This Row],[Profession imputed]],T398,Table1[Monthly_Income]),H398)</f>
        <v>354</v>
      </c>
      <c r="V398" s="6" t="str">
        <f>PROPER(TRIM(Table1[AI_Tool]))</f>
        <v>Google Gemini</v>
      </c>
      <c r="W398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399" spans="1:23" x14ac:dyDescent="0.25">
      <c r="A399" t="s">
        <v>304</v>
      </c>
      <c r="B399">
        <v>19</v>
      </c>
      <c r="C399" t="s">
        <v>29</v>
      </c>
      <c r="D399" t="s">
        <v>92</v>
      </c>
      <c r="E399" t="s">
        <v>111</v>
      </c>
      <c r="F399" t="s">
        <v>218</v>
      </c>
      <c r="G399" t="s">
        <v>270</v>
      </c>
      <c r="H399">
        <v>355</v>
      </c>
      <c r="I399" t="s">
        <v>271</v>
      </c>
      <c r="J399" s="6" t="s">
        <v>33</v>
      </c>
      <c r="K399" s="15">
        <v>1</v>
      </c>
      <c r="L399" s="5">
        <v>20</v>
      </c>
      <c r="M399" s="15">
        <v>3.2</v>
      </c>
      <c r="N399">
        <v>2</v>
      </c>
      <c r="O399">
        <v>4</v>
      </c>
      <c r="P399">
        <v>5.2</v>
      </c>
      <c r="Q399">
        <v>6.7</v>
      </c>
      <c r="R399" s="2">
        <f>IF(ISBLANK(Table1[[#This Row],[Age]]),AVERAGE(Table1[Age]),Table1[[#This Row],[Age]])</f>
        <v>19</v>
      </c>
      <c r="S399" t="str">
        <f>PROPER(Table1[[#This Row],[Country]])</f>
        <v>Canada</v>
      </c>
      <c r="T399" t="str">
        <f>TRIM(Table1[[#This Row],[Profession]])</f>
        <v>Computer Science Student</v>
      </c>
      <c r="U399" s="5">
        <f>IF(ISBLANK(H399),AVERAGEIF(Table1[Profession imputed],T399,Table1[Monthly_Income]),H399)</f>
        <v>355</v>
      </c>
      <c r="V399" s="6" t="str">
        <f>PROPER(TRIM(Table1[AI_Tool]))</f>
        <v>Chat Gpt</v>
      </c>
      <c r="W399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400" spans="1:23" x14ac:dyDescent="0.25">
      <c r="A400" t="s">
        <v>764</v>
      </c>
      <c r="C400" t="s">
        <v>29</v>
      </c>
      <c r="D400" t="s">
        <v>92</v>
      </c>
      <c r="E400" t="s">
        <v>111</v>
      </c>
      <c r="F400" t="s">
        <v>132</v>
      </c>
      <c r="G400" t="s">
        <v>757</v>
      </c>
      <c r="H400">
        <v>356</v>
      </c>
      <c r="I400" t="s">
        <v>1186</v>
      </c>
      <c r="J400" s="6" t="s">
        <v>130</v>
      </c>
      <c r="K400" s="15">
        <v>5.4</v>
      </c>
      <c r="L400" s="5">
        <v>0</v>
      </c>
      <c r="M400" s="15">
        <v>9.3000000000000007</v>
      </c>
      <c r="N400">
        <v>3</v>
      </c>
      <c r="O400">
        <v>8</v>
      </c>
      <c r="P400">
        <v>13.1</v>
      </c>
      <c r="Q400">
        <v>6.5</v>
      </c>
      <c r="R400" s="2">
        <f>IF(ISBLANK(Table1[[#This Row],[Age]]),AVERAGE(Table1[Age]),Table1[[#This Row],[Age]])</f>
        <v>30.023333333333333</v>
      </c>
      <c r="S400" t="str">
        <f>PROPER(Table1[[#This Row],[Country]])</f>
        <v>Canada</v>
      </c>
      <c r="T400" t="str">
        <f>TRIM(Table1[[#This Row],[Profession]])</f>
        <v>Environmental Science Student</v>
      </c>
      <c r="U400" s="5">
        <f>IF(ISBLANK(H400),AVERAGEIF(Table1[[#This Row],[Profession imputed]],T400,Table1[Monthly_Income]),H400)</f>
        <v>356</v>
      </c>
      <c r="V400" s="6" t="str">
        <f>PROPER(TRIM(Table1[AI_Tool]))</f>
        <v>Google Gemini</v>
      </c>
      <c r="W400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01" spans="1:23" x14ac:dyDescent="0.25">
      <c r="A401" t="s">
        <v>302</v>
      </c>
      <c r="B401">
        <v>25</v>
      </c>
      <c r="C401" t="s">
        <v>22</v>
      </c>
      <c r="D401" t="s">
        <v>117</v>
      </c>
      <c r="E401" t="s">
        <v>111</v>
      </c>
      <c r="F401" t="s">
        <v>25</v>
      </c>
      <c r="G401" t="s">
        <v>270</v>
      </c>
      <c r="H401">
        <v>357</v>
      </c>
      <c r="I401" t="s">
        <v>139</v>
      </c>
      <c r="J401" s="6" t="s">
        <v>33</v>
      </c>
      <c r="K401" s="15">
        <v>0.7</v>
      </c>
      <c r="L401" s="5">
        <v>0</v>
      </c>
      <c r="M401" s="15">
        <v>5.0999999999999996</v>
      </c>
      <c r="N401">
        <v>4</v>
      </c>
      <c r="O401">
        <v>6</v>
      </c>
      <c r="P401">
        <v>4.8</v>
      </c>
      <c r="Q401">
        <v>4.0999999999999996</v>
      </c>
      <c r="R401" s="2">
        <f>IF(ISBLANK(Table1[[#This Row],[Age]]),AVERAGE(Table1[Age]),Table1[[#This Row],[Age]])</f>
        <v>25</v>
      </c>
      <c r="S401" t="str">
        <f>PROPER(Table1[[#This Row],[Country]])</f>
        <v>United Kingdom</v>
      </c>
      <c r="T401" t="str">
        <f>TRIM(Table1[[#This Row],[Profession]])</f>
        <v>Computer Science Student</v>
      </c>
      <c r="U401" s="5">
        <f>IF(ISBLANK(H401),AVERAGEIF(Table1[Profession imputed],T401,Table1[Monthly_Income]),H401)</f>
        <v>357</v>
      </c>
      <c r="V401" s="6" t="str">
        <f>PROPER(TRIM(Table1[AI_Tool]))</f>
        <v>Microsoft Copilot</v>
      </c>
      <c r="W401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402" spans="1:23" x14ac:dyDescent="0.25">
      <c r="A402" t="s">
        <v>773</v>
      </c>
      <c r="C402" t="s">
        <v>29</v>
      </c>
      <c r="D402" t="s">
        <v>23</v>
      </c>
      <c r="E402" t="s">
        <v>111</v>
      </c>
      <c r="F402" t="s">
        <v>50</v>
      </c>
      <c r="G402" t="s">
        <v>774</v>
      </c>
      <c r="H402">
        <v>366</v>
      </c>
      <c r="I402" t="s">
        <v>271</v>
      </c>
      <c r="J402" s="6" t="s">
        <v>38</v>
      </c>
      <c r="K402" s="15">
        <v>0.6</v>
      </c>
      <c r="L402" s="5">
        <v>25</v>
      </c>
      <c r="M402" s="15">
        <v>4.0999999999999996</v>
      </c>
      <c r="N402" s="7">
        <v>4</v>
      </c>
      <c r="O402">
        <v>6</v>
      </c>
      <c r="P402">
        <v>3</v>
      </c>
      <c r="Q402">
        <v>7.6</v>
      </c>
      <c r="R402" s="2">
        <f>IF(ISBLANK(Table1[[#This Row],[Age]]),AVERAGE(Table1[Age]),Table1[[#This Row],[Age]])</f>
        <v>30.023333333333333</v>
      </c>
      <c r="S402" t="str">
        <f>PROPER(Table1[[#This Row],[Country]])</f>
        <v>Germany</v>
      </c>
      <c r="T402" t="str">
        <f>TRIM(Table1[[#This Row],[Profession]])</f>
        <v>German Literature Student</v>
      </c>
      <c r="U402" s="5">
        <f>IF(ISBLANK(H402),AVERAGEIF(Table1[[#This Row],[Profession imputed]],T402,Table1[Monthly_Income]),H402)</f>
        <v>366</v>
      </c>
      <c r="V402" s="6" t="str">
        <f>PROPER(TRIM(Table1[AI_Tool]))</f>
        <v>Chat Gpt</v>
      </c>
      <c r="W402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03" spans="1:23" x14ac:dyDescent="0.25">
      <c r="A403" t="s">
        <v>838</v>
      </c>
      <c r="B403">
        <v>27</v>
      </c>
      <c r="C403" t="s">
        <v>22</v>
      </c>
      <c r="D403" t="s">
        <v>44</v>
      </c>
      <c r="E403" t="s">
        <v>111</v>
      </c>
      <c r="F403" t="s">
        <v>55</v>
      </c>
      <c r="G403" t="s">
        <v>832</v>
      </c>
      <c r="H403">
        <v>367</v>
      </c>
      <c r="I403" t="s">
        <v>69</v>
      </c>
      <c r="J403" s="6" t="s">
        <v>33</v>
      </c>
      <c r="K403" s="15">
        <v>1.5</v>
      </c>
      <c r="L403" s="5">
        <v>20</v>
      </c>
      <c r="M403" s="15">
        <v>4</v>
      </c>
      <c r="N403">
        <v>3</v>
      </c>
      <c r="O403">
        <v>6</v>
      </c>
      <c r="P403">
        <v>4.2</v>
      </c>
      <c r="Q403">
        <v>4.9000000000000004</v>
      </c>
      <c r="R403" s="2">
        <f>IF(ISBLANK(Table1[[#This Row],[Age]]),AVERAGE(Table1[Age]),Table1[[#This Row],[Age]])</f>
        <v>27</v>
      </c>
      <c r="S403" t="str">
        <f>PROPER(Table1[[#This Row],[Country]])</f>
        <v>United States</v>
      </c>
      <c r="T403" t="str">
        <f>TRIM(Table1[[#This Row],[Profession]])</f>
        <v>Machine Learning Student</v>
      </c>
      <c r="U403" s="5">
        <f>IF(ISBLANK(H403),AVERAGEIF(Table1[[#This Row],[Profession imputed]],T403,Table1[Monthly_Income]),H403)</f>
        <v>367</v>
      </c>
      <c r="V403" s="6" t="str">
        <f>PROPER(TRIM(Table1[AI_Tool]))</f>
        <v>Perplexity Ai</v>
      </c>
      <c r="W403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404" spans="1:23" x14ac:dyDescent="0.25">
      <c r="A404" t="s">
        <v>715</v>
      </c>
      <c r="C404" t="s">
        <v>29</v>
      </c>
      <c r="D404" t="s">
        <v>44</v>
      </c>
      <c r="E404" t="s">
        <v>111</v>
      </c>
      <c r="F404" t="s">
        <v>25</v>
      </c>
      <c r="G404" t="s">
        <v>671</v>
      </c>
      <c r="H404">
        <v>369</v>
      </c>
      <c r="I404" t="s">
        <v>282</v>
      </c>
      <c r="J404" s="6" t="s">
        <v>38</v>
      </c>
      <c r="K404" s="15">
        <v>7.9</v>
      </c>
      <c r="L404" s="5">
        <v>0</v>
      </c>
      <c r="M404" s="15">
        <v>8.9</v>
      </c>
      <c r="N404">
        <v>4</v>
      </c>
      <c r="O404">
        <v>9</v>
      </c>
      <c r="P404">
        <v>14.2</v>
      </c>
      <c r="Q404">
        <v>6</v>
      </c>
      <c r="R404" s="2">
        <f>IF(ISBLANK(Table1[[#This Row],[Age]]),AVERAGE(Table1[Age]),Table1[[#This Row],[Age]])</f>
        <v>30.023333333333333</v>
      </c>
      <c r="S404" t="str">
        <f>PROPER(Table1[[#This Row],[Country]])</f>
        <v>United States</v>
      </c>
      <c r="T404" t="str">
        <f>TRIM(Table1[[#This Row],[Profession]])</f>
        <v>English Literature Student</v>
      </c>
      <c r="U404" s="5">
        <f>IF(ISBLANK(H404),AVERAGEIF(Table1[[#This Row],[Profession imputed]],T404,Table1[Monthly_Income]),H404)</f>
        <v>369</v>
      </c>
      <c r="V404" s="6" t="str">
        <f>PROPER(TRIM(Table1[AI_Tool]))</f>
        <v>Deepseek</v>
      </c>
      <c r="W404" s="8">
        <f>IF(ISBLANK(Table1[[#This Row],[Time_Saved_Hours_Per_Week]]),AVERAGEIF(Table1[Satisfaction_Score],Table1[[#This Row],[Satisfaction_Score]],Table1[Time_Saved_Hours_Per_Week]),Table1[[#This Row],[Time_Saved_Hours_Per_Week]])</f>
        <v>14.2</v>
      </c>
    </row>
    <row r="405" spans="1:23" x14ac:dyDescent="0.25">
      <c r="A405" t="s">
        <v>591</v>
      </c>
      <c r="B405">
        <v>29</v>
      </c>
      <c r="C405" t="s">
        <v>22</v>
      </c>
      <c r="D405" t="s">
        <v>35</v>
      </c>
      <c r="E405" t="s">
        <v>24</v>
      </c>
      <c r="F405" t="s">
        <v>25</v>
      </c>
      <c r="G405" t="s">
        <v>588</v>
      </c>
      <c r="H405">
        <v>372</v>
      </c>
      <c r="I405" t="s">
        <v>271</v>
      </c>
      <c r="J405" s="6" t="s">
        <v>75</v>
      </c>
      <c r="K405" s="15">
        <v>1.6</v>
      </c>
      <c r="L405" s="5">
        <v>10</v>
      </c>
      <c r="M405" s="15">
        <v>4</v>
      </c>
      <c r="N405">
        <v>2</v>
      </c>
      <c r="O405">
        <v>3</v>
      </c>
      <c r="P405">
        <v>4.5</v>
      </c>
      <c r="Q405">
        <v>7.8</v>
      </c>
      <c r="R405" s="2">
        <f>IF(ISBLANK(Table1[[#This Row],[Age]]),AVERAGE(Table1[Age]),Table1[[#This Row],[Age]])</f>
        <v>29</v>
      </c>
      <c r="S405" t="str">
        <f>PROPER(Table1[[#This Row],[Country]])</f>
        <v>Philippines</v>
      </c>
      <c r="T405" t="str">
        <f>TRIM(Table1[[#This Row],[Profession]])</f>
        <v>Digital Content Creator</v>
      </c>
      <c r="U405" s="5">
        <f>IF(ISBLANK(H405),AVERAGEIF(Table1[Profession imputed],T405,Table1[Monthly_Income]),H405)</f>
        <v>372</v>
      </c>
      <c r="V405" s="6" t="str">
        <f>PROPER(TRIM(Table1[AI_Tool]))</f>
        <v>Chat Gpt</v>
      </c>
      <c r="W405" s="8">
        <f>IF(ISBLANK(Table1[[#This Row],[Time_Saved_Hours_Per_Week]]),AVERAGEIF(Table1[Satisfaction_Score],Table1[[#This Row],[Satisfaction_Score]],Table1[Time_Saved_Hours_Per_Week]),Table1[[#This Row],[Time_Saved_Hours_Per_Week]])</f>
        <v>4.5</v>
      </c>
    </row>
    <row r="406" spans="1:23" x14ac:dyDescent="0.25">
      <c r="A406" t="s">
        <v>920</v>
      </c>
      <c r="B406">
        <v>22</v>
      </c>
      <c r="C406" t="s">
        <v>29</v>
      </c>
      <c r="D406" t="s">
        <v>89</v>
      </c>
      <c r="E406" t="s">
        <v>24</v>
      </c>
      <c r="F406" t="s">
        <v>45</v>
      </c>
      <c r="G406" t="s">
        <v>916</v>
      </c>
      <c r="H406">
        <v>376</v>
      </c>
      <c r="I406" t="s">
        <v>271</v>
      </c>
      <c r="J406" s="6" t="s">
        <v>130</v>
      </c>
      <c r="K406" s="15">
        <v>2.2999999999999998</v>
      </c>
      <c r="L406" s="5">
        <v>20</v>
      </c>
      <c r="M406" s="15">
        <v>3.9</v>
      </c>
      <c r="N406">
        <v>2</v>
      </c>
      <c r="O406">
        <v>5</v>
      </c>
      <c r="P406">
        <v>2.5</v>
      </c>
      <c r="Q406">
        <v>7.7</v>
      </c>
      <c r="R406" s="2">
        <f>IF(ISBLANK(Table1[[#This Row],[Age]]),AVERAGE(Table1[Age]),Table1[[#This Row],[Age]])</f>
        <v>22</v>
      </c>
      <c r="S406" t="str">
        <f>PROPER(Table1[[#This Row],[Country]])</f>
        <v>Nigeria</v>
      </c>
      <c r="T406" t="str">
        <f>TRIM(Table1[[#This Row],[Profession]])</f>
        <v>Research Assistant</v>
      </c>
      <c r="U406" s="5">
        <f>IF(ISBLANK(H406),AVERAGEIF(Table1[[#This Row],[Profession imputed]],T406,Table1[Monthly_Income]),H406)</f>
        <v>376</v>
      </c>
      <c r="V406" s="6" t="str">
        <f>PROPER(TRIM(Table1[AI_Tool]))</f>
        <v>Chat Gpt</v>
      </c>
      <c r="W406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407" spans="1:23" x14ac:dyDescent="0.25">
      <c r="A407" t="s">
        <v>1016</v>
      </c>
      <c r="B407">
        <v>32</v>
      </c>
      <c r="C407" t="s">
        <v>29</v>
      </c>
      <c r="D407" t="s">
        <v>89</v>
      </c>
      <c r="E407" t="s">
        <v>24</v>
      </c>
      <c r="F407" t="s">
        <v>50</v>
      </c>
      <c r="G407" t="s">
        <v>1017</v>
      </c>
      <c r="H407">
        <v>376</v>
      </c>
      <c r="I407" t="s">
        <v>58</v>
      </c>
      <c r="J407" s="6" t="s">
        <v>75</v>
      </c>
      <c r="K407" s="15">
        <v>1.3</v>
      </c>
      <c r="L407" s="5">
        <v>20</v>
      </c>
      <c r="M407" s="15">
        <v>3.3</v>
      </c>
      <c r="N407">
        <v>4</v>
      </c>
      <c r="O407">
        <v>5</v>
      </c>
      <c r="P407">
        <v>3.2</v>
      </c>
      <c r="Q407">
        <v>11.6</v>
      </c>
      <c r="R407" s="2">
        <f>IF(ISBLANK(Table1[[#This Row],[Age]]),AVERAGE(Table1[Age]),Table1[[#This Row],[Age]])</f>
        <v>32</v>
      </c>
      <c r="S407" t="str">
        <f>PROPER(Table1[[#This Row],[Country]])</f>
        <v>Nigeria</v>
      </c>
      <c r="T407" t="str">
        <f>TRIM(Table1[[#This Row],[Profession]])</f>
        <v>Social Media Content Creator / Digital Marketer</v>
      </c>
      <c r="U407" s="5">
        <f>IF(ISBLANK(H407),AVERAGEIF(Table1[[#This Row],[Profession imputed]],T407,Table1[Monthly_Income]),H407)</f>
        <v>376</v>
      </c>
      <c r="V407" s="6" t="str">
        <f>PROPER(TRIM(Table1[AI_Tool]))</f>
        <v>Claude</v>
      </c>
      <c r="W407" s="8">
        <f>IF(ISBLANK(Table1[[#This Row],[Time_Saved_Hours_Per_Week]]),AVERAGEIF(Table1[Satisfaction_Score],Table1[[#This Row],[Satisfaction_Score]],Table1[Time_Saved_Hours_Per_Week]),Table1[[#This Row],[Time_Saved_Hours_Per_Week]])</f>
        <v>3.2</v>
      </c>
    </row>
    <row r="408" spans="1:23" x14ac:dyDescent="0.25">
      <c r="A408" t="s">
        <v>1069</v>
      </c>
      <c r="B408">
        <v>21</v>
      </c>
      <c r="C408" t="s">
        <v>22</v>
      </c>
      <c r="D408" t="s">
        <v>692</v>
      </c>
      <c r="E408" t="s">
        <v>111</v>
      </c>
      <c r="F408" t="s">
        <v>132</v>
      </c>
      <c r="G408" t="s">
        <v>1055</v>
      </c>
      <c r="H408">
        <v>377</v>
      </c>
      <c r="I408" t="s">
        <v>271</v>
      </c>
      <c r="J408" s="6" t="s">
        <v>33</v>
      </c>
      <c r="K408" s="15">
        <v>5.8</v>
      </c>
      <c r="L408" s="5">
        <v>30</v>
      </c>
      <c r="M408" s="15">
        <v>6.9</v>
      </c>
      <c r="N408">
        <v>4</v>
      </c>
      <c r="O408">
        <v>8</v>
      </c>
      <c r="P408">
        <v>10.199999999999999</v>
      </c>
      <c r="Q408">
        <v>4.8</v>
      </c>
      <c r="R408" s="2">
        <f>IF(ISBLANK(Table1[[#This Row],[Age]]),AVERAGE(Table1[Age]),Table1[[#This Row],[Age]])</f>
        <v>21</v>
      </c>
      <c r="S408" t="str">
        <f>PROPER(Table1[[#This Row],[Country]])</f>
        <v>Canada</v>
      </c>
      <c r="T408" t="str">
        <f>TRIM(Table1[[#This Row],[Profession]])</f>
        <v>Software Engineering Student</v>
      </c>
      <c r="U408" s="5">
        <f>IF(ISBLANK(H408),AVERAGEIF(Table1[[#This Row],[Profession imputed]],T408,Table1[Monthly_Income]),H408)</f>
        <v>377</v>
      </c>
      <c r="V408" s="6" t="str">
        <f>PROPER(TRIM(Table1[AI_Tool]))</f>
        <v>Chat Gpt</v>
      </c>
      <c r="W408" s="8">
        <f>IF(ISBLANK(Table1[[#This Row],[Time_Saved_Hours_Per_Week]]),AVERAGEIF(Table1[Satisfaction_Score],Table1[[#This Row],[Satisfaction_Score]],Table1[Time_Saved_Hours_Per_Week]),Table1[[#This Row],[Time_Saved_Hours_Per_Week]])</f>
        <v>10.199999999999999</v>
      </c>
    </row>
    <row r="409" spans="1:23" x14ac:dyDescent="0.25">
      <c r="A409" t="s">
        <v>548</v>
      </c>
      <c r="B409">
        <v>17</v>
      </c>
      <c r="C409" t="s">
        <v>22</v>
      </c>
      <c r="D409" t="s">
        <v>189</v>
      </c>
      <c r="E409" t="s">
        <v>111</v>
      </c>
      <c r="F409" t="s">
        <v>55</v>
      </c>
      <c r="G409" t="s">
        <v>520</v>
      </c>
      <c r="H409">
        <v>379</v>
      </c>
      <c r="I409" t="s">
        <v>271</v>
      </c>
      <c r="J409" s="6" t="s">
        <v>106</v>
      </c>
      <c r="K409" s="15">
        <v>0.5</v>
      </c>
      <c r="L409" s="5">
        <v>10</v>
      </c>
      <c r="M409" s="15">
        <v>4.3</v>
      </c>
      <c r="N409">
        <v>4</v>
      </c>
      <c r="O409">
        <v>6</v>
      </c>
      <c r="P409">
        <v>0.5</v>
      </c>
      <c r="Q409">
        <v>7.5</v>
      </c>
      <c r="R409" s="2">
        <f>IF(ISBLANK(Table1[[#This Row],[Age]]),AVERAGE(Table1[Age]),Table1[[#This Row],[Age]])</f>
        <v>17</v>
      </c>
      <c r="S409" t="str">
        <f>PROPER(Table1[[#This Row],[Country]])</f>
        <v>Australia</v>
      </c>
      <c r="T409" t="str">
        <f>TRIM(Table1[[#This Row],[Profession]])</f>
        <v>Data Science Student</v>
      </c>
      <c r="U409" s="5">
        <f>IF(ISBLANK(H409),AVERAGEIF(Table1[Profession imputed],T409,Table1[Monthly_Income]),H409)</f>
        <v>379</v>
      </c>
      <c r="V409" s="6" t="str">
        <f>PROPER(TRIM(Table1[AI_Tool]))</f>
        <v>Chat Gpt</v>
      </c>
      <c r="W409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410" spans="1:23" x14ac:dyDescent="0.25">
      <c r="A410" t="s">
        <v>766</v>
      </c>
      <c r="C410" t="s">
        <v>29</v>
      </c>
      <c r="D410" t="s">
        <v>92</v>
      </c>
      <c r="E410" t="s">
        <v>111</v>
      </c>
      <c r="F410" t="s">
        <v>132</v>
      </c>
      <c r="G410" t="s">
        <v>757</v>
      </c>
      <c r="H410">
        <v>382</v>
      </c>
      <c r="I410" t="s">
        <v>1186</v>
      </c>
      <c r="J410" s="6" t="s">
        <v>130</v>
      </c>
      <c r="K410" s="15">
        <v>5.4</v>
      </c>
      <c r="L410" s="5">
        <v>0</v>
      </c>
      <c r="M410" s="15">
        <v>9.3000000000000007</v>
      </c>
      <c r="N410">
        <v>3</v>
      </c>
      <c r="O410">
        <v>8</v>
      </c>
      <c r="P410">
        <v>13.1</v>
      </c>
      <c r="Q410">
        <v>6.5</v>
      </c>
      <c r="R410" s="2">
        <f>IF(ISBLANK(Table1[[#This Row],[Age]]),AVERAGE(Table1[Age]),Table1[[#This Row],[Age]])</f>
        <v>30.023333333333333</v>
      </c>
      <c r="S410" t="str">
        <f>PROPER(Table1[[#This Row],[Country]])</f>
        <v>Canada</v>
      </c>
      <c r="T410" t="str">
        <f>TRIM(Table1[[#This Row],[Profession]])</f>
        <v>Environmental Science Student</v>
      </c>
      <c r="U410" s="5">
        <f>IF(ISBLANK(H410),AVERAGEIF(Table1[[#This Row],[Profession imputed]],T410,Table1[Monthly_Income]),H410)</f>
        <v>382</v>
      </c>
      <c r="V410" s="6" t="str">
        <f>PROPER(TRIM(Table1[AI_Tool]))</f>
        <v>Google Gemini</v>
      </c>
      <c r="W410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11" spans="1:23" x14ac:dyDescent="0.25">
      <c r="A411" t="s">
        <v>933</v>
      </c>
      <c r="B411">
        <v>44</v>
      </c>
      <c r="C411" t="s">
        <v>22</v>
      </c>
      <c r="D411" t="s">
        <v>89</v>
      </c>
      <c r="E411" t="s">
        <v>24</v>
      </c>
      <c r="F411" t="s">
        <v>55</v>
      </c>
      <c r="G411" t="s">
        <v>934</v>
      </c>
      <c r="H411">
        <v>384</v>
      </c>
      <c r="I411" t="s">
        <v>139</v>
      </c>
      <c r="J411" s="6" t="s">
        <v>130</v>
      </c>
      <c r="K411" s="15">
        <v>0.9</v>
      </c>
      <c r="L411" s="5">
        <v>10</v>
      </c>
      <c r="M411" s="15">
        <v>3.1</v>
      </c>
      <c r="N411">
        <v>3</v>
      </c>
      <c r="O411">
        <v>4</v>
      </c>
      <c r="P411">
        <v>1.2</v>
      </c>
      <c r="Q411">
        <v>7.9</v>
      </c>
      <c r="R411" s="2">
        <f>IF(ISBLANK(Table1[[#This Row],[Age]]),AVERAGE(Table1[Age]),Table1[[#This Row],[Age]])</f>
        <v>44</v>
      </c>
      <c r="S411" t="str">
        <f>PROPER(Table1[[#This Row],[Country]])</f>
        <v>Nigeria</v>
      </c>
      <c r="T411" t="str">
        <f>TRIM(Table1[[#This Row],[Profession]])</f>
        <v>Research Scientist/Senior Research Officer</v>
      </c>
      <c r="U411" s="5">
        <f>IF(ISBLANK(H411),AVERAGEIF(Table1[[#This Row],[Profession imputed]],T411,Table1[Monthly_Income]),H411)</f>
        <v>384</v>
      </c>
      <c r="V411" s="6" t="str">
        <f>PROPER(TRIM(Table1[AI_Tool]))</f>
        <v>Microsoft Copilot</v>
      </c>
      <c r="W411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412" spans="1:23" x14ac:dyDescent="0.25">
      <c r="A412" t="s">
        <v>589</v>
      </c>
      <c r="B412">
        <v>28</v>
      </c>
      <c r="C412" t="s">
        <v>22</v>
      </c>
      <c r="D412" t="s">
        <v>35</v>
      </c>
      <c r="E412" t="s">
        <v>24</v>
      </c>
      <c r="F412" t="s">
        <v>25</v>
      </c>
      <c r="G412" t="s">
        <v>588</v>
      </c>
      <c r="H412">
        <v>385</v>
      </c>
      <c r="I412" t="s">
        <v>271</v>
      </c>
      <c r="J412" s="6" t="s">
        <v>75</v>
      </c>
      <c r="K412" s="15">
        <v>1.6</v>
      </c>
      <c r="L412" s="5">
        <v>10</v>
      </c>
      <c r="M412" s="15">
        <v>4</v>
      </c>
      <c r="N412">
        <v>2</v>
      </c>
      <c r="O412">
        <v>3</v>
      </c>
      <c r="P412">
        <v>4.5</v>
      </c>
      <c r="Q412">
        <v>7.8</v>
      </c>
      <c r="R412" s="2">
        <f>IF(ISBLANK(Table1[[#This Row],[Age]]),AVERAGE(Table1[Age]),Table1[[#This Row],[Age]])</f>
        <v>28</v>
      </c>
      <c r="S412" t="str">
        <f>PROPER(Table1[[#This Row],[Country]])</f>
        <v>Philippines</v>
      </c>
      <c r="T412" t="str">
        <f>TRIM(Table1[[#This Row],[Profession]])</f>
        <v>Digital Content Creator</v>
      </c>
      <c r="U412" s="5">
        <f>IF(ISBLANK(H412),AVERAGEIF(Table1[Profession imputed],T412,Table1[Monthly_Income]),H412)</f>
        <v>385</v>
      </c>
      <c r="V412" s="6" t="str">
        <f>PROPER(TRIM(Table1[AI_Tool]))</f>
        <v>Chat Gpt</v>
      </c>
      <c r="W412" s="8">
        <f>IF(ISBLANK(Table1[[#This Row],[Time_Saved_Hours_Per_Week]]),AVERAGEIF(Table1[Satisfaction_Score],Table1[[#This Row],[Satisfaction_Score]],Table1[Time_Saved_Hours_Per_Week]),Table1[[#This Row],[Time_Saved_Hours_Per_Week]])</f>
        <v>4.5</v>
      </c>
    </row>
    <row r="413" spans="1:23" x14ac:dyDescent="0.25">
      <c r="A413" t="s">
        <v>627</v>
      </c>
      <c r="B413">
        <v>17</v>
      </c>
      <c r="C413" t="s">
        <v>29</v>
      </c>
      <c r="D413" t="s">
        <v>73</v>
      </c>
      <c r="E413" t="s">
        <v>111</v>
      </c>
      <c r="F413" t="s">
        <v>132</v>
      </c>
      <c r="G413" t="s">
        <v>628</v>
      </c>
      <c r="H413">
        <v>387</v>
      </c>
      <c r="I413" t="s">
        <v>139</v>
      </c>
      <c r="J413" s="6" t="s">
        <v>75</v>
      </c>
      <c r="K413" s="15">
        <v>1.5</v>
      </c>
      <c r="L413" s="5">
        <v>10</v>
      </c>
      <c r="M413" s="15">
        <v>6.2</v>
      </c>
      <c r="N413">
        <v>3</v>
      </c>
      <c r="O413">
        <v>6</v>
      </c>
      <c r="P413">
        <v>7.5</v>
      </c>
      <c r="Q413">
        <v>0</v>
      </c>
      <c r="R413" s="2">
        <f>IF(ISBLANK(Table1[[#This Row],[Age]]),AVERAGE(Table1[Age]),Table1[[#This Row],[Age]])</f>
        <v>17</v>
      </c>
      <c r="S413" t="str">
        <f>PROPER(Table1[[#This Row],[Country]])</f>
        <v>Unknown</v>
      </c>
      <c r="T413" t="str">
        <f>TRIM(Table1[[#This Row],[Profession]])</f>
        <v>Digital Media &amp; Film Production Student</v>
      </c>
      <c r="U413" s="5">
        <f>IF(ISBLANK(H413),AVERAGEIF(Table1[Profession imputed],T413,Table1[Monthly_Income]),H413)</f>
        <v>387</v>
      </c>
      <c r="V413" s="6" t="str">
        <f>PROPER(TRIM(Table1[AI_Tool]))</f>
        <v>Microsoft Copilot</v>
      </c>
      <c r="W413" s="8">
        <f>IF(ISBLANK(Table1[[#This Row],[Time_Saved_Hours_Per_Week]]),AVERAGEIF(Table1[Satisfaction_Score],Table1[[#This Row],[Satisfaction_Score]],Table1[Time_Saved_Hours_Per_Week]),Table1[[#This Row],[Time_Saved_Hours_Per_Week]])</f>
        <v>7.5</v>
      </c>
    </row>
    <row r="414" spans="1:23" x14ac:dyDescent="0.25">
      <c r="A414" t="s">
        <v>1054</v>
      </c>
      <c r="B414">
        <v>21</v>
      </c>
      <c r="C414" t="s">
        <v>22</v>
      </c>
      <c r="D414" t="s">
        <v>692</v>
      </c>
      <c r="E414" t="s">
        <v>111</v>
      </c>
      <c r="F414" t="s">
        <v>132</v>
      </c>
      <c r="G414" t="s">
        <v>1055</v>
      </c>
      <c r="H414">
        <v>387</v>
      </c>
      <c r="I414" t="s">
        <v>271</v>
      </c>
      <c r="J414" s="6" t="s">
        <v>33</v>
      </c>
      <c r="K414" s="15">
        <v>5.8</v>
      </c>
      <c r="L414" s="5">
        <v>30</v>
      </c>
      <c r="M414" s="15">
        <v>6.9</v>
      </c>
      <c r="N414">
        <v>4</v>
      </c>
      <c r="O414">
        <v>8</v>
      </c>
      <c r="P414">
        <v>10.199999999999999</v>
      </c>
      <c r="Q414">
        <v>4.8</v>
      </c>
      <c r="R414" s="2">
        <f>IF(ISBLANK(Table1[[#This Row],[Age]]),AVERAGE(Table1[Age]),Table1[[#This Row],[Age]])</f>
        <v>21</v>
      </c>
      <c r="S414" t="str">
        <f>PROPER(Table1[[#This Row],[Country]])</f>
        <v>Canada</v>
      </c>
      <c r="T414" t="str">
        <f>TRIM(Table1[[#This Row],[Profession]])</f>
        <v>Software Engineering Student</v>
      </c>
      <c r="U414" s="5">
        <f>IF(ISBLANK(H414),AVERAGEIF(Table1[[#This Row],[Profession imputed]],T414,Table1[Monthly_Income]),H414)</f>
        <v>387</v>
      </c>
      <c r="V414" s="6" t="str">
        <f>PROPER(TRIM(Table1[AI_Tool]))</f>
        <v>Chat Gpt</v>
      </c>
      <c r="W414" s="8">
        <f>IF(ISBLANK(Table1[[#This Row],[Time_Saved_Hours_Per_Week]]),AVERAGEIF(Table1[Satisfaction_Score],Table1[[#This Row],[Satisfaction_Score]],Table1[Time_Saved_Hours_Per_Week]),Table1[[#This Row],[Time_Saved_Hours_Per_Week]])</f>
        <v>10.199999999999999</v>
      </c>
    </row>
    <row r="415" spans="1:23" x14ac:dyDescent="0.25">
      <c r="A415" t="s">
        <v>690</v>
      </c>
      <c r="C415" t="s">
        <v>29</v>
      </c>
      <c r="D415" t="s">
        <v>44</v>
      </c>
      <c r="E415" t="s">
        <v>111</v>
      </c>
      <c r="F415" t="s">
        <v>25</v>
      </c>
      <c r="G415" t="s">
        <v>671</v>
      </c>
      <c r="H415">
        <v>390</v>
      </c>
      <c r="I415" t="s">
        <v>282</v>
      </c>
      <c r="J415" s="6" t="s">
        <v>38</v>
      </c>
      <c r="K415" s="15">
        <v>7.9</v>
      </c>
      <c r="L415" s="5">
        <v>0</v>
      </c>
      <c r="M415" s="15">
        <v>8.9</v>
      </c>
      <c r="N415">
        <v>4</v>
      </c>
      <c r="O415">
        <v>9</v>
      </c>
      <c r="P415">
        <v>14.2</v>
      </c>
      <c r="Q415">
        <v>6</v>
      </c>
      <c r="R415" s="2">
        <f>IF(ISBLANK(Table1[[#This Row],[Age]]),AVERAGE(Table1[Age]),Table1[[#This Row],[Age]])</f>
        <v>30.023333333333333</v>
      </c>
      <c r="S415" t="str">
        <f>PROPER(Table1[[#This Row],[Country]])</f>
        <v>United States</v>
      </c>
      <c r="T415" t="str">
        <f>TRIM(Table1[[#This Row],[Profession]])</f>
        <v>English Literature Student</v>
      </c>
      <c r="U415" s="5">
        <f>IF(ISBLANK(H415),AVERAGEIF(Table1[[#This Row],[Profession imputed]],T415,Table1[Monthly_Income]),H415)</f>
        <v>390</v>
      </c>
      <c r="V415" s="6" t="str">
        <f>PROPER(TRIM(Table1[AI_Tool]))</f>
        <v>Deepseek</v>
      </c>
      <c r="W415" s="8">
        <f>IF(ISBLANK(Table1[[#This Row],[Time_Saved_Hours_Per_Week]]),AVERAGEIF(Table1[Satisfaction_Score],Table1[[#This Row],[Satisfaction_Score]],Table1[Time_Saved_Hours_Per_Week]),Table1[[#This Row],[Time_Saved_Hours_Per_Week]])</f>
        <v>14.2</v>
      </c>
    </row>
    <row r="416" spans="1:23" x14ac:dyDescent="0.25">
      <c r="A416" t="s">
        <v>864</v>
      </c>
      <c r="B416">
        <v>22</v>
      </c>
      <c r="C416" t="s">
        <v>29</v>
      </c>
      <c r="D416" t="s">
        <v>117</v>
      </c>
      <c r="E416" t="s">
        <v>111</v>
      </c>
      <c r="F416" t="s">
        <v>218</v>
      </c>
      <c r="G416" t="s">
        <v>851</v>
      </c>
      <c r="H416">
        <v>391</v>
      </c>
      <c r="I416" t="s">
        <v>1186</v>
      </c>
      <c r="J416" s="6" t="s">
        <v>124</v>
      </c>
      <c r="K416" s="15">
        <v>1.2</v>
      </c>
      <c r="L416" s="5">
        <v>0</v>
      </c>
      <c r="M416" s="15">
        <v>3.8</v>
      </c>
      <c r="N416">
        <v>3</v>
      </c>
      <c r="O416">
        <v>5</v>
      </c>
      <c r="P416">
        <v>3</v>
      </c>
      <c r="Q416">
        <v>7.2</v>
      </c>
      <c r="R416" s="2">
        <f>IF(ISBLANK(Table1[[#This Row],[Age]]),AVERAGE(Table1[Age]),Table1[[#This Row],[Age]])</f>
        <v>22</v>
      </c>
      <c r="S416" t="str">
        <f>PROPER(Table1[[#This Row],[Country]])</f>
        <v>United Kingdom</v>
      </c>
      <c r="T416" t="str">
        <f>TRIM(Table1[[#This Row],[Profession]])</f>
        <v>Mechanical Engineering Student</v>
      </c>
      <c r="U416" s="5">
        <f>IF(ISBLANK(H416),AVERAGEIF(Table1[[#This Row],[Profession imputed]],T416,Table1[Monthly_Income]),H416)</f>
        <v>391</v>
      </c>
      <c r="V416" s="6" t="str">
        <f>PROPER(TRIM(Table1[AI_Tool]))</f>
        <v>Google Gemini</v>
      </c>
      <c r="W416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17" spans="1:23" x14ac:dyDescent="0.25">
      <c r="A417" t="s">
        <v>587</v>
      </c>
      <c r="B417">
        <v>28</v>
      </c>
      <c r="C417" t="s">
        <v>22</v>
      </c>
      <c r="D417" t="s">
        <v>35</v>
      </c>
      <c r="E417" t="s">
        <v>24</v>
      </c>
      <c r="F417" t="s">
        <v>25</v>
      </c>
      <c r="G417" t="s">
        <v>588</v>
      </c>
      <c r="H417">
        <v>392</v>
      </c>
      <c r="I417" t="s">
        <v>271</v>
      </c>
      <c r="J417" s="6" t="s">
        <v>75</v>
      </c>
      <c r="K417" s="15">
        <v>1.6</v>
      </c>
      <c r="L417" s="5">
        <v>10</v>
      </c>
      <c r="M417" s="15">
        <v>4</v>
      </c>
      <c r="N417">
        <v>2</v>
      </c>
      <c r="O417">
        <v>3</v>
      </c>
      <c r="P417">
        <v>4.5</v>
      </c>
      <c r="Q417">
        <v>7.8</v>
      </c>
      <c r="R417" s="2">
        <f>IF(ISBLANK(Table1[[#This Row],[Age]]),AVERAGE(Table1[Age]),Table1[[#This Row],[Age]])</f>
        <v>28</v>
      </c>
      <c r="S417" t="str">
        <f>PROPER(Table1[[#This Row],[Country]])</f>
        <v>Philippines</v>
      </c>
      <c r="T417" t="str">
        <f>TRIM(Table1[[#This Row],[Profession]])</f>
        <v>Digital Content Creator</v>
      </c>
      <c r="U417" s="5">
        <f>IF(ISBLANK(H417),AVERAGEIF(Table1[Profession imputed],T417,Table1[Monthly_Income]),H417)</f>
        <v>392</v>
      </c>
      <c r="V417" s="6" t="str">
        <f>PROPER(TRIM(Table1[AI_Tool]))</f>
        <v>Chat Gpt</v>
      </c>
      <c r="W417" s="8">
        <f>IF(ISBLANK(Table1[[#This Row],[Time_Saved_Hours_Per_Week]]),AVERAGEIF(Table1[Satisfaction_Score],Table1[[#This Row],[Satisfaction_Score]],Table1[Time_Saved_Hours_Per_Week]),Table1[[#This Row],[Time_Saved_Hours_Per_Week]])</f>
        <v>4.5</v>
      </c>
    </row>
    <row r="418" spans="1:23" x14ac:dyDescent="0.25">
      <c r="A418" t="s">
        <v>300</v>
      </c>
      <c r="B418">
        <v>18</v>
      </c>
      <c r="C418" t="s">
        <v>29</v>
      </c>
      <c r="D418" t="s">
        <v>92</v>
      </c>
      <c r="E418" t="s">
        <v>111</v>
      </c>
      <c r="F418" t="s">
        <v>218</v>
      </c>
      <c r="G418" t="s">
        <v>270</v>
      </c>
      <c r="H418">
        <v>393</v>
      </c>
      <c r="I418" t="s">
        <v>271</v>
      </c>
      <c r="J418" s="6" t="s">
        <v>33</v>
      </c>
      <c r="K418" s="15">
        <v>1</v>
      </c>
      <c r="L418" s="5">
        <v>20</v>
      </c>
      <c r="M418" s="15">
        <v>3.2</v>
      </c>
      <c r="N418">
        <v>2</v>
      </c>
      <c r="O418">
        <v>4</v>
      </c>
      <c r="P418">
        <v>5.2</v>
      </c>
      <c r="Q418">
        <v>6.7</v>
      </c>
      <c r="R418" s="2">
        <f>IF(ISBLANK(Table1[[#This Row],[Age]]),AVERAGE(Table1[Age]),Table1[[#This Row],[Age]])</f>
        <v>18</v>
      </c>
      <c r="S418" t="str">
        <f>PROPER(Table1[[#This Row],[Country]])</f>
        <v>Canada</v>
      </c>
      <c r="T418" t="str">
        <f>TRIM(Table1[[#This Row],[Profession]])</f>
        <v>Computer Science Student</v>
      </c>
      <c r="U418" s="5">
        <f>IF(ISBLANK(H418),AVERAGEIF(Table1[Profession imputed],T418,Table1[Monthly_Income]),H418)</f>
        <v>393</v>
      </c>
      <c r="V418" s="6" t="str">
        <f>PROPER(TRIM(Table1[AI_Tool]))</f>
        <v>Chat Gpt</v>
      </c>
      <c r="W418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419" spans="1:23" x14ac:dyDescent="0.25">
      <c r="A419" t="s">
        <v>164</v>
      </c>
      <c r="B419">
        <v>18</v>
      </c>
      <c r="C419" t="s">
        <v>22</v>
      </c>
      <c r="D419" t="s">
        <v>92</v>
      </c>
      <c r="E419" t="s">
        <v>111</v>
      </c>
      <c r="F419" t="s">
        <v>132</v>
      </c>
      <c r="G419" t="s">
        <v>133</v>
      </c>
      <c r="H419">
        <v>394</v>
      </c>
      <c r="I419" t="s">
        <v>69</v>
      </c>
      <c r="J419" s="6" t="s">
        <v>124</v>
      </c>
      <c r="K419" s="15">
        <v>4.0999999999999996</v>
      </c>
      <c r="L419" s="5">
        <v>0</v>
      </c>
      <c r="M419" s="15">
        <v>4.7</v>
      </c>
      <c r="N419">
        <v>4</v>
      </c>
      <c r="O419">
        <v>7</v>
      </c>
      <c r="P419">
        <v>9.1999999999999993</v>
      </c>
      <c r="Q419">
        <v>6.2</v>
      </c>
      <c r="R419" s="2">
        <f>IF(ISBLANK(Table1[[#This Row],[Age]]),AVERAGE(Table1[Age]),Table1[[#This Row],[Age]])</f>
        <v>18</v>
      </c>
      <c r="S419" t="str">
        <f>PROPER(Table1[[#This Row],[Country]])</f>
        <v>Canada</v>
      </c>
      <c r="T419" t="str">
        <f>TRIM(Table1[[#This Row],[Profession]])</f>
        <v>Biology Student</v>
      </c>
      <c r="U419" s="5">
        <f>IF(ISBLANK(H419),AVERAGEIF(Table1[[#This Row],[Profession imputed]],T419,Table1[Monthly_Income]),H419)</f>
        <v>394</v>
      </c>
      <c r="V419" s="6" t="str">
        <f>PROPER(TRIM(Table1[AI_Tool]))</f>
        <v>Perplexity Ai</v>
      </c>
      <c r="W419" s="8">
        <f>IF(ISBLANK(Table1[[#This Row],[Time_Saved_Hours_Per_Week]]),AVERAGEIF(Table1[Satisfaction_Score],Table1[[#This Row],[Satisfaction_Score]],Table1[Time_Saved_Hours_Per_Week]),Table1[[#This Row],[Time_Saved_Hours_Per_Week]])</f>
        <v>9.1999999999999993</v>
      </c>
    </row>
    <row r="420" spans="1:23" x14ac:dyDescent="0.25">
      <c r="A420" t="s">
        <v>758</v>
      </c>
      <c r="C420" t="s">
        <v>29</v>
      </c>
      <c r="D420" t="s">
        <v>92</v>
      </c>
      <c r="E420" t="s">
        <v>111</v>
      </c>
      <c r="F420" t="s">
        <v>132</v>
      </c>
      <c r="G420" t="s">
        <v>757</v>
      </c>
      <c r="H420">
        <v>397</v>
      </c>
      <c r="I420" t="s">
        <v>1186</v>
      </c>
      <c r="J420" s="6" t="s">
        <v>130</v>
      </c>
      <c r="K420" s="15">
        <v>5.4</v>
      </c>
      <c r="L420" s="5">
        <v>0</v>
      </c>
      <c r="M420" s="15">
        <v>9.3000000000000007</v>
      </c>
      <c r="N420">
        <v>3</v>
      </c>
      <c r="O420">
        <v>8</v>
      </c>
      <c r="P420">
        <v>13.1</v>
      </c>
      <c r="Q420">
        <v>6.5</v>
      </c>
      <c r="R420" s="2">
        <f>IF(ISBLANK(Table1[[#This Row],[Age]]),AVERAGE(Table1[Age]),Table1[[#This Row],[Age]])</f>
        <v>30.023333333333333</v>
      </c>
      <c r="S420" t="str">
        <f>PROPER(Table1[[#This Row],[Country]])</f>
        <v>Canada</v>
      </c>
      <c r="T420" t="str">
        <f>TRIM(Table1[[#This Row],[Profession]])</f>
        <v>Environmental Science Student</v>
      </c>
      <c r="U420" s="5">
        <f>IF(ISBLANK(H420),AVERAGEIF(Table1[[#This Row],[Profession imputed]],T420,Table1[Monthly_Income]),H420)</f>
        <v>397</v>
      </c>
      <c r="V420" s="6" t="str">
        <f>PROPER(TRIM(Table1[AI_Tool]))</f>
        <v>Google Gemini</v>
      </c>
      <c r="W420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21" spans="1:23" x14ac:dyDescent="0.25">
      <c r="A421" t="s">
        <v>269</v>
      </c>
      <c r="B421">
        <v>17</v>
      </c>
      <c r="C421" t="s">
        <v>29</v>
      </c>
      <c r="D421" t="s">
        <v>92</v>
      </c>
      <c r="E421" t="s">
        <v>111</v>
      </c>
      <c r="F421" t="s">
        <v>132</v>
      </c>
      <c r="G421" t="s">
        <v>270</v>
      </c>
      <c r="H421">
        <v>402</v>
      </c>
      <c r="I421" t="s">
        <v>271</v>
      </c>
      <c r="J421" s="6" t="s">
        <v>33</v>
      </c>
      <c r="K421" s="15">
        <v>1</v>
      </c>
      <c r="L421" s="5">
        <v>20</v>
      </c>
      <c r="M421" s="15">
        <v>3.2</v>
      </c>
      <c r="N421">
        <v>2</v>
      </c>
      <c r="O421">
        <v>4</v>
      </c>
      <c r="P421">
        <v>5.2</v>
      </c>
      <c r="Q421">
        <v>6.7</v>
      </c>
      <c r="R421" s="2">
        <f>IF(ISBLANK(Table1[[#This Row],[Age]]),AVERAGE(Table1[Age]),Table1[[#This Row],[Age]])</f>
        <v>17</v>
      </c>
      <c r="S421" t="str">
        <f>PROPER(Table1[[#This Row],[Country]])</f>
        <v>Canada</v>
      </c>
      <c r="T421" t="str">
        <f>TRIM(Table1[[#This Row],[Profession]])</f>
        <v>Computer Science Student</v>
      </c>
      <c r="U421" s="5">
        <f>IF(ISBLANK(H421),AVERAGEIF(Table1[Profession imputed],T421,Table1[Monthly_Income]),H421)</f>
        <v>402</v>
      </c>
      <c r="V421" s="6" t="str">
        <f>PROPER(TRIM(Table1[AI_Tool]))</f>
        <v>Chat Gpt</v>
      </c>
      <c r="W421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422" spans="1:23" x14ac:dyDescent="0.25">
      <c r="A422" t="s">
        <v>256</v>
      </c>
      <c r="B422">
        <v>24</v>
      </c>
      <c r="C422" t="s">
        <v>22</v>
      </c>
      <c r="D422" t="s">
        <v>189</v>
      </c>
      <c r="E422" t="s">
        <v>111</v>
      </c>
      <c r="F422" t="s">
        <v>132</v>
      </c>
      <c r="G422" t="s">
        <v>252</v>
      </c>
      <c r="H422">
        <v>403</v>
      </c>
      <c r="I422" t="s">
        <v>58</v>
      </c>
      <c r="J422" s="6" t="s">
        <v>124</v>
      </c>
      <c r="K422" s="15">
        <v>3.4</v>
      </c>
      <c r="L422" s="5">
        <v>10</v>
      </c>
      <c r="M422" s="15">
        <v>5.5</v>
      </c>
      <c r="N422">
        <v>4</v>
      </c>
      <c r="O422">
        <v>6</v>
      </c>
      <c r="P422">
        <v>7.7</v>
      </c>
      <c r="Q422">
        <v>4.5999999999999996</v>
      </c>
      <c r="R422" s="2">
        <f>IF(ISBLANK(Table1[[#This Row],[Age]]),AVERAGE(Table1[Age]),Table1[[#This Row],[Age]])</f>
        <v>24</v>
      </c>
      <c r="S422" t="str">
        <f>PROPER(Table1[[#This Row],[Country]])</f>
        <v>Australia</v>
      </c>
      <c r="T422" t="str">
        <f>TRIM(Table1[[#This Row],[Profession]])</f>
        <v>Business Analytics Student</v>
      </c>
      <c r="U422" s="5">
        <f>IF(ISBLANK(H422),AVERAGEIF(Table1[Profession imputed],T422,Table1[Monthly_Income]),H422)</f>
        <v>403</v>
      </c>
      <c r="V422" s="6" t="str">
        <f>PROPER(TRIM(Table1[AI_Tool]))</f>
        <v>Claude</v>
      </c>
      <c r="W422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423" spans="1:23" x14ac:dyDescent="0.25">
      <c r="A423" t="s">
        <v>1157</v>
      </c>
      <c r="B423">
        <v>61</v>
      </c>
      <c r="C423" t="s">
        <v>29</v>
      </c>
      <c r="D423" t="s">
        <v>30</v>
      </c>
      <c r="E423" t="s">
        <v>24</v>
      </c>
      <c r="F423" t="s">
        <v>45</v>
      </c>
      <c r="G423" t="s">
        <v>73</v>
      </c>
      <c r="H423">
        <v>403</v>
      </c>
      <c r="I423" t="s">
        <v>271</v>
      </c>
      <c r="J423" s="6" t="s">
        <v>38</v>
      </c>
      <c r="K423" s="15">
        <v>1.6</v>
      </c>
      <c r="L423" s="5">
        <v>0</v>
      </c>
      <c r="M423" s="15">
        <v>4.9000000000000004</v>
      </c>
      <c r="N423">
        <v>4</v>
      </c>
      <c r="O423">
        <v>5</v>
      </c>
      <c r="P423">
        <v>4.9000000000000004</v>
      </c>
      <c r="Q423">
        <v>8.5</v>
      </c>
      <c r="R423" s="2">
        <f>IF(ISBLANK(Table1[[#This Row],[Age]]),AVERAGE(Table1[Age]),Table1[[#This Row],[Age]])</f>
        <v>61</v>
      </c>
      <c r="S423" t="str">
        <f>PROPER(Table1[[#This Row],[Country]])</f>
        <v>Brazil</v>
      </c>
      <c r="T423" t="str">
        <f>TRIM(Table1[[#This Row],[Profession]])</f>
        <v>UNKNOWN</v>
      </c>
      <c r="U423" s="5">
        <f>IF(ISBLANK(H423),AVERAGEIF(Table1[[#This Row],[Profession imputed]],T423,Table1[Monthly_Income]),H423)</f>
        <v>403</v>
      </c>
      <c r="V423" s="6" t="str">
        <f>PROPER(TRIM(Table1[AI_Tool]))</f>
        <v>Chat Gpt</v>
      </c>
      <c r="W423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424" spans="1:23" x14ac:dyDescent="0.25">
      <c r="A424" t="s">
        <v>532</v>
      </c>
      <c r="B424">
        <v>18</v>
      </c>
      <c r="C424" t="s">
        <v>22</v>
      </c>
      <c r="D424" t="s">
        <v>189</v>
      </c>
      <c r="E424" t="s">
        <v>111</v>
      </c>
      <c r="F424" t="s">
        <v>55</v>
      </c>
      <c r="G424" t="s">
        <v>520</v>
      </c>
      <c r="H424">
        <v>413</v>
      </c>
      <c r="I424" t="s">
        <v>271</v>
      </c>
      <c r="J424" s="6" t="s">
        <v>106</v>
      </c>
      <c r="K424" s="15">
        <v>0.5</v>
      </c>
      <c r="L424" s="5">
        <v>10</v>
      </c>
      <c r="M424" s="15">
        <v>4.3</v>
      </c>
      <c r="N424">
        <v>4</v>
      </c>
      <c r="O424">
        <v>6</v>
      </c>
      <c r="P424">
        <v>0.5</v>
      </c>
      <c r="Q424">
        <v>7.5</v>
      </c>
      <c r="R424" s="2">
        <f>IF(ISBLANK(Table1[[#This Row],[Age]]),AVERAGE(Table1[Age]),Table1[[#This Row],[Age]])</f>
        <v>18</v>
      </c>
      <c r="S424" t="str">
        <f>PROPER(Table1[[#This Row],[Country]])</f>
        <v>Australia</v>
      </c>
      <c r="T424" t="str">
        <f>TRIM(Table1[[#This Row],[Profession]])</f>
        <v>Data Science Student</v>
      </c>
      <c r="U424" s="5">
        <f>IF(ISBLANK(H424),AVERAGEIF(Table1[Profession imputed],T424,Table1[Monthly_Income]),H424)</f>
        <v>413</v>
      </c>
      <c r="V424" s="6" t="str">
        <f>PROPER(TRIM(Table1[AI_Tool]))</f>
        <v>Chat Gpt</v>
      </c>
      <c r="W424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425" spans="1:23" x14ac:dyDescent="0.25">
      <c r="A425" t="s">
        <v>935</v>
      </c>
      <c r="B425">
        <v>42</v>
      </c>
      <c r="C425" t="s">
        <v>22</v>
      </c>
      <c r="D425" t="s">
        <v>89</v>
      </c>
      <c r="E425" t="s">
        <v>24</v>
      </c>
      <c r="F425" t="s">
        <v>55</v>
      </c>
      <c r="G425" t="s">
        <v>934</v>
      </c>
      <c r="H425">
        <v>414</v>
      </c>
      <c r="I425" t="s">
        <v>139</v>
      </c>
      <c r="J425" s="6" t="s">
        <v>130</v>
      </c>
      <c r="K425" s="15">
        <v>0.9</v>
      </c>
      <c r="L425" s="5">
        <v>10</v>
      </c>
      <c r="M425" s="15">
        <v>3.1</v>
      </c>
      <c r="N425">
        <v>3</v>
      </c>
      <c r="O425">
        <v>4</v>
      </c>
      <c r="P425">
        <v>1.2</v>
      </c>
      <c r="Q425">
        <v>7.9</v>
      </c>
      <c r="R425" s="2">
        <f>IF(ISBLANK(Table1[[#This Row],[Age]]),AVERAGE(Table1[Age]),Table1[[#This Row],[Age]])</f>
        <v>42</v>
      </c>
      <c r="S425" t="str">
        <f>PROPER(Table1[[#This Row],[Country]])</f>
        <v>Nigeria</v>
      </c>
      <c r="T425" t="str">
        <f>TRIM(Table1[[#This Row],[Profession]])</f>
        <v>Research Scientist/Senior Research Officer</v>
      </c>
      <c r="U425" s="5">
        <f>IF(ISBLANK(H425),AVERAGEIF(Table1[[#This Row],[Profession imputed]],T425,Table1[Monthly_Income]),H425)</f>
        <v>414</v>
      </c>
      <c r="V425" s="6" t="str">
        <f>PROPER(TRIM(Table1[AI_Tool]))</f>
        <v>Microsoft Copilot</v>
      </c>
      <c r="W425" s="8">
        <f>IF(ISBLANK(Table1[[#This Row],[Time_Saved_Hours_Per_Week]]),AVERAGEIF(Table1[Satisfaction_Score],Table1[[#This Row],[Satisfaction_Score]],Table1[Time_Saved_Hours_Per_Week]),Table1[[#This Row],[Time_Saved_Hours_Per_Week]])</f>
        <v>1.2</v>
      </c>
    </row>
    <row r="426" spans="1:23" x14ac:dyDescent="0.25">
      <c r="A426" t="s">
        <v>1139</v>
      </c>
      <c r="B426">
        <v>20</v>
      </c>
      <c r="C426" t="s">
        <v>29</v>
      </c>
      <c r="D426" t="s">
        <v>92</v>
      </c>
      <c r="E426" t="s">
        <v>111</v>
      </c>
      <c r="F426" t="s">
        <v>132</v>
      </c>
      <c r="G426" t="s">
        <v>73</v>
      </c>
      <c r="H426">
        <v>415</v>
      </c>
      <c r="I426" t="s">
        <v>139</v>
      </c>
      <c r="J426" s="6" t="s">
        <v>130</v>
      </c>
      <c r="K426" s="15">
        <v>3</v>
      </c>
      <c r="L426" s="5">
        <v>0</v>
      </c>
      <c r="M426" s="15">
        <v>4.4000000000000004</v>
      </c>
      <c r="N426">
        <v>3</v>
      </c>
      <c r="O426">
        <v>5</v>
      </c>
      <c r="P426">
        <v>3.1</v>
      </c>
      <c r="Q426">
        <v>5.5</v>
      </c>
      <c r="R426" s="2">
        <f>IF(ISBLANK(Table1[[#This Row],[Age]]),AVERAGE(Table1[Age]),Table1[[#This Row],[Age]])</f>
        <v>20</v>
      </c>
      <c r="S426" t="str">
        <f>PROPER(Table1[[#This Row],[Country]])</f>
        <v>Canada</v>
      </c>
      <c r="T426" t="str">
        <f>TRIM(Table1[[#This Row],[Profession]])</f>
        <v>UNKNOWN</v>
      </c>
      <c r="U426" s="5">
        <f>IF(ISBLANK(H426),AVERAGEIF(Table1[[#This Row],[Profession imputed]],T426,Table1[Monthly_Income]),H426)</f>
        <v>415</v>
      </c>
      <c r="V426" s="6" t="str">
        <f>PROPER(TRIM(Table1[AI_Tool]))</f>
        <v>Microsoft Copilot</v>
      </c>
      <c r="W426" s="8">
        <f>IF(ISBLANK(Table1[[#This Row],[Time_Saved_Hours_Per_Week]]),AVERAGEIF(Table1[Satisfaction_Score],Table1[[#This Row],[Satisfaction_Score]],Table1[Time_Saved_Hours_Per_Week]),Table1[[#This Row],[Time_Saved_Hours_Per_Week]])</f>
        <v>3.1</v>
      </c>
    </row>
    <row r="427" spans="1:23" x14ac:dyDescent="0.25">
      <c r="A427" t="s">
        <v>1137</v>
      </c>
      <c r="B427">
        <v>63</v>
      </c>
      <c r="C427" t="s">
        <v>29</v>
      </c>
      <c r="D427" t="s">
        <v>30</v>
      </c>
      <c r="E427" t="s">
        <v>24</v>
      </c>
      <c r="F427" t="s">
        <v>45</v>
      </c>
      <c r="G427" t="s">
        <v>73</v>
      </c>
      <c r="H427">
        <v>418</v>
      </c>
      <c r="I427" t="s">
        <v>271</v>
      </c>
      <c r="J427" s="6" t="s">
        <v>38</v>
      </c>
      <c r="K427" s="15">
        <v>1.6</v>
      </c>
      <c r="L427" s="5">
        <v>0</v>
      </c>
      <c r="M427" s="15">
        <v>4.9000000000000004</v>
      </c>
      <c r="N427">
        <v>4</v>
      </c>
      <c r="O427">
        <v>5</v>
      </c>
      <c r="P427">
        <v>4.9000000000000004</v>
      </c>
      <c r="Q427">
        <v>8.5</v>
      </c>
      <c r="R427" s="2">
        <f>IF(ISBLANK(Table1[[#This Row],[Age]]),AVERAGE(Table1[Age]),Table1[[#This Row],[Age]])</f>
        <v>63</v>
      </c>
      <c r="S427" t="str">
        <f>PROPER(Table1[[#This Row],[Country]])</f>
        <v>Brazil</v>
      </c>
      <c r="T427" t="str">
        <f>TRIM(Table1[[#This Row],[Profession]])</f>
        <v>UNKNOWN</v>
      </c>
      <c r="U427" s="5">
        <f>IF(ISBLANK(H427),AVERAGEIF(Table1[[#This Row],[Profession imputed]],T427,Table1[Monthly_Income]),H427)</f>
        <v>418</v>
      </c>
      <c r="V427" s="6" t="str">
        <f>PROPER(TRIM(Table1[AI_Tool]))</f>
        <v>Chat Gpt</v>
      </c>
      <c r="W427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428" spans="1:23" x14ac:dyDescent="0.25">
      <c r="A428" t="s">
        <v>166</v>
      </c>
      <c r="B428">
        <v>21</v>
      </c>
      <c r="C428" t="s">
        <v>22</v>
      </c>
      <c r="D428" t="s">
        <v>92</v>
      </c>
      <c r="E428" t="s">
        <v>111</v>
      </c>
      <c r="F428" t="s">
        <v>132</v>
      </c>
      <c r="G428" t="s">
        <v>133</v>
      </c>
      <c r="H428">
        <v>419</v>
      </c>
      <c r="I428" t="s">
        <v>69</v>
      </c>
      <c r="J428" s="6" t="s">
        <v>124</v>
      </c>
      <c r="K428" s="15">
        <v>4.0999999999999996</v>
      </c>
      <c r="L428" s="5">
        <v>0</v>
      </c>
      <c r="M428" s="15">
        <v>4.7</v>
      </c>
      <c r="N428">
        <v>4</v>
      </c>
      <c r="O428">
        <v>7</v>
      </c>
      <c r="P428">
        <v>9.1999999999999993</v>
      </c>
      <c r="Q428">
        <v>6.2</v>
      </c>
      <c r="R428" s="2">
        <f>IF(ISBLANK(Table1[[#This Row],[Age]]),AVERAGE(Table1[Age]),Table1[[#This Row],[Age]])</f>
        <v>21</v>
      </c>
      <c r="S428" t="str">
        <f>PROPER(Table1[[#This Row],[Country]])</f>
        <v>Canada</v>
      </c>
      <c r="T428" t="str">
        <f>TRIM(Table1[[#This Row],[Profession]])</f>
        <v>Biology Student</v>
      </c>
      <c r="U428" s="5">
        <f>IF(ISBLANK(H428),AVERAGEIF(Table1[[#This Row],[Profession imputed]],T428,Table1[Monthly_Income]),H428)</f>
        <v>419</v>
      </c>
      <c r="V428" s="6" t="str">
        <f>PROPER(TRIM(Table1[AI_Tool]))</f>
        <v>Perplexity Ai</v>
      </c>
      <c r="W428" s="8">
        <f>IF(ISBLANK(Table1[[#This Row],[Time_Saved_Hours_Per_Week]]),AVERAGEIF(Table1[Satisfaction_Score],Table1[[#This Row],[Satisfaction_Score]],Table1[Time_Saved_Hours_Per_Week]),Table1[[#This Row],[Time_Saved_Hours_Per_Week]])</f>
        <v>9.1999999999999993</v>
      </c>
    </row>
    <row r="429" spans="1:23" x14ac:dyDescent="0.25">
      <c r="A429" t="s">
        <v>746</v>
      </c>
      <c r="C429" t="s">
        <v>29</v>
      </c>
      <c r="D429" t="s">
        <v>44</v>
      </c>
      <c r="E429" t="s">
        <v>111</v>
      </c>
      <c r="F429" t="s">
        <v>25</v>
      </c>
      <c r="G429" t="s">
        <v>671</v>
      </c>
      <c r="H429">
        <v>422</v>
      </c>
      <c r="I429" t="s">
        <v>282</v>
      </c>
      <c r="J429" s="6" t="s">
        <v>38</v>
      </c>
      <c r="K429" s="15">
        <v>7.9</v>
      </c>
      <c r="L429" s="5">
        <v>0</v>
      </c>
      <c r="M429" s="15">
        <v>8.9</v>
      </c>
      <c r="N429">
        <v>4</v>
      </c>
      <c r="O429">
        <v>9</v>
      </c>
      <c r="P429">
        <v>14.2</v>
      </c>
      <c r="Q429">
        <v>6</v>
      </c>
      <c r="R429" s="2">
        <f>IF(ISBLANK(Table1[[#This Row],[Age]]),AVERAGE(Table1[Age]),Table1[[#This Row],[Age]])</f>
        <v>30.023333333333333</v>
      </c>
      <c r="S429" t="str">
        <f>PROPER(Table1[[#This Row],[Country]])</f>
        <v>United States</v>
      </c>
      <c r="T429" t="str">
        <f>TRIM(Table1[[#This Row],[Profession]])</f>
        <v>English Literature Student</v>
      </c>
      <c r="U429" s="5">
        <f>IF(ISBLANK(H429),AVERAGEIF(Table1[[#This Row],[Profession imputed]],T429,Table1[Monthly_Income]),H429)</f>
        <v>422</v>
      </c>
      <c r="V429" s="6" t="str">
        <f>PROPER(TRIM(Table1[AI_Tool]))</f>
        <v>Deepseek</v>
      </c>
      <c r="W429" s="8">
        <f>IF(ISBLANK(Table1[[#This Row],[Time_Saved_Hours_Per_Week]]),AVERAGEIF(Table1[Satisfaction_Score],Table1[[#This Row],[Satisfaction_Score]],Table1[Time_Saved_Hours_Per_Week]),Table1[[#This Row],[Time_Saved_Hours_Per_Week]])</f>
        <v>14.2</v>
      </c>
    </row>
    <row r="430" spans="1:23" x14ac:dyDescent="0.25">
      <c r="A430" t="s">
        <v>439</v>
      </c>
      <c r="B430">
        <v>40</v>
      </c>
      <c r="C430" t="s">
        <v>29</v>
      </c>
      <c r="D430" t="s">
        <v>52</v>
      </c>
      <c r="E430" t="s">
        <v>24</v>
      </c>
      <c r="F430" t="s">
        <v>45</v>
      </c>
      <c r="G430" t="s">
        <v>434</v>
      </c>
      <c r="H430">
        <v>423</v>
      </c>
      <c r="I430" t="s">
        <v>282</v>
      </c>
      <c r="J430" s="6" t="s">
        <v>27</v>
      </c>
      <c r="K430" s="15">
        <v>0.6</v>
      </c>
      <c r="L430" s="5">
        <v>25</v>
      </c>
      <c r="M430" s="15">
        <v>4.9000000000000004</v>
      </c>
      <c r="N430">
        <v>4</v>
      </c>
      <c r="O430">
        <v>6</v>
      </c>
      <c r="P430">
        <v>4</v>
      </c>
      <c r="Q430">
        <v>7.1</v>
      </c>
      <c r="R430" s="2">
        <f>IF(ISBLANK(Table1[[#This Row],[Age]]),AVERAGE(Table1[Age]),Table1[[#This Row],[Age]])</f>
        <v>40</v>
      </c>
      <c r="S430" t="str">
        <f>PROPER(Table1[[#This Row],[Country]])</f>
        <v>India</v>
      </c>
      <c r="T430" t="str">
        <f>TRIM(Table1[[#This Row],[Profession]])</f>
        <v>Customer Support Executive</v>
      </c>
      <c r="U430" s="5">
        <f>IF(ISBLANK(H430),AVERAGEIF(Table1[Profession imputed],T430,Table1[Monthly_Income]),H430)</f>
        <v>423</v>
      </c>
      <c r="V430" s="6" t="str">
        <f>PROPER(TRIM(Table1[AI_Tool]))</f>
        <v>Deepseek</v>
      </c>
      <c r="W430" s="8">
        <f>IF(ISBLANK(Table1[[#This Row],[Time_Saved_Hours_Per_Week]]),AVERAGEIF(Table1[Satisfaction_Score],Table1[[#This Row],[Satisfaction_Score]],Table1[Time_Saved_Hours_Per_Week]),Table1[[#This Row],[Time_Saved_Hours_Per_Week]])</f>
        <v>4</v>
      </c>
    </row>
    <row r="431" spans="1:23" x14ac:dyDescent="0.25">
      <c r="A431" t="s">
        <v>867</v>
      </c>
      <c r="B431">
        <v>24</v>
      </c>
      <c r="C431" t="s">
        <v>29</v>
      </c>
      <c r="D431" t="s">
        <v>117</v>
      </c>
      <c r="E431" t="s">
        <v>111</v>
      </c>
      <c r="F431" t="s">
        <v>218</v>
      </c>
      <c r="G431" t="s">
        <v>851</v>
      </c>
      <c r="H431">
        <v>424</v>
      </c>
      <c r="I431" t="s">
        <v>1186</v>
      </c>
      <c r="J431" s="6" t="s">
        <v>124</v>
      </c>
      <c r="K431" s="15">
        <v>1.2</v>
      </c>
      <c r="L431" s="5">
        <v>0</v>
      </c>
      <c r="M431" s="15">
        <v>3.8</v>
      </c>
      <c r="N431">
        <v>3</v>
      </c>
      <c r="O431">
        <v>5</v>
      </c>
      <c r="P431">
        <v>3</v>
      </c>
      <c r="Q431">
        <v>7.2</v>
      </c>
      <c r="R431" s="2">
        <f>IF(ISBLANK(Table1[[#This Row],[Age]]),AVERAGE(Table1[Age]),Table1[[#This Row],[Age]])</f>
        <v>24</v>
      </c>
      <c r="S431" t="str">
        <f>PROPER(Table1[[#This Row],[Country]])</f>
        <v>United Kingdom</v>
      </c>
      <c r="T431" t="str">
        <f>TRIM(Table1[[#This Row],[Profession]])</f>
        <v>Mechanical Engineering Student</v>
      </c>
      <c r="U431" s="5">
        <f>IF(ISBLANK(H431),AVERAGEIF(Table1[[#This Row],[Profession imputed]],T431,Table1[Monthly_Income]),H431)</f>
        <v>424</v>
      </c>
      <c r="V431" s="6" t="str">
        <f>PROPER(TRIM(Table1[AI_Tool]))</f>
        <v>Google Gemini</v>
      </c>
      <c r="W431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32" spans="1:23" x14ac:dyDescent="0.25">
      <c r="A432" t="s">
        <v>780</v>
      </c>
      <c r="B432">
        <v>26</v>
      </c>
      <c r="C432" t="s">
        <v>29</v>
      </c>
      <c r="D432" t="s">
        <v>137</v>
      </c>
      <c r="E432" t="s">
        <v>111</v>
      </c>
      <c r="F432" t="s">
        <v>50</v>
      </c>
      <c r="G432" t="s">
        <v>776</v>
      </c>
      <c r="H432">
        <v>426</v>
      </c>
      <c r="I432" t="s">
        <v>282</v>
      </c>
      <c r="J432" s="6" t="s">
        <v>130</v>
      </c>
      <c r="K432" s="15">
        <v>6</v>
      </c>
      <c r="L432" s="5">
        <v>0</v>
      </c>
      <c r="M432" s="15">
        <v>7.6</v>
      </c>
      <c r="N432">
        <v>5</v>
      </c>
      <c r="O432">
        <v>8</v>
      </c>
      <c r="P432">
        <v>13.1</v>
      </c>
      <c r="Q432">
        <v>6.8</v>
      </c>
      <c r="R432" s="2">
        <f>IF(ISBLANK(Table1[[#This Row],[Age]]),AVERAGE(Table1[Age]),Table1[[#This Row],[Age]])</f>
        <v>26</v>
      </c>
      <c r="S432" t="str">
        <f>PROPER(Table1[[#This Row],[Country]])</f>
        <v>France</v>
      </c>
      <c r="T432" t="str">
        <f>TRIM(Table1[[#This Row],[Profession]])</f>
        <v>History Student</v>
      </c>
      <c r="U432" s="5">
        <f>IF(ISBLANK(H432),AVERAGEIF(Table1[[#This Row],[Profession imputed]],T432,Table1[Monthly_Income]),H432)</f>
        <v>426</v>
      </c>
      <c r="V432" s="6" t="str">
        <f>PROPER(TRIM(Table1[AI_Tool]))</f>
        <v>Deepseek</v>
      </c>
      <c r="W432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33" spans="1:23" x14ac:dyDescent="0.25">
      <c r="A433" t="s">
        <v>1064</v>
      </c>
      <c r="B433">
        <v>21</v>
      </c>
      <c r="C433" t="s">
        <v>22</v>
      </c>
      <c r="D433" t="s">
        <v>692</v>
      </c>
      <c r="E433" t="s">
        <v>111</v>
      </c>
      <c r="F433" t="s">
        <v>132</v>
      </c>
      <c r="G433" t="s">
        <v>1055</v>
      </c>
      <c r="H433">
        <v>426</v>
      </c>
      <c r="I433" t="s">
        <v>271</v>
      </c>
      <c r="J433" s="6" t="s">
        <v>33</v>
      </c>
      <c r="K433" s="15">
        <v>5.8</v>
      </c>
      <c r="L433" s="5">
        <v>30</v>
      </c>
      <c r="M433" s="15">
        <v>6.9</v>
      </c>
      <c r="N433">
        <v>4</v>
      </c>
      <c r="O433">
        <v>8</v>
      </c>
      <c r="P433">
        <v>10.199999999999999</v>
      </c>
      <c r="Q433">
        <v>4.8</v>
      </c>
      <c r="R433" s="2">
        <f>IF(ISBLANK(Table1[[#This Row],[Age]]),AVERAGE(Table1[Age]),Table1[[#This Row],[Age]])</f>
        <v>21</v>
      </c>
      <c r="S433" t="str">
        <f>PROPER(Table1[[#This Row],[Country]])</f>
        <v>Canada</v>
      </c>
      <c r="T433" t="str">
        <f>TRIM(Table1[[#This Row],[Profession]])</f>
        <v>Software Engineering Student</v>
      </c>
      <c r="U433" s="5">
        <f>IF(ISBLANK(H433),AVERAGEIF(Table1[[#This Row],[Profession imputed]],T433,Table1[Monthly_Income]),H433)</f>
        <v>426</v>
      </c>
      <c r="V433" s="6" t="str">
        <f>PROPER(TRIM(Table1[AI_Tool]))</f>
        <v>Chat Gpt</v>
      </c>
      <c r="W433" s="8">
        <f>IF(ISBLANK(Table1[[#This Row],[Time_Saved_Hours_Per_Week]]),AVERAGEIF(Table1[Satisfaction_Score],Table1[[#This Row],[Satisfaction_Score]],Table1[Time_Saved_Hours_Per_Week]),Table1[[#This Row],[Time_Saved_Hours_Per_Week]])</f>
        <v>10.199999999999999</v>
      </c>
    </row>
    <row r="434" spans="1:23" x14ac:dyDescent="0.25">
      <c r="A434" t="s">
        <v>768</v>
      </c>
      <c r="C434" t="s">
        <v>29</v>
      </c>
      <c r="D434" t="s">
        <v>92</v>
      </c>
      <c r="E434" t="s">
        <v>111</v>
      </c>
      <c r="F434" t="s">
        <v>132</v>
      </c>
      <c r="G434" t="s">
        <v>757</v>
      </c>
      <c r="H434">
        <v>428</v>
      </c>
      <c r="I434" t="s">
        <v>1186</v>
      </c>
      <c r="J434" s="6" t="s">
        <v>130</v>
      </c>
      <c r="K434" s="15">
        <v>5.4</v>
      </c>
      <c r="L434" s="5">
        <v>0</v>
      </c>
      <c r="M434" s="15">
        <v>9.3000000000000007</v>
      </c>
      <c r="N434">
        <v>3</v>
      </c>
      <c r="O434">
        <v>8</v>
      </c>
      <c r="P434">
        <v>13.1</v>
      </c>
      <c r="Q434">
        <v>6.5</v>
      </c>
      <c r="R434" s="2">
        <f>IF(ISBLANK(Table1[[#This Row],[Age]]),AVERAGE(Table1[Age]),Table1[[#This Row],[Age]])</f>
        <v>30.023333333333333</v>
      </c>
      <c r="S434" t="str">
        <f>PROPER(Table1[[#This Row],[Country]])</f>
        <v>Canada</v>
      </c>
      <c r="T434" t="str">
        <f>TRIM(Table1[[#This Row],[Profession]])</f>
        <v>Environmental Science Student</v>
      </c>
      <c r="U434" s="5">
        <f>IF(ISBLANK(H434),AVERAGEIF(Table1[[#This Row],[Profession imputed]],T434,Table1[Monthly_Income]),H434)</f>
        <v>428</v>
      </c>
      <c r="V434" s="6" t="str">
        <f>PROPER(TRIM(Table1[AI_Tool]))</f>
        <v>Google Gemini</v>
      </c>
      <c r="W434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35" spans="1:23" x14ac:dyDescent="0.25">
      <c r="A435" t="s">
        <v>294</v>
      </c>
      <c r="B435">
        <v>16</v>
      </c>
      <c r="C435" t="s">
        <v>29</v>
      </c>
      <c r="D435" t="s">
        <v>92</v>
      </c>
      <c r="E435" t="s">
        <v>111</v>
      </c>
      <c r="F435" t="s">
        <v>218</v>
      </c>
      <c r="G435" t="s">
        <v>270</v>
      </c>
      <c r="H435">
        <v>434</v>
      </c>
      <c r="I435" t="s">
        <v>271</v>
      </c>
      <c r="J435" s="6" t="s">
        <v>33</v>
      </c>
      <c r="K435" s="15">
        <v>1</v>
      </c>
      <c r="L435" s="5">
        <v>20</v>
      </c>
      <c r="M435" s="15">
        <v>3.2</v>
      </c>
      <c r="N435">
        <v>2</v>
      </c>
      <c r="O435">
        <v>4</v>
      </c>
      <c r="P435">
        <v>5.2</v>
      </c>
      <c r="Q435">
        <v>6.7</v>
      </c>
      <c r="R435" s="2">
        <f>IF(ISBLANK(Table1[[#This Row],[Age]]),AVERAGE(Table1[Age]),Table1[[#This Row],[Age]])</f>
        <v>16</v>
      </c>
      <c r="S435" t="str">
        <f>PROPER(Table1[[#This Row],[Country]])</f>
        <v>Canada</v>
      </c>
      <c r="T435" t="str">
        <f>TRIM(Table1[[#This Row],[Profession]])</f>
        <v>Computer Science Student</v>
      </c>
      <c r="U435" s="5">
        <f>IF(ISBLANK(H435),AVERAGEIF(Table1[Profession imputed],T435,Table1[Monthly_Income]),H435)</f>
        <v>434</v>
      </c>
      <c r="V435" s="6" t="str">
        <f>PROPER(TRIM(Table1[AI_Tool]))</f>
        <v>Chat Gpt</v>
      </c>
      <c r="W435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436" spans="1:23" x14ac:dyDescent="0.25">
      <c r="A436" t="s">
        <v>808</v>
      </c>
      <c r="B436">
        <v>32</v>
      </c>
      <c r="C436" t="s">
        <v>22</v>
      </c>
      <c r="D436" t="s">
        <v>57</v>
      </c>
      <c r="E436" t="s">
        <v>24</v>
      </c>
      <c r="F436" t="s">
        <v>45</v>
      </c>
      <c r="G436" t="s">
        <v>803</v>
      </c>
      <c r="H436">
        <v>434</v>
      </c>
      <c r="I436" t="s">
        <v>271</v>
      </c>
      <c r="J436" s="6" t="s">
        <v>33</v>
      </c>
      <c r="K436" s="15">
        <v>0.7</v>
      </c>
      <c r="L436" s="5">
        <v>0</v>
      </c>
      <c r="M436" s="15">
        <v>4.3</v>
      </c>
      <c r="N436">
        <v>3</v>
      </c>
      <c r="O436">
        <v>4</v>
      </c>
      <c r="P436">
        <v>1.7</v>
      </c>
      <c r="Q436">
        <v>9.5</v>
      </c>
      <c r="R436" s="2">
        <f>IF(ISBLANK(Table1[[#This Row],[Age]]),AVERAGE(Table1[Age]),Table1[[#This Row],[Age]])</f>
        <v>32</v>
      </c>
      <c r="S436" t="str">
        <f>PROPER(Table1[[#This Row],[Country]])</f>
        <v>Pakistan</v>
      </c>
      <c r="T436" t="str">
        <f>TRIM(Table1[[#This Row],[Profession]])</f>
        <v>Junior Software Developer</v>
      </c>
      <c r="U436" s="5">
        <f>IF(ISBLANK(H436),AVERAGEIF(Table1[[#This Row],[Profession imputed]],T436,Table1[Monthly_Income]),H436)</f>
        <v>434</v>
      </c>
      <c r="V436" s="6" t="str">
        <f>PROPER(TRIM(Table1[AI_Tool]))</f>
        <v>Chat Gpt</v>
      </c>
      <c r="W436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437" spans="1:23" x14ac:dyDescent="0.25">
      <c r="A437" t="s">
        <v>254</v>
      </c>
      <c r="B437">
        <v>24</v>
      </c>
      <c r="C437" t="s">
        <v>22</v>
      </c>
      <c r="D437" t="s">
        <v>189</v>
      </c>
      <c r="E437" t="s">
        <v>111</v>
      </c>
      <c r="F437" t="s">
        <v>132</v>
      </c>
      <c r="G437" t="s">
        <v>252</v>
      </c>
      <c r="H437">
        <v>435</v>
      </c>
      <c r="I437" t="s">
        <v>58</v>
      </c>
      <c r="J437" s="6" t="s">
        <v>124</v>
      </c>
      <c r="K437" s="15">
        <v>3.4</v>
      </c>
      <c r="L437" s="5">
        <v>10</v>
      </c>
      <c r="M437" s="15">
        <v>5.5</v>
      </c>
      <c r="N437">
        <v>4</v>
      </c>
      <c r="O437">
        <v>6</v>
      </c>
      <c r="P437">
        <v>7.7</v>
      </c>
      <c r="Q437">
        <v>4.5999999999999996</v>
      </c>
      <c r="R437" s="2">
        <f>IF(ISBLANK(Table1[[#This Row],[Age]]),AVERAGE(Table1[Age]),Table1[[#This Row],[Age]])</f>
        <v>24</v>
      </c>
      <c r="S437" t="str">
        <f>PROPER(Table1[[#This Row],[Country]])</f>
        <v>Australia</v>
      </c>
      <c r="T437" t="str">
        <f>TRIM(Table1[[#This Row],[Profession]])</f>
        <v>Business Analytics Student</v>
      </c>
      <c r="U437" s="5">
        <f>IF(ISBLANK(H437),AVERAGEIF(Table1[Profession imputed],T437,Table1[Monthly_Income]),H437)</f>
        <v>435</v>
      </c>
      <c r="V437" s="6" t="str">
        <f>PROPER(TRIM(Table1[AI_Tool]))</f>
        <v>Claude</v>
      </c>
      <c r="W437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438" spans="1:23" x14ac:dyDescent="0.25">
      <c r="A438" t="s">
        <v>705</v>
      </c>
      <c r="C438" t="s">
        <v>29</v>
      </c>
      <c r="D438" t="s">
        <v>44</v>
      </c>
      <c r="E438" t="s">
        <v>111</v>
      </c>
      <c r="F438" t="s">
        <v>25</v>
      </c>
      <c r="G438" t="s">
        <v>671</v>
      </c>
      <c r="H438">
        <v>435</v>
      </c>
      <c r="I438" t="s">
        <v>282</v>
      </c>
      <c r="J438" s="6" t="s">
        <v>38</v>
      </c>
      <c r="K438" s="15">
        <v>7.9</v>
      </c>
      <c r="L438" s="5">
        <v>0</v>
      </c>
      <c r="M438" s="15">
        <v>8.9</v>
      </c>
      <c r="N438">
        <v>4</v>
      </c>
      <c r="O438">
        <v>9</v>
      </c>
      <c r="P438">
        <v>14.2</v>
      </c>
      <c r="Q438">
        <v>6</v>
      </c>
      <c r="R438" s="2">
        <f>IF(ISBLANK(Table1[[#This Row],[Age]]),AVERAGE(Table1[Age]),Table1[[#This Row],[Age]])</f>
        <v>30.023333333333333</v>
      </c>
      <c r="S438" t="str">
        <f>PROPER(Table1[[#This Row],[Country]])</f>
        <v>United States</v>
      </c>
      <c r="T438" t="str">
        <f>TRIM(Table1[[#This Row],[Profession]])</f>
        <v>English Literature Student</v>
      </c>
      <c r="U438" s="5">
        <f>IF(ISBLANK(H438),AVERAGEIF(Table1[[#This Row],[Profession imputed]],T438,Table1[Monthly_Income]),H438)</f>
        <v>435</v>
      </c>
      <c r="V438" s="6" t="str">
        <f>PROPER(TRIM(Table1[AI_Tool]))</f>
        <v>Deepseek</v>
      </c>
      <c r="W438" s="8">
        <f>IF(ISBLANK(Table1[[#This Row],[Time_Saved_Hours_Per_Week]]),AVERAGEIF(Table1[Satisfaction_Score],Table1[[#This Row],[Satisfaction_Score]],Table1[Time_Saved_Hours_Per_Week]),Table1[[#This Row],[Time_Saved_Hours_Per_Week]])</f>
        <v>14.2</v>
      </c>
    </row>
    <row r="439" spans="1:23" x14ac:dyDescent="0.25">
      <c r="A439" t="s">
        <v>875</v>
      </c>
      <c r="B439">
        <v>25</v>
      </c>
      <c r="C439" t="s">
        <v>29</v>
      </c>
      <c r="D439" t="s">
        <v>117</v>
      </c>
      <c r="E439" t="s">
        <v>111</v>
      </c>
      <c r="F439" t="s">
        <v>218</v>
      </c>
      <c r="G439" t="s">
        <v>851</v>
      </c>
      <c r="H439">
        <v>436</v>
      </c>
      <c r="I439" t="s">
        <v>1186</v>
      </c>
      <c r="J439" s="6" t="s">
        <v>124</v>
      </c>
      <c r="K439" s="15">
        <v>1.2</v>
      </c>
      <c r="L439" s="5">
        <v>0</v>
      </c>
      <c r="M439" s="15">
        <v>3.8</v>
      </c>
      <c r="N439">
        <v>3</v>
      </c>
      <c r="O439">
        <v>5</v>
      </c>
      <c r="P439">
        <v>3</v>
      </c>
      <c r="Q439">
        <v>7.2</v>
      </c>
      <c r="R439" s="2">
        <f>IF(ISBLANK(Table1[[#This Row],[Age]]),AVERAGE(Table1[Age]),Table1[[#This Row],[Age]])</f>
        <v>25</v>
      </c>
      <c r="S439" t="str">
        <f>PROPER(Table1[[#This Row],[Country]])</f>
        <v>United Kingdom</v>
      </c>
      <c r="T439" t="str">
        <f>TRIM(Table1[[#This Row],[Profession]])</f>
        <v>Mechanical Engineering Student</v>
      </c>
      <c r="U439" s="5">
        <f>IF(ISBLANK(H439),AVERAGEIF(Table1[[#This Row],[Profession imputed]],T439,Table1[Monthly_Income]),H439)</f>
        <v>436</v>
      </c>
      <c r="V439" s="6" t="str">
        <f>PROPER(TRIM(Table1[AI_Tool]))</f>
        <v>Google Gemini</v>
      </c>
      <c r="W439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40" spans="1:23" x14ac:dyDescent="0.25">
      <c r="A440" t="s">
        <v>778</v>
      </c>
      <c r="B440">
        <v>26</v>
      </c>
      <c r="C440" t="s">
        <v>29</v>
      </c>
      <c r="D440" t="s">
        <v>137</v>
      </c>
      <c r="E440" t="s">
        <v>111</v>
      </c>
      <c r="F440" t="s">
        <v>50</v>
      </c>
      <c r="G440" t="s">
        <v>776</v>
      </c>
      <c r="H440">
        <v>437</v>
      </c>
      <c r="I440" t="s">
        <v>282</v>
      </c>
      <c r="J440" s="6" t="s">
        <v>130</v>
      </c>
      <c r="K440" s="15">
        <v>6</v>
      </c>
      <c r="L440" s="5">
        <v>0</v>
      </c>
      <c r="M440" s="15">
        <v>7.6</v>
      </c>
      <c r="N440">
        <v>5</v>
      </c>
      <c r="O440">
        <v>8</v>
      </c>
      <c r="P440">
        <v>13.1</v>
      </c>
      <c r="Q440">
        <v>6.8</v>
      </c>
      <c r="R440" s="2">
        <f>IF(ISBLANK(Table1[[#This Row],[Age]]),AVERAGE(Table1[Age]),Table1[[#This Row],[Age]])</f>
        <v>26</v>
      </c>
      <c r="S440" t="str">
        <f>PROPER(Table1[[#This Row],[Country]])</f>
        <v>France</v>
      </c>
      <c r="T440" t="str">
        <f>TRIM(Table1[[#This Row],[Profession]])</f>
        <v>History Student</v>
      </c>
      <c r="U440" s="5">
        <f>IF(ISBLANK(H440),AVERAGEIF(Table1[[#This Row],[Profession imputed]],T440,Table1[Monthly_Income]),H440)</f>
        <v>437</v>
      </c>
      <c r="V440" s="6" t="str">
        <f>PROPER(TRIM(Table1[AI_Tool]))</f>
        <v>Deepseek</v>
      </c>
      <c r="W440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41" spans="1:23" x14ac:dyDescent="0.25">
      <c r="A441" t="s">
        <v>131</v>
      </c>
      <c r="B441">
        <v>19</v>
      </c>
      <c r="C441" t="s">
        <v>22</v>
      </c>
      <c r="D441" t="s">
        <v>92</v>
      </c>
      <c r="E441" t="s">
        <v>111</v>
      </c>
      <c r="F441" t="s">
        <v>132</v>
      </c>
      <c r="G441" t="s">
        <v>133</v>
      </c>
      <c r="H441">
        <v>438</v>
      </c>
      <c r="I441" t="s">
        <v>69</v>
      </c>
      <c r="J441" s="6" t="s">
        <v>73</v>
      </c>
      <c r="K441" s="15">
        <v>4.0999999999999996</v>
      </c>
      <c r="L441" s="5">
        <v>0</v>
      </c>
      <c r="M441" s="15">
        <v>4.7</v>
      </c>
      <c r="N441">
        <v>4</v>
      </c>
      <c r="O441">
        <v>7</v>
      </c>
      <c r="P441">
        <v>9.1999999999999993</v>
      </c>
      <c r="Q441">
        <v>6.2</v>
      </c>
      <c r="R441" s="2">
        <f>IF(ISBLANK(Table1[[#This Row],[Age]]),AVERAGE(Table1[Age]),Table1[[#This Row],[Age]])</f>
        <v>19</v>
      </c>
      <c r="S441" t="str">
        <f>PROPER(Table1[[#This Row],[Country]])</f>
        <v>Canada</v>
      </c>
      <c r="T441" t="str">
        <f>TRIM(Table1[[#This Row],[Profession]])</f>
        <v>Biology Student</v>
      </c>
      <c r="U441" s="5">
        <f>IF(ISBLANK(H441),AVERAGEIF(Table1[[#This Row],[Profession imputed]],T441,Table1[Monthly_Income]),H441)</f>
        <v>438</v>
      </c>
      <c r="V441" s="6" t="str">
        <f>PROPER(TRIM(Table1[AI_Tool]))</f>
        <v>Perplexity Ai</v>
      </c>
      <c r="W441" s="8">
        <f>IF(ISBLANK(Table1[[#This Row],[Time_Saved_Hours_Per_Week]]),AVERAGEIF(Table1[Satisfaction_Score],Table1[[#This Row],[Satisfaction_Score]],Table1[Time_Saved_Hours_Per_Week]),Table1[[#This Row],[Time_Saved_Hours_Per_Week]])</f>
        <v>9.1999999999999993</v>
      </c>
    </row>
    <row r="442" spans="1:23" x14ac:dyDescent="0.25">
      <c r="A442" t="s">
        <v>311</v>
      </c>
      <c r="B442">
        <v>16</v>
      </c>
      <c r="C442" t="s">
        <v>29</v>
      </c>
      <c r="D442" t="s">
        <v>92</v>
      </c>
      <c r="E442" t="s">
        <v>111</v>
      </c>
      <c r="F442" t="s">
        <v>218</v>
      </c>
      <c r="G442" t="s">
        <v>270</v>
      </c>
      <c r="H442">
        <v>440</v>
      </c>
      <c r="I442" t="s">
        <v>271</v>
      </c>
      <c r="J442" s="6" t="s">
        <v>33</v>
      </c>
      <c r="K442" s="15">
        <v>1</v>
      </c>
      <c r="L442" s="5">
        <v>20</v>
      </c>
      <c r="M442" s="15">
        <v>3.2</v>
      </c>
      <c r="N442">
        <v>2</v>
      </c>
      <c r="O442">
        <v>4</v>
      </c>
      <c r="P442">
        <v>5.2</v>
      </c>
      <c r="Q442">
        <v>6.7</v>
      </c>
      <c r="R442" s="2">
        <f>IF(ISBLANK(Table1[[#This Row],[Age]]),AVERAGE(Table1[Age]),Table1[[#This Row],[Age]])</f>
        <v>16</v>
      </c>
      <c r="S442" t="str">
        <f>PROPER(Table1[[#This Row],[Country]])</f>
        <v>Canada</v>
      </c>
      <c r="T442" t="str">
        <f>TRIM(Table1[[#This Row],[Profession]])</f>
        <v>Computer Science Student</v>
      </c>
      <c r="U442" s="5">
        <f>IF(ISBLANK(H442),AVERAGEIF(Table1[Profession imputed],T442,Table1[Monthly_Income]),H442)</f>
        <v>440</v>
      </c>
      <c r="V442" s="6" t="str">
        <f>PROPER(TRIM(Table1[AI_Tool]))</f>
        <v>Chat Gpt</v>
      </c>
      <c r="W442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443" spans="1:23" x14ac:dyDescent="0.25">
      <c r="A443" t="s">
        <v>526</v>
      </c>
      <c r="B443">
        <v>17</v>
      </c>
      <c r="C443" t="s">
        <v>22</v>
      </c>
      <c r="D443" t="s">
        <v>189</v>
      </c>
      <c r="E443" t="s">
        <v>111</v>
      </c>
      <c r="F443" t="s">
        <v>55</v>
      </c>
      <c r="G443" t="s">
        <v>520</v>
      </c>
      <c r="H443">
        <v>440</v>
      </c>
      <c r="I443" t="s">
        <v>271</v>
      </c>
      <c r="J443" s="6" t="s">
        <v>106</v>
      </c>
      <c r="K443" s="15">
        <v>0.5</v>
      </c>
      <c r="L443" s="5">
        <v>10</v>
      </c>
      <c r="M443" s="15">
        <v>4.3</v>
      </c>
      <c r="N443">
        <v>4</v>
      </c>
      <c r="O443">
        <v>6</v>
      </c>
      <c r="P443">
        <v>0.5</v>
      </c>
      <c r="Q443">
        <v>7.5</v>
      </c>
      <c r="R443" s="2">
        <f>IF(ISBLANK(Table1[[#This Row],[Age]]),AVERAGE(Table1[Age]),Table1[[#This Row],[Age]])</f>
        <v>17</v>
      </c>
      <c r="S443" t="str">
        <f>PROPER(Table1[[#This Row],[Country]])</f>
        <v>Australia</v>
      </c>
      <c r="T443" t="str">
        <f>TRIM(Table1[[#This Row],[Profession]])</f>
        <v>Data Science Student</v>
      </c>
      <c r="U443" s="5">
        <f>IF(ISBLANK(H443),AVERAGEIF(Table1[Profession imputed],T443,Table1[Monthly_Income]),H443)</f>
        <v>440</v>
      </c>
      <c r="V443" s="6" t="str">
        <f>PROPER(TRIM(Table1[AI_Tool]))</f>
        <v>Chat Gpt</v>
      </c>
      <c r="W443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444" spans="1:23" x14ac:dyDescent="0.25">
      <c r="A444" t="s">
        <v>590</v>
      </c>
      <c r="B444">
        <v>28</v>
      </c>
      <c r="C444" t="s">
        <v>22</v>
      </c>
      <c r="D444" t="s">
        <v>35</v>
      </c>
      <c r="E444" t="s">
        <v>24</v>
      </c>
      <c r="F444" t="s">
        <v>25</v>
      </c>
      <c r="G444" t="s">
        <v>588</v>
      </c>
      <c r="H444">
        <v>441</v>
      </c>
      <c r="I444" t="s">
        <v>271</v>
      </c>
      <c r="J444" s="6" t="s">
        <v>75</v>
      </c>
      <c r="K444" s="15">
        <v>1.6</v>
      </c>
      <c r="L444" s="5">
        <v>10</v>
      </c>
      <c r="M444" s="15">
        <v>4</v>
      </c>
      <c r="N444">
        <v>2</v>
      </c>
      <c r="O444">
        <v>3</v>
      </c>
      <c r="P444">
        <v>4.5</v>
      </c>
      <c r="Q444">
        <v>7.8</v>
      </c>
      <c r="R444" s="2">
        <f>IF(ISBLANK(Table1[[#This Row],[Age]]),AVERAGE(Table1[Age]),Table1[[#This Row],[Age]])</f>
        <v>28</v>
      </c>
      <c r="S444" t="str">
        <f>PROPER(Table1[[#This Row],[Country]])</f>
        <v>Philippines</v>
      </c>
      <c r="T444" t="str">
        <f>TRIM(Table1[[#This Row],[Profession]])</f>
        <v>Digital Content Creator</v>
      </c>
      <c r="U444" s="5">
        <f>IF(ISBLANK(H444),AVERAGEIF(Table1[Profession imputed],T444,Table1[Monthly_Income]),H444)</f>
        <v>441</v>
      </c>
      <c r="V444" s="6" t="str">
        <f>PROPER(TRIM(Table1[AI_Tool]))</f>
        <v>Chat Gpt</v>
      </c>
      <c r="W444" s="8">
        <f>IF(ISBLANK(Table1[[#This Row],[Time_Saved_Hours_Per_Week]]),AVERAGEIF(Table1[Satisfaction_Score],Table1[[#This Row],[Satisfaction_Score]],Table1[Time_Saved_Hours_Per_Week]),Table1[[#This Row],[Time_Saved_Hours_Per_Week]])</f>
        <v>4.5</v>
      </c>
    </row>
    <row r="445" spans="1:23" x14ac:dyDescent="0.25">
      <c r="A445" t="s">
        <v>1015</v>
      </c>
      <c r="B445">
        <v>34</v>
      </c>
      <c r="C445" t="s">
        <v>29</v>
      </c>
      <c r="D445" t="s">
        <v>35</v>
      </c>
      <c r="E445" t="s">
        <v>24</v>
      </c>
      <c r="F445" t="s">
        <v>50</v>
      </c>
      <c r="G445" t="s">
        <v>1014</v>
      </c>
      <c r="H445">
        <v>441</v>
      </c>
      <c r="I445" t="s">
        <v>271</v>
      </c>
      <c r="J445" s="6" t="s">
        <v>75</v>
      </c>
      <c r="K445" s="15">
        <v>2</v>
      </c>
      <c r="L445" s="5">
        <v>0</v>
      </c>
      <c r="M445" s="15">
        <v>6.5</v>
      </c>
      <c r="N445">
        <v>2</v>
      </c>
      <c r="O445">
        <v>5</v>
      </c>
      <c r="P445">
        <v>3.2</v>
      </c>
      <c r="Q445">
        <v>6.4</v>
      </c>
      <c r="R445" s="2">
        <f>IF(ISBLANK(Table1[[#This Row],[Age]]),AVERAGE(Table1[Age]),Table1[[#This Row],[Age]])</f>
        <v>34</v>
      </c>
      <c r="S445" t="str">
        <f>PROPER(Table1[[#This Row],[Country]])</f>
        <v>Philippines</v>
      </c>
      <c r="T445" t="str">
        <f>TRIM(Table1[[#This Row],[Profession]])</f>
        <v>Social Media Content Creator</v>
      </c>
      <c r="U445" s="5">
        <f>IF(ISBLANK(H445),AVERAGEIF(Table1[[#This Row],[Profession imputed]],T445,Table1[Monthly_Income]),H445)</f>
        <v>441</v>
      </c>
      <c r="V445" s="6" t="str">
        <f>PROPER(TRIM(Table1[AI_Tool]))</f>
        <v>Chat Gpt</v>
      </c>
      <c r="W445" s="8">
        <f>IF(ISBLANK(Table1[[#This Row],[Time_Saved_Hours_Per_Week]]),AVERAGEIF(Table1[Satisfaction_Score],Table1[[#This Row],[Satisfaction_Score]],Table1[Time_Saved_Hours_Per_Week]),Table1[[#This Row],[Time_Saved_Hours_Per_Week]])</f>
        <v>3.2</v>
      </c>
    </row>
    <row r="446" spans="1:23" x14ac:dyDescent="0.25">
      <c r="A446" t="s">
        <v>284</v>
      </c>
      <c r="B446">
        <v>22</v>
      </c>
      <c r="C446" t="s">
        <v>22</v>
      </c>
      <c r="D446" t="s">
        <v>23</v>
      </c>
      <c r="E446" t="s">
        <v>111</v>
      </c>
      <c r="F446" t="s">
        <v>25</v>
      </c>
      <c r="G446" t="s">
        <v>270</v>
      </c>
      <c r="H446">
        <v>442</v>
      </c>
      <c r="I446" t="s">
        <v>271</v>
      </c>
      <c r="J446" s="6" t="s">
        <v>33</v>
      </c>
      <c r="K446" s="15">
        <v>1</v>
      </c>
      <c r="L446" s="5">
        <v>0</v>
      </c>
      <c r="M446" s="15">
        <v>3.6</v>
      </c>
      <c r="N446">
        <v>2</v>
      </c>
      <c r="O446">
        <v>5</v>
      </c>
      <c r="P446">
        <v>0</v>
      </c>
      <c r="Q446">
        <v>5.6</v>
      </c>
      <c r="R446" s="2">
        <f>IF(ISBLANK(Table1[[#This Row],[Age]]),AVERAGE(Table1[Age]),Table1[[#This Row],[Age]])</f>
        <v>22</v>
      </c>
      <c r="S446" t="str">
        <f>PROPER(Table1[[#This Row],[Country]])</f>
        <v>Germany</v>
      </c>
      <c r="T446" t="str">
        <f>TRIM(Table1[[#This Row],[Profession]])</f>
        <v>Computer Science Student</v>
      </c>
      <c r="U446" s="5">
        <f>IF(ISBLANK(H446),AVERAGEIF(Table1[Profession imputed],T446,Table1[Monthly_Income]),H446)</f>
        <v>442</v>
      </c>
      <c r="V446" s="6" t="str">
        <f>PROPER(TRIM(Table1[AI_Tool]))</f>
        <v>Chat Gpt</v>
      </c>
      <c r="W446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447" spans="1:23" x14ac:dyDescent="0.25">
      <c r="A447" t="s">
        <v>592</v>
      </c>
      <c r="B447">
        <v>29</v>
      </c>
      <c r="C447" t="s">
        <v>22</v>
      </c>
      <c r="D447" t="s">
        <v>35</v>
      </c>
      <c r="E447" t="s">
        <v>24</v>
      </c>
      <c r="F447" t="s">
        <v>25</v>
      </c>
      <c r="G447" t="s">
        <v>588</v>
      </c>
      <c r="H447">
        <v>444</v>
      </c>
      <c r="I447" t="s">
        <v>271</v>
      </c>
      <c r="J447" s="6" t="s">
        <v>75</v>
      </c>
      <c r="K447" s="15">
        <v>1.6</v>
      </c>
      <c r="L447" s="5">
        <v>10</v>
      </c>
      <c r="M447" s="15">
        <v>4</v>
      </c>
      <c r="N447">
        <v>2</v>
      </c>
      <c r="O447">
        <v>3</v>
      </c>
      <c r="P447">
        <v>4.5</v>
      </c>
      <c r="Q447">
        <v>7.8</v>
      </c>
      <c r="R447" s="2">
        <f>IF(ISBLANK(Table1[[#This Row],[Age]]),AVERAGE(Table1[Age]),Table1[[#This Row],[Age]])</f>
        <v>29</v>
      </c>
      <c r="S447" t="str">
        <f>PROPER(Table1[[#This Row],[Country]])</f>
        <v>Philippines</v>
      </c>
      <c r="T447" t="str">
        <f>TRIM(Table1[[#This Row],[Profession]])</f>
        <v>Digital Content Creator</v>
      </c>
      <c r="U447" s="5">
        <f>IF(ISBLANK(H447),AVERAGEIF(Table1[Profession imputed],T447,Table1[Monthly_Income]),H447)</f>
        <v>444</v>
      </c>
      <c r="V447" s="6" t="str">
        <f>PROPER(TRIM(Table1[AI_Tool]))</f>
        <v>Chat Gpt</v>
      </c>
      <c r="W447" s="8">
        <f>IF(ISBLANK(Table1[[#This Row],[Time_Saved_Hours_Per_Week]]),AVERAGEIF(Table1[Satisfaction_Score],Table1[[#This Row],[Satisfaction_Score]],Table1[Time_Saved_Hours_Per_Week]),Table1[[#This Row],[Time_Saved_Hours_Per_Week]])</f>
        <v>4.5</v>
      </c>
    </row>
    <row r="448" spans="1:23" x14ac:dyDescent="0.25">
      <c r="A448" t="s">
        <v>852</v>
      </c>
      <c r="B448">
        <v>24</v>
      </c>
      <c r="C448" t="s">
        <v>29</v>
      </c>
      <c r="D448" t="s">
        <v>117</v>
      </c>
      <c r="E448" t="s">
        <v>111</v>
      </c>
      <c r="F448" t="s">
        <v>132</v>
      </c>
      <c r="G448" t="s">
        <v>851</v>
      </c>
      <c r="H448">
        <v>444</v>
      </c>
      <c r="I448" t="s">
        <v>1186</v>
      </c>
      <c r="J448" s="6" t="s">
        <v>124</v>
      </c>
      <c r="K448" s="15">
        <v>1.2</v>
      </c>
      <c r="L448" s="5">
        <v>0</v>
      </c>
      <c r="M448" s="15">
        <v>3.8</v>
      </c>
      <c r="N448">
        <v>3</v>
      </c>
      <c r="O448">
        <v>5</v>
      </c>
      <c r="P448">
        <v>3</v>
      </c>
      <c r="Q448">
        <v>7.2</v>
      </c>
      <c r="R448" s="2">
        <f>IF(ISBLANK(Table1[[#This Row],[Age]]),AVERAGE(Table1[Age]),Table1[[#This Row],[Age]])</f>
        <v>24</v>
      </c>
      <c r="S448" t="str">
        <f>PROPER(Table1[[#This Row],[Country]])</f>
        <v>United Kingdom</v>
      </c>
      <c r="T448" t="str">
        <f>TRIM(Table1[[#This Row],[Profession]])</f>
        <v>Mechanical Engineering Student</v>
      </c>
      <c r="U448" s="5">
        <f>IF(ISBLANK(H448),AVERAGEIF(Table1[[#This Row],[Profession imputed]],T448,Table1[Monthly_Income]),H448)</f>
        <v>444</v>
      </c>
      <c r="V448" s="6" t="str">
        <f>PROPER(TRIM(Table1[AI_Tool]))</f>
        <v>Google Gemini</v>
      </c>
      <c r="W448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49" spans="1:23" x14ac:dyDescent="0.25">
      <c r="A449" t="s">
        <v>536</v>
      </c>
      <c r="B449">
        <v>19</v>
      </c>
      <c r="C449" t="s">
        <v>22</v>
      </c>
      <c r="D449" t="s">
        <v>189</v>
      </c>
      <c r="E449" t="s">
        <v>111</v>
      </c>
      <c r="F449" t="s">
        <v>55</v>
      </c>
      <c r="G449" t="s">
        <v>520</v>
      </c>
      <c r="H449">
        <v>448</v>
      </c>
      <c r="I449" t="s">
        <v>271</v>
      </c>
      <c r="J449" s="6" t="s">
        <v>106</v>
      </c>
      <c r="K449" s="15">
        <v>0.5</v>
      </c>
      <c r="L449" s="5">
        <v>10</v>
      </c>
      <c r="M449" s="15">
        <v>4.3</v>
      </c>
      <c r="N449">
        <v>4</v>
      </c>
      <c r="O449">
        <v>6</v>
      </c>
      <c r="P449">
        <v>0.5</v>
      </c>
      <c r="Q449">
        <v>7.5</v>
      </c>
      <c r="R449" s="2">
        <f>IF(ISBLANK(Table1[[#This Row],[Age]]),AVERAGE(Table1[Age]),Table1[[#This Row],[Age]])</f>
        <v>19</v>
      </c>
      <c r="S449" t="str">
        <f>PROPER(Table1[[#This Row],[Country]])</f>
        <v>Australia</v>
      </c>
      <c r="T449" t="str">
        <f>TRIM(Table1[[#This Row],[Profession]])</f>
        <v>Data Science Student</v>
      </c>
      <c r="U449" s="5">
        <f>IF(ISBLANK(H449),AVERAGEIF(Table1[Profession imputed],T449,Table1[Monthly_Income]),H449)</f>
        <v>448</v>
      </c>
      <c r="V449" s="6" t="str">
        <f>PROPER(TRIM(Table1[AI_Tool]))</f>
        <v>Chat Gpt</v>
      </c>
      <c r="W449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450" spans="1:23" x14ac:dyDescent="0.25">
      <c r="A450" t="s">
        <v>781</v>
      </c>
      <c r="B450">
        <v>25</v>
      </c>
      <c r="C450" t="s">
        <v>29</v>
      </c>
      <c r="D450" t="s">
        <v>137</v>
      </c>
      <c r="E450" t="s">
        <v>111</v>
      </c>
      <c r="F450" t="s">
        <v>50</v>
      </c>
      <c r="G450" t="s">
        <v>776</v>
      </c>
      <c r="H450">
        <v>448</v>
      </c>
      <c r="I450" t="s">
        <v>282</v>
      </c>
      <c r="J450" s="6" t="s">
        <v>130</v>
      </c>
      <c r="K450" s="15">
        <v>6</v>
      </c>
      <c r="L450" s="5">
        <v>0</v>
      </c>
      <c r="M450" s="15">
        <v>7.6</v>
      </c>
      <c r="N450">
        <v>5</v>
      </c>
      <c r="O450">
        <v>8</v>
      </c>
      <c r="P450">
        <v>13.1</v>
      </c>
      <c r="Q450">
        <v>6.8</v>
      </c>
      <c r="R450" s="2">
        <f>IF(ISBLANK(Table1[[#This Row],[Age]]),AVERAGE(Table1[Age]),Table1[[#This Row],[Age]])</f>
        <v>25</v>
      </c>
      <c r="S450" t="str">
        <f>PROPER(Table1[[#This Row],[Country]])</f>
        <v>France</v>
      </c>
      <c r="T450" t="str">
        <f>TRIM(Table1[[#This Row],[Profession]])</f>
        <v>History Student</v>
      </c>
      <c r="U450" s="5">
        <f>IF(ISBLANK(H450),AVERAGEIF(Table1[[#This Row],[Profession imputed]],T450,Table1[Monthly_Income]),H450)</f>
        <v>448</v>
      </c>
      <c r="V450" s="6" t="str">
        <f>PROPER(TRIM(Table1[AI_Tool]))</f>
        <v>Deepseek</v>
      </c>
      <c r="W450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51" spans="1:23" x14ac:dyDescent="0.25">
      <c r="A451" t="s">
        <v>805</v>
      </c>
      <c r="B451">
        <v>31</v>
      </c>
      <c r="C451" t="s">
        <v>22</v>
      </c>
      <c r="D451" t="s">
        <v>57</v>
      </c>
      <c r="E451" t="s">
        <v>24</v>
      </c>
      <c r="F451" t="s">
        <v>45</v>
      </c>
      <c r="G451" t="s">
        <v>803</v>
      </c>
      <c r="H451">
        <v>448</v>
      </c>
      <c r="I451" t="s">
        <v>271</v>
      </c>
      <c r="J451" s="6" t="s">
        <v>33</v>
      </c>
      <c r="K451" s="15">
        <v>0.7</v>
      </c>
      <c r="L451" s="5">
        <v>0</v>
      </c>
      <c r="M451" s="15">
        <v>4.3</v>
      </c>
      <c r="N451">
        <v>3</v>
      </c>
      <c r="O451">
        <v>4</v>
      </c>
      <c r="P451">
        <v>1.7</v>
      </c>
      <c r="Q451">
        <v>9.5</v>
      </c>
      <c r="R451" s="2">
        <f>IF(ISBLANK(Table1[[#This Row],[Age]]),AVERAGE(Table1[Age]),Table1[[#This Row],[Age]])</f>
        <v>31</v>
      </c>
      <c r="S451" t="str">
        <f>PROPER(Table1[[#This Row],[Country]])</f>
        <v>Pakistan</v>
      </c>
      <c r="T451" t="str">
        <f>TRIM(Table1[[#This Row],[Profession]])</f>
        <v>Junior Software Developer</v>
      </c>
      <c r="U451" s="5">
        <f>IF(ISBLANK(H451),AVERAGEIF(Table1[[#This Row],[Profession imputed]],T451,Table1[Monthly_Income]),H451)</f>
        <v>448</v>
      </c>
      <c r="V451" s="6" t="str">
        <f>PROPER(TRIM(Table1[AI_Tool]))</f>
        <v>Chat Gpt</v>
      </c>
      <c r="W451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452" spans="1:23" x14ac:dyDescent="0.25">
      <c r="A452" t="s">
        <v>546</v>
      </c>
      <c r="B452">
        <v>29</v>
      </c>
      <c r="C452" t="s">
        <v>29</v>
      </c>
      <c r="D452" t="s">
        <v>23</v>
      </c>
      <c r="E452" t="s">
        <v>111</v>
      </c>
      <c r="F452" t="s">
        <v>25</v>
      </c>
      <c r="G452" t="s">
        <v>520</v>
      </c>
      <c r="H452">
        <v>453</v>
      </c>
      <c r="I452" t="s">
        <v>280</v>
      </c>
      <c r="J452" s="6" t="s">
        <v>130</v>
      </c>
      <c r="K452" s="15">
        <v>2</v>
      </c>
      <c r="L452" s="5">
        <v>0</v>
      </c>
      <c r="M452" s="15">
        <v>5.6</v>
      </c>
      <c r="N452">
        <v>4</v>
      </c>
      <c r="O452">
        <v>6</v>
      </c>
      <c r="P452">
        <v>3.8</v>
      </c>
      <c r="Q452">
        <v>2.8</v>
      </c>
      <c r="R452" s="2">
        <f>IF(ISBLANK(Table1[[#This Row],[Age]]),AVERAGE(Table1[Age]),Table1[[#This Row],[Age]])</f>
        <v>29</v>
      </c>
      <c r="S452" t="str">
        <f>PROPER(Table1[[#This Row],[Country]])</f>
        <v>Germany</v>
      </c>
      <c r="T452" t="str">
        <f>TRIM(Table1[[#This Row],[Profession]])</f>
        <v>Data Science Student</v>
      </c>
      <c r="U452" s="5">
        <f>IF(ISBLANK(H452),AVERAGEIF(Table1[Profession imputed],T452,Table1[Monthly_Income]),H452)</f>
        <v>453</v>
      </c>
      <c r="V452" s="6" t="str">
        <f>PROPER(TRIM(Table1[AI_Tool]))</f>
        <v>Unknown</v>
      </c>
      <c r="W452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453" spans="1:23" x14ac:dyDescent="0.25">
      <c r="A453" t="s">
        <v>1161</v>
      </c>
      <c r="B453">
        <v>62</v>
      </c>
      <c r="C453" t="s">
        <v>29</v>
      </c>
      <c r="D453" t="s">
        <v>30</v>
      </c>
      <c r="E453" t="s">
        <v>24</v>
      </c>
      <c r="F453" t="s">
        <v>45</v>
      </c>
      <c r="G453" t="s">
        <v>73</v>
      </c>
      <c r="H453">
        <v>460</v>
      </c>
      <c r="I453" t="s">
        <v>271</v>
      </c>
      <c r="J453" s="6" t="s">
        <v>38</v>
      </c>
      <c r="K453" s="15">
        <v>1.6</v>
      </c>
      <c r="L453" s="5">
        <v>0</v>
      </c>
      <c r="M453" s="15">
        <v>4.9000000000000004</v>
      </c>
      <c r="N453">
        <v>4</v>
      </c>
      <c r="O453">
        <v>5</v>
      </c>
      <c r="P453">
        <v>4.9000000000000004</v>
      </c>
      <c r="Q453">
        <v>8.5</v>
      </c>
      <c r="R453" s="2">
        <f>IF(ISBLANK(Table1[[#This Row],[Age]]),AVERAGE(Table1[Age]),Table1[[#This Row],[Age]])</f>
        <v>62</v>
      </c>
      <c r="S453" t="str">
        <f>PROPER(Table1[[#This Row],[Country]])</f>
        <v>Brazil</v>
      </c>
      <c r="T453" t="str">
        <f>TRIM(Table1[[#This Row],[Profession]])</f>
        <v>UNKNOWN</v>
      </c>
      <c r="U453" s="5">
        <f>IF(ISBLANK(H453),AVERAGEIF(Table1[[#This Row],[Profession imputed]],T453,Table1[Monthly_Income]),H453)</f>
        <v>460</v>
      </c>
      <c r="V453" s="6" t="str">
        <f>PROPER(TRIM(Table1[AI_Tool]))</f>
        <v>Chat Gpt</v>
      </c>
      <c r="W453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454" spans="1:23" x14ac:dyDescent="0.25">
      <c r="A454" t="s">
        <v>163</v>
      </c>
      <c r="B454">
        <v>19</v>
      </c>
      <c r="C454" t="s">
        <v>22</v>
      </c>
      <c r="D454" t="s">
        <v>92</v>
      </c>
      <c r="E454" t="s">
        <v>111</v>
      </c>
      <c r="F454" t="s">
        <v>132</v>
      </c>
      <c r="G454" t="s">
        <v>133</v>
      </c>
      <c r="H454">
        <v>464</v>
      </c>
      <c r="I454" t="s">
        <v>69</v>
      </c>
      <c r="J454" s="6" t="s">
        <v>124</v>
      </c>
      <c r="K454" s="15">
        <v>4.0999999999999996</v>
      </c>
      <c r="L454" s="5">
        <v>0</v>
      </c>
      <c r="M454" s="15">
        <v>4.7</v>
      </c>
      <c r="N454">
        <v>4</v>
      </c>
      <c r="O454">
        <v>7</v>
      </c>
      <c r="P454">
        <v>9.1999999999999993</v>
      </c>
      <c r="Q454">
        <v>6.2</v>
      </c>
      <c r="R454" s="2">
        <f>IF(ISBLANK(Table1[[#This Row],[Age]]),AVERAGE(Table1[Age]),Table1[[#This Row],[Age]])</f>
        <v>19</v>
      </c>
      <c r="S454" t="str">
        <f>PROPER(Table1[[#This Row],[Country]])</f>
        <v>Canada</v>
      </c>
      <c r="T454" t="str">
        <f>TRIM(Table1[[#This Row],[Profession]])</f>
        <v>Biology Student</v>
      </c>
      <c r="U454" s="5">
        <f>IF(ISBLANK(H454),AVERAGEIF(Table1[[#This Row],[Profession imputed]],T454,Table1[Monthly_Income]),H454)</f>
        <v>464</v>
      </c>
      <c r="V454" s="6" t="str">
        <f>PROPER(TRIM(Table1[AI_Tool]))</f>
        <v>Perplexity Ai</v>
      </c>
      <c r="W454" s="8">
        <f>IF(ISBLANK(Table1[[#This Row],[Time_Saved_Hours_Per_Week]]),AVERAGEIF(Table1[Satisfaction_Score],Table1[[#This Row],[Satisfaction_Score]],Table1[Time_Saved_Hours_Per_Week]),Table1[[#This Row],[Time_Saved_Hours_Per_Week]])</f>
        <v>9.1999999999999993</v>
      </c>
    </row>
    <row r="455" spans="1:23" x14ac:dyDescent="0.25">
      <c r="A455" t="s">
        <v>21</v>
      </c>
      <c r="B455">
        <v>30</v>
      </c>
      <c r="C455" t="s">
        <v>22</v>
      </c>
      <c r="D455" t="s">
        <v>23</v>
      </c>
      <c r="E455" t="s">
        <v>24</v>
      </c>
      <c r="F455" t="s">
        <v>25</v>
      </c>
      <c r="G455" t="s">
        <v>26</v>
      </c>
      <c r="I455" t="s">
        <v>271</v>
      </c>
      <c r="J455" s="6" t="s">
        <v>27</v>
      </c>
      <c r="K455" s="15">
        <v>1</v>
      </c>
      <c r="L455" s="5">
        <v>0</v>
      </c>
      <c r="M455" s="15">
        <v>4</v>
      </c>
      <c r="N455">
        <v>3</v>
      </c>
      <c r="O455">
        <v>6</v>
      </c>
      <c r="P455">
        <v>2.7</v>
      </c>
      <c r="Q455">
        <v>8</v>
      </c>
      <c r="R455" s="2">
        <f>IF(ISBLANK(Table1[[#This Row],[Age]]),AVERAGE(Table1[Age]),Table1[[#This Row],[Age]])</f>
        <v>30</v>
      </c>
      <c r="S455" t="str">
        <f>PROPER(Table1[[#This Row],[Country]])</f>
        <v>Germany</v>
      </c>
      <c r="T455" t="str">
        <f>TRIM(Table1[[#This Row],[Profession]])</f>
        <v>Customer Service Specialist</v>
      </c>
      <c r="U455" s="5">
        <f>IF(ISBLANK(H455),AVERAGEIF(Table1[Profession imputed],T455,Table1[Monthly_Income]),H455)</f>
        <v>465.66666666666669</v>
      </c>
      <c r="V455" s="6" t="str">
        <f>PROPER(TRIM(Table1[AI_Tool]))</f>
        <v>Chat Gpt</v>
      </c>
      <c r="W455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56" spans="1:23" x14ac:dyDescent="0.25">
      <c r="A456" t="s">
        <v>423</v>
      </c>
      <c r="B456">
        <v>31</v>
      </c>
      <c r="C456" t="s">
        <v>22</v>
      </c>
      <c r="D456" t="s">
        <v>23</v>
      </c>
      <c r="E456" t="s">
        <v>24</v>
      </c>
      <c r="F456" t="s">
        <v>25</v>
      </c>
      <c r="G456" t="s">
        <v>422</v>
      </c>
      <c r="I456" t="s">
        <v>271</v>
      </c>
      <c r="J456" s="6" t="s">
        <v>27</v>
      </c>
      <c r="K456" s="15">
        <v>1</v>
      </c>
      <c r="L456" s="5">
        <v>0</v>
      </c>
      <c r="M456" s="15">
        <v>4</v>
      </c>
      <c r="N456">
        <v>3</v>
      </c>
      <c r="O456">
        <v>6</v>
      </c>
      <c r="P456">
        <v>2.7</v>
      </c>
      <c r="Q456">
        <v>8</v>
      </c>
      <c r="R456" s="2">
        <f>IF(ISBLANK(Table1[[#This Row],[Age]]),AVERAGE(Table1[Age]),Table1[[#This Row],[Age]])</f>
        <v>31</v>
      </c>
      <c r="S456" t="str">
        <f>PROPER(Table1[[#This Row],[Country]])</f>
        <v>Germany</v>
      </c>
      <c r="T456" t="str">
        <f>TRIM(Table1[[#This Row],[Profession]])</f>
        <v>Customer Service Specialist</v>
      </c>
      <c r="U456" s="5">
        <f>IF(ISBLANK(H456),AVERAGEIF(Table1[Profession imputed],T456,Table1[Monthly_Income]),H456)</f>
        <v>465.66666666666669</v>
      </c>
      <c r="V456" s="6" t="str">
        <f>PROPER(TRIM(Table1[AI_Tool]))</f>
        <v>Chat Gpt</v>
      </c>
      <c r="W456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57" spans="1:23" x14ac:dyDescent="0.25">
      <c r="A457" t="s">
        <v>424</v>
      </c>
      <c r="B457">
        <v>27</v>
      </c>
      <c r="C457" t="s">
        <v>22</v>
      </c>
      <c r="D457" t="s">
        <v>23</v>
      </c>
      <c r="E457" t="s">
        <v>24</v>
      </c>
      <c r="F457" t="s">
        <v>25</v>
      </c>
      <c r="G457" t="s">
        <v>422</v>
      </c>
      <c r="I457" t="s">
        <v>271</v>
      </c>
      <c r="J457" s="6" t="s">
        <v>27</v>
      </c>
      <c r="K457" s="15">
        <v>1</v>
      </c>
      <c r="L457" s="5">
        <v>0</v>
      </c>
      <c r="M457" s="15">
        <v>4</v>
      </c>
      <c r="N457">
        <v>3</v>
      </c>
      <c r="O457">
        <v>6</v>
      </c>
      <c r="P457">
        <v>2.7</v>
      </c>
      <c r="Q457">
        <v>8</v>
      </c>
      <c r="R457" s="2">
        <f>IF(ISBLANK(Table1[[#This Row],[Age]]),AVERAGE(Table1[Age]),Table1[[#This Row],[Age]])</f>
        <v>27</v>
      </c>
      <c r="S457" t="str">
        <f>PROPER(Table1[[#This Row],[Country]])</f>
        <v>Germany</v>
      </c>
      <c r="T457" t="str">
        <f>TRIM(Table1[[#This Row],[Profession]])</f>
        <v>Customer Service Specialist</v>
      </c>
      <c r="U457" s="5">
        <f>IF(ISBLANK(H457),AVERAGEIF(Table1[Profession imputed],T457,Table1[Monthly_Income]),H457)</f>
        <v>465.66666666666669</v>
      </c>
      <c r="V457" s="6" t="str">
        <f>PROPER(TRIM(Table1[AI_Tool]))</f>
        <v>Chat Gpt</v>
      </c>
      <c r="W457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58" spans="1:23" x14ac:dyDescent="0.25">
      <c r="A458" t="s">
        <v>425</v>
      </c>
      <c r="B458">
        <v>31</v>
      </c>
      <c r="C458" t="s">
        <v>22</v>
      </c>
      <c r="D458" t="s">
        <v>23</v>
      </c>
      <c r="E458" t="s">
        <v>24</v>
      </c>
      <c r="F458" t="s">
        <v>25</v>
      </c>
      <c r="G458" t="s">
        <v>422</v>
      </c>
      <c r="I458" t="s">
        <v>271</v>
      </c>
      <c r="J458" s="6" t="s">
        <v>27</v>
      </c>
      <c r="K458" s="15">
        <v>1</v>
      </c>
      <c r="L458" s="5">
        <v>0</v>
      </c>
      <c r="M458" s="15">
        <v>4</v>
      </c>
      <c r="N458">
        <v>3</v>
      </c>
      <c r="O458">
        <v>6</v>
      </c>
      <c r="P458">
        <v>2.7</v>
      </c>
      <c r="Q458">
        <v>8</v>
      </c>
      <c r="R458" s="2">
        <f>IF(ISBLANK(Table1[[#This Row],[Age]]),AVERAGE(Table1[Age]),Table1[[#This Row],[Age]])</f>
        <v>31</v>
      </c>
      <c r="S458" t="str">
        <f>PROPER(Table1[[#This Row],[Country]])</f>
        <v>Germany</v>
      </c>
      <c r="T458" t="str">
        <f>TRIM(Table1[[#This Row],[Profession]])</f>
        <v>Customer Service Specialist</v>
      </c>
      <c r="U458" s="5">
        <f>IF(ISBLANK(H458),AVERAGEIF(Table1[Profession imputed],T458,Table1[Monthly_Income]),H458)</f>
        <v>465.66666666666669</v>
      </c>
      <c r="V458" s="6" t="str">
        <f>PROPER(TRIM(Table1[AI_Tool]))</f>
        <v>Chat Gpt</v>
      </c>
      <c r="W458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59" spans="1:23" x14ac:dyDescent="0.25">
      <c r="A459" t="s">
        <v>426</v>
      </c>
      <c r="B459">
        <v>27</v>
      </c>
      <c r="C459" t="s">
        <v>22</v>
      </c>
      <c r="D459" t="s">
        <v>23</v>
      </c>
      <c r="E459" t="s">
        <v>24</v>
      </c>
      <c r="F459" t="s">
        <v>25</v>
      </c>
      <c r="G459" t="s">
        <v>422</v>
      </c>
      <c r="I459" t="s">
        <v>271</v>
      </c>
      <c r="J459" s="6" t="s">
        <v>27</v>
      </c>
      <c r="K459" s="15">
        <v>1</v>
      </c>
      <c r="L459" s="5">
        <v>0</v>
      </c>
      <c r="M459" s="15">
        <v>4</v>
      </c>
      <c r="N459">
        <v>3</v>
      </c>
      <c r="O459">
        <v>6</v>
      </c>
      <c r="P459">
        <v>2.7</v>
      </c>
      <c r="Q459">
        <v>8</v>
      </c>
      <c r="R459" s="2">
        <f>IF(ISBLANK(Table1[[#This Row],[Age]]),AVERAGE(Table1[Age]),Table1[[#This Row],[Age]])</f>
        <v>27</v>
      </c>
      <c r="S459" t="str">
        <f>PROPER(Table1[[#This Row],[Country]])</f>
        <v>Germany</v>
      </c>
      <c r="T459" t="str">
        <f>TRIM(Table1[[#This Row],[Profession]])</f>
        <v>Customer Service Specialist</v>
      </c>
      <c r="U459" s="5">
        <f>IF(ISBLANK(H459),AVERAGEIF(Table1[Profession imputed],T459,Table1[Monthly_Income]),H459)</f>
        <v>465.66666666666669</v>
      </c>
      <c r="V459" s="6" t="str">
        <f>PROPER(TRIM(Table1[AI_Tool]))</f>
        <v>Chat Gpt</v>
      </c>
      <c r="W459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60" spans="1:23" x14ac:dyDescent="0.25">
      <c r="A460" t="s">
        <v>427</v>
      </c>
      <c r="B460">
        <v>29</v>
      </c>
      <c r="C460" t="s">
        <v>22</v>
      </c>
      <c r="D460" t="s">
        <v>23</v>
      </c>
      <c r="E460" t="s">
        <v>24</v>
      </c>
      <c r="F460" t="s">
        <v>25</v>
      </c>
      <c r="G460" t="s">
        <v>422</v>
      </c>
      <c r="I460" t="s">
        <v>271</v>
      </c>
      <c r="J460" s="6" t="s">
        <v>27</v>
      </c>
      <c r="K460" s="15">
        <v>1</v>
      </c>
      <c r="L460" s="5">
        <v>0</v>
      </c>
      <c r="M460" s="15">
        <v>4</v>
      </c>
      <c r="N460">
        <v>3</v>
      </c>
      <c r="O460">
        <v>6</v>
      </c>
      <c r="P460">
        <v>2.7</v>
      </c>
      <c r="Q460">
        <v>8</v>
      </c>
      <c r="R460" s="2">
        <f>IF(ISBLANK(Table1[[#This Row],[Age]]),AVERAGE(Table1[Age]),Table1[[#This Row],[Age]])</f>
        <v>29</v>
      </c>
      <c r="S460" t="str">
        <f>PROPER(Table1[[#This Row],[Country]])</f>
        <v>Germany</v>
      </c>
      <c r="T460" t="str">
        <f>TRIM(Table1[[#This Row],[Profession]])</f>
        <v>Customer Service Specialist</v>
      </c>
      <c r="U460" s="5">
        <f>IF(ISBLANK(H460),AVERAGEIF(Table1[Profession imputed],T460,Table1[Monthly_Income]),H460)</f>
        <v>465.66666666666669</v>
      </c>
      <c r="V460" s="6" t="str">
        <f>PROPER(TRIM(Table1[AI_Tool]))</f>
        <v>Chat Gpt</v>
      </c>
      <c r="W460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61" spans="1:23" x14ac:dyDescent="0.25">
      <c r="A461" t="s">
        <v>428</v>
      </c>
      <c r="B461">
        <v>29</v>
      </c>
      <c r="C461" t="s">
        <v>22</v>
      </c>
      <c r="D461" t="s">
        <v>23</v>
      </c>
      <c r="E461" t="s">
        <v>24</v>
      </c>
      <c r="F461" t="s">
        <v>25</v>
      </c>
      <c r="G461" t="s">
        <v>422</v>
      </c>
      <c r="I461" t="s">
        <v>271</v>
      </c>
      <c r="J461" s="6" t="s">
        <v>27</v>
      </c>
      <c r="K461" s="15">
        <v>1</v>
      </c>
      <c r="L461" s="5">
        <v>0</v>
      </c>
      <c r="M461" s="15">
        <v>4</v>
      </c>
      <c r="N461">
        <v>3</v>
      </c>
      <c r="O461">
        <v>6</v>
      </c>
      <c r="P461">
        <v>2.7</v>
      </c>
      <c r="Q461">
        <v>8</v>
      </c>
      <c r="R461" s="2">
        <f>IF(ISBLANK(Table1[[#This Row],[Age]]),AVERAGE(Table1[Age]),Table1[[#This Row],[Age]])</f>
        <v>29</v>
      </c>
      <c r="S461" t="str">
        <f>PROPER(Table1[[#This Row],[Country]])</f>
        <v>Germany</v>
      </c>
      <c r="T461" t="str">
        <f>TRIM(Table1[[#This Row],[Profession]])</f>
        <v>Customer Service Specialist</v>
      </c>
      <c r="U461" s="5">
        <f>IF(ISBLANK(H461),AVERAGEIF(Table1[Profession imputed],T461,Table1[Monthly_Income]),H461)</f>
        <v>465.66666666666669</v>
      </c>
      <c r="V461" s="6" t="str">
        <f>PROPER(TRIM(Table1[AI_Tool]))</f>
        <v>Chat Gpt</v>
      </c>
      <c r="W461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62" spans="1:23" x14ac:dyDescent="0.25">
      <c r="A462" t="s">
        <v>430</v>
      </c>
      <c r="B462">
        <v>31</v>
      </c>
      <c r="C462" t="s">
        <v>22</v>
      </c>
      <c r="D462" t="s">
        <v>23</v>
      </c>
      <c r="E462" t="s">
        <v>24</v>
      </c>
      <c r="F462" t="s">
        <v>25</v>
      </c>
      <c r="G462" t="s">
        <v>422</v>
      </c>
      <c r="I462" t="s">
        <v>271</v>
      </c>
      <c r="J462" s="6" t="s">
        <v>27</v>
      </c>
      <c r="K462" s="15">
        <v>1</v>
      </c>
      <c r="L462" s="5">
        <v>0</v>
      </c>
      <c r="M462" s="15">
        <v>4</v>
      </c>
      <c r="N462">
        <v>3</v>
      </c>
      <c r="O462">
        <v>6</v>
      </c>
      <c r="P462">
        <v>2.7</v>
      </c>
      <c r="Q462">
        <v>8</v>
      </c>
      <c r="R462" s="2">
        <f>IF(ISBLANK(Table1[[#This Row],[Age]]),AVERAGE(Table1[Age]),Table1[[#This Row],[Age]])</f>
        <v>31</v>
      </c>
      <c r="S462" t="str">
        <f>PROPER(Table1[[#This Row],[Country]])</f>
        <v>Germany</v>
      </c>
      <c r="T462" t="str">
        <f>TRIM(Table1[[#This Row],[Profession]])</f>
        <v>Customer Service Specialist</v>
      </c>
      <c r="U462" s="5">
        <f>IF(ISBLANK(H462),AVERAGEIF(Table1[Profession imputed],T462,Table1[Monthly_Income]),H462)</f>
        <v>465.66666666666669</v>
      </c>
      <c r="V462" s="6" t="str">
        <f>PROPER(TRIM(Table1[AI_Tool]))</f>
        <v>Chat Gpt</v>
      </c>
      <c r="W462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63" spans="1:23" x14ac:dyDescent="0.25">
      <c r="A463" t="s">
        <v>432</v>
      </c>
      <c r="B463">
        <v>28</v>
      </c>
      <c r="C463" t="s">
        <v>22</v>
      </c>
      <c r="D463" t="s">
        <v>23</v>
      </c>
      <c r="E463" t="s">
        <v>24</v>
      </c>
      <c r="F463" t="s">
        <v>25</v>
      </c>
      <c r="G463" t="s">
        <v>422</v>
      </c>
      <c r="I463" t="s">
        <v>271</v>
      </c>
      <c r="J463" s="6" t="s">
        <v>27</v>
      </c>
      <c r="K463" s="15">
        <v>1</v>
      </c>
      <c r="L463" s="5">
        <v>0</v>
      </c>
      <c r="M463" s="15">
        <v>4</v>
      </c>
      <c r="N463">
        <v>3</v>
      </c>
      <c r="O463">
        <v>6</v>
      </c>
      <c r="P463">
        <v>2.7</v>
      </c>
      <c r="Q463">
        <v>8</v>
      </c>
      <c r="R463" s="2">
        <f>IF(ISBLANK(Table1[[#This Row],[Age]]),AVERAGE(Table1[Age]),Table1[[#This Row],[Age]])</f>
        <v>28</v>
      </c>
      <c r="S463" t="str">
        <f>PROPER(Table1[[#This Row],[Country]])</f>
        <v>Germany</v>
      </c>
      <c r="T463" t="str">
        <f>TRIM(Table1[[#This Row],[Profession]])</f>
        <v>Customer Service Specialist</v>
      </c>
      <c r="U463" s="5">
        <f>IF(ISBLANK(H463),AVERAGEIF(Table1[Profession imputed],T463,Table1[Monthly_Income]),H463)</f>
        <v>465.66666666666669</v>
      </c>
      <c r="V463" s="6" t="str">
        <f>PROPER(TRIM(Table1[AI_Tool]))</f>
        <v>Chat Gpt</v>
      </c>
      <c r="W463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464" spans="1:23" x14ac:dyDescent="0.25">
      <c r="A464" t="s">
        <v>1092</v>
      </c>
      <c r="B464">
        <v>49</v>
      </c>
      <c r="C464" t="s">
        <v>29</v>
      </c>
      <c r="D464" t="s">
        <v>30</v>
      </c>
      <c r="E464" t="s">
        <v>24</v>
      </c>
      <c r="F464" t="s">
        <v>45</v>
      </c>
      <c r="G464" t="s">
        <v>1091</v>
      </c>
      <c r="H464">
        <v>466</v>
      </c>
      <c r="I464" t="s">
        <v>1186</v>
      </c>
      <c r="J464" s="6" t="s">
        <v>33</v>
      </c>
      <c r="K464" s="15">
        <v>5.5</v>
      </c>
      <c r="L464" s="5">
        <v>0</v>
      </c>
      <c r="M464" s="15">
        <v>7.8</v>
      </c>
      <c r="N464">
        <v>4</v>
      </c>
      <c r="O464">
        <v>7</v>
      </c>
      <c r="P464">
        <v>11.5</v>
      </c>
      <c r="Q464">
        <v>8.4</v>
      </c>
      <c r="R464" s="2">
        <f>IF(ISBLANK(Table1[[#This Row],[Age]]),AVERAGE(Table1[Age]),Table1[[#This Row],[Age]])</f>
        <v>49</v>
      </c>
      <c r="S464" t="str">
        <f>PROPER(Table1[[#This Row],[Country]])</f>
        <v>Brazil</v>
      </c>
      <c r="T464" t="str">
        <f>TRIM(Table1[[#This Row],[Profession]])</f>
        <v>Systems Developer</v>
      </c>
      <c r="U464" s="5">
        <f>IF(ISBLANK(H464),AVERAGEIF(Table1[[#This Row],[Profession imputed]],T464,Table1[Monthly_Income]),H464)</f>
        <v>466</v>
      </c>
      <c r="V464" s="6" t="str">
        <f>PROPER(TRIM(Table1[AI_Tool]))</f>
        <v>Google Gemini</v>
      </c>
      <c r="W464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465" spans="1:23" x14ac:dyDescent="0.25">
      <c r="A465" t="s">
        <v>153</v>
      </c>
      <c r="B465">
        <v>18</v>
      </c>
      <c r="C465" t="s">
        <v>22</v>
      </c>
      <c r="D465" t="s">
        <v>44</v>
      </c>
      <c r="E465" t="s">
        <v>111</v>
      </c>
      <c r="F465" t="s">
        <v>25</v>
      </c>
      <c r="G465" t="s">
        <v>133</v>
      </c>
      <c r="H465">
        <v>468</v>
      </c>
      <c r="I465" t="s">
        <v>271</v>
      </c>
      <c r="J465" s="6" t="s">
        <v>124</v>
      </c>
      <c r="K465" s="15">
        <v>4.3</v>
      </c>
      <c r="L465" s="5">
        <v>20</v>
      </c>
      <c r="M465" s="15">
        <v>5.8</v>
      </c>
      <c r="N465">
        <v>2</v>
      </c>
      <c r="O465">
        <v>6</v>
      </c>
      <c r="P465">
        <v>8.1</v>
      </c>
      <c r="Q465">
        <v>5.2</v>
      </c>
      <c r="R465" s="2">
        <f>IF(ISBLANK(Table1[[#This Row],[Age]]),AVERAGE(Table1[Age]),Table1[[#This Row],[Age]])</f>
        <v>18</v>
      </c>
      <c r="S465" t="str">
        <f>PROPER(Table1[[#This Row],[Country]])</f>
        <v>United States</v>
      </c>
      <c r="T465" t="str">
        <f>TRIM(Table1[[#This Row],[Profession]])</f>
        <v>Biology Student</v>
      </c>
      <c r="U465" s="5">
        <f>IF(ISBLANK(H465),AVERAGEIF(Table1[[#This Row],[Profession imputed]],T465,Table1[Monthly_Income]),H465)</f>
        <v>468</v>
      </c>
      <c r="V465" s="6" t="str">
        <f>PROPER(TRIM(Table1[AI_Tool]))</f>
        <v>Chat Gpt</v>
      </c>
      <c r="W465" s="8">
        <f>IF(ISBLANK(Table1[[#This Row],[Time_Saved_Hours_Per_Week]]),AVERAGEIF(Table1[Satisfaction_Score],Table1[[#This Row],[Satisfaction_Score]],Table1[Time_Saved_Hours_Per_Week]),Table1[[#This Row],[Time_Saved_Hours_Per_Week]])</f>
        <v>8.1</v>
      </c>
    </row>
    <row r="466" spans="1:23" x14ac:dyDescent="0.25">
      <c r="A466" t="s">
        <v>863</v>
      </c>
      <c r="B466">
        <v>26</v>
      </c>
      <c r="C466" t="s">
        <v>29</v>
      </c>
      <c r="D466" t="s">
        <v>117</v>
      </c>
      <c r="E466" t="s">
        <v>111</v>
      </c>
      <c r="F466" t="s">
        <v>218</v>
      </c>
      <c r="G466" t="s">
        <v>851</v>
      </c>
      <c r="H466">
        <v>468</v>
      </c>
      <c r="I466" t="s">
        <v>1186</v>
      </c>
      <c r="J466" s="6" t="s">
        <v>124</v>
      </c>
      <c r="K466" s="15">
        <v>1.2</v>
      </c>
      <c r="L466" s="5">
        <v>0</v>
      </c>
      <c r="M466" s="15">
        <v>3.8</v>
      </c>
      <c r="N466">
        <v>3</v>
      </c>
      <c r="O466">
        <v>5</v>
      </c>
      <c r="P466">
        <v>3</v>
      </c>
      <c r="Q466">
        <v>7.2</v>
      </c>
      <c r="R466" s="2">
        <f>IF(ISBLANK(Table1[[#This Row],[Age]]),AVERAGE(Table1[Age]),Table1[[#This Row],[Age]])</f>
        <v>26</v>
      </c>
      <c r="S466" t="str">
        <f>PROPER(Table1[[#This Row],[Country]])</f>
        <v>United Kingdom</v>
      </c>
      <c r="T466" t="str">
        <f>TRIM(Table1[[#This Row],[Profession]])</f>
        <v>Mechanical Engineering Student</v>
      </c>
      <c r="U466" s="5">
        <f>IF(ISBLANK(H466),AVERAGEIF(Table1[[#This Row],[Profession imputed]],T466,Table1[Monthly_Income]),H466)</f>
        <v>468</v>
      </c>
      <c r="V466" s="6" t="str">
        <f>PROPER(TRIM(Table1[AI_Tool]))</f>
        <v>Google Gemini</v>
      </c>
      <c r="W466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67" spans="1:23" x14ac:dyDescent="0.25">
      <c r="A467" t="s">
        <v>704</v>
      </c>
      <c r="B467">
        <v>24</v>
      </c>
      <c r="C467" t="s">
        <v>29</v>
      </c>
      <c r="D467" t="s">
        <v>117</v>
      </c>
      <c r="E467" t="s">
        <v>111</v>
      </c>
      <c r="F467" t="s">
        <v>1193</v>
      </c>
      <c r="G467" t="s">
        <v>671</v>
      </c>
      <c r="H467">
        <v>469</v>
      </c>
      <c r="I467" t="s">
        <v>271</v>
      </c>
      <c r="J467" s="6" t="s">
        <v>124</v>
      </c>
      <c r="K467" s="15">
        <v>0.6</v>
      </c>
      <c r="L467" s="5">
        <v>20</v>
      </c>
      <c r="M467" s="15">
        <v>1.9</v>
      </c>
      <c r="N467">
        <v>3</v>
      </c>
      <c r="O467">
        <v>4</v>
      </c>
      <c r="P467">
        <v>0</v>
      </c>
      <c r="Q467">
        <v>4.5</v>
      </c>
      <c r="R467" s="2">
        <f>IF(ISBLANK(Table1[[#This Row],[Age]]),AVERAGE(Table1[Age]),Table1[[#This Row],[Age]])</f>
        <v>24</v>
      </c>
      <c r="S467" t="str">
        <f>PROPER(Table1[[#This Row],[Country]])</f>
        <v>United Kingdom</v>
      </c>
      <c r="T467" t="str">
        <f>TRIM(Table1[[#This Row],[Profession]])</f>
        <v>English Literature Student</v>
      </c>
      <c r="U467" s="5">
        <f>IF(ISBLANK(H467),AVERAGEIF(Table1[[#This Row],[Profession imputed]],T467,Table1[Monthly_Income]),H467)</f>
        <v>469</v>
      </c>
      <c r="V467" s="6" t="str">
        <f>PROPER(TRIM(Table1[AI_Tool]))</f>
        <v>Chat Gpt</v>
      </c>
      <c r="W467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468" spans="1:23" x14ac:dyDescent="0.25">
      <c r="A468" t="s">
        <v>698</v>
      </c>
      <c r="B468">
        <v>21</v>
      </c>
      <c r="C468" t="s">
        <v>29</v>
      </c>
      <c r="D468" t="s">
        <v>189</v>
      </c>
      <c r="E468" t="s">
        <v>111</v>
      </c>
      <c r="F468" t="s">
        <v>132</v>
      </c>
      <c r="G468" t="s">
        <v>671</v>
      </c>
      <c r="H468">
        <v>472</v>
      </c>
      <c r="I468" t="s">
        <v>271</v>
      </c>
      <c r="J468" s="6" t="s">
        <v>38</v>
      </c>
      <c r="K468" s="15">
        <v>5.2</v>
      </c>
      <c r="L468" s="5">
        <v>0</v>
      </c>
      <c r="M468" s="15">
        <v>6.7</v>
      </c>
      <c r="N468" s="7">
        <v>4</v>
      </c>
      <c r="O468">
        <v>7</v>
      </c>
      <c r="P468">
        <v>12.1</v>
      </c>
      <c r="Q468">
        <v>7</v>
      </c>
      <c r="R468" s="2">
        <f>IF(ISBLANK(Table1[[#This Row],[Age]]),AVERAGE(Table1[Age]),Table1[[#This Row],[Age]])</f>
        <v>21</v>
      </c>
      <c r="S468" t="str">
        <f>PROPER(Table1[[#This Row],[Country]])</f>
        <v>Australia</v>
      </c>
      <c r="T468" t="str">
        <f>TRIM(Table1[[#This Row],[Profession]])</f>
        <v>English Literature Student</v>
      </c>
      <c r="U468" s="5">
        <f>IF(ISBLANK(H468),AVERAGEIF(Table1[[#This Row],[Profession imputed]],T468,Table1[Monthly_Income]),H468)</f>
        <v>472</v>
      </c>
      <c r="V468" s="6" t="str">
        <f>PROPER(TRIM(Table1[AI_Tool]))</f>
        <v>Chat Gpt</v>
      </c>
      <c r="W468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469" spans="1:23" x14ac:dyDescent="0.25">
      <c r="A469" t="s">
        <v>65</v>
      </c>
      <c r="C469" t="s">
        <v>29</v>
      </c>
      <c r="D469" t="s">
        <v>49</v>
      </c>
      <c r="E469" t="s">
        <v>24</v>
      </c>
      <c r="F469" t="s">
        <v>50</v>
      </c>
      <c r="G469" t="s">
        <v>46</v>
      </c>
      <c r="H469">
        <v>474</v>
      </c>
      <c r="I469" t="s">
        <v>271</v>
      </c>
      <c r="J469" s="6" t="s">
        <v>47</v>
      </c>
      <c r="K469" s="15">
        <v>9.9</v>
      </c>
      <c r="L469" s="5">
        <v>0</v>
      </c>
      <c r="M469" s="15">
        <v>8.8000000000000007</v>
      </c>
      <c r="N469">
        <v>5</v>
      </c>
      <c r="O469">
        <v>9</v>
      </c>
      <c r="P469">
        <v>16.2</v>
      </c>
      <c r="Q469">
        <v>8.5</v>
      </c>
      <c r="R469" s="2">
        <f>IF(ISBLANK(Table1[[#This Row],[Age]]),AVERAGE(Table1[Age]),Table1[[#This Row],[Age]])</f>
        <v>30.023333333333333</v>
      </c>
      <c r="S469" t="str">
        <f>PROPER(Table1[[#This Row],[Country]])</f>
        <v>Kenya</v>
      </c>
      <c r="T469" t="str">
        <f>TRIM(Table1[[#This Row],[Profession]])</f>
        <v>Administrative Assistant</v>
      </c>
      <c r="U469" s="5">
        <f>IF(ISBLANK(H469),AVERAGEIF(Table1[[#This Row],[Profession imputed]],T469,Table1[Monthly_Income]),H469)</f>
        <v>474</v>
      </c>
      <c r="V469" s="6" t="str">
        <f>PROPER(TRIM(Table1[AI_Tool]))</f>
        <v>Chat Gpt</v>
      </c>
      <c r="W469" s="8">
        <f>IF(ISBLANK(Table1[[#This Row],[Time_Saved_Hours_Per_Week]]),AVERAGEIF(Table1[Satisfaction_Score],Table1[[#This Row],[Satisfaction_Score]],Table1[Time_Saved_Hours_Per_Week]),Table1[[#This Row],[Time_Saved_Hours_Per_Week]])</f>
        <v>16.2</v>
      </c>
    </row>
    <row r="470" spans="1:23" x14ac:dyDescent="0.25">
      <c r="A470" t="s">
        <v>555</v>
      </c>
      <c r="B470">
        <v>25</v>
      </c>
      <c r="C470" t="s">
        <v>22</v>
      </c>
      <c r="D470" t="s">
        <v>44</v>
      </c>
      <c r="E470" t="s">
        <v>111</v>
      </c>
      <c r="F470" t="s">
        <v>55</v>
      </c>
      <c r="G470" t="s">
        <v>520</v>
      </c>
      <c r="H470">
        <v>475</v>
      </c>
      <c r="I470" t="s">
        <v>271</v>
      </c>
      <c r="J470" s="6" t="s">
        <v>124</v>
      </c>
      <c r="K470" s="15">
        <v>2.7</v>
      </c>
      <c r="L470" s="5">
        <v>0</v>
      </c>
      <c r="M470" s="15">
        <v>5.7</v>
      </c>
      <c r="N470">
        <v>4</v>
      </c>
      <c r="O470">
        <v>7</v>
      </c>
      <c r="P470">
        <v>8.4</v>
      </c>
      <c r="Q470">
        <v>5.4</v>
      </c>
      <c r="R470" s="2">
        <f>IF(ISBLANK(Table1[[#This Row],[Age]]),AVERAGE(Table1[Age]),Table1[[#This Row],[Age]])</f>
        <v>25</v>
      </c>
      <c r="S470" t="str">
        <f>PROPER(Table1[[#This Row],[Country]])</f>
        <v>United States</v>
      </c>
      <c r="T470" t="str">
        <f>TRIM(Table1[[#This Row],[Profession]])</f>
        <v>Data Science Student</v>
      </c>
      <c r="U470" s="5">
        <f>IF(ISBLANK(H470),AVERAGEIF(Table1[Profession imputed],T470,Table1[Monthly_Income]),H470)</f>
        <v>475</v>
      </c>
      <c r="V470" s="6" t="str">
        <f>PROPER(TRIM(Table1[AI_Tool]))</f>
        <v>Chat Gpt</v>
      </c>
      <c r="W470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471" spans="1:23" x14ac:dyDescent="0.25">
      <c r="A471" t="s">
        <v>1047</v>
      </c>
      <c r="B471">
        <v>34</v>
      </c>
      <c r="C471" t="s">
        <v>29</v>
      </c>
      <c r="D471" t="s">
        <v>483</v>
      </c>
      <c r="E471" t="s">
        <v>24</v>
      </c>
      <c r="F471" t="s">
        <v>25</v>
      </c>
      <c r="G471" t="s">
        <v>1046</v>
      </c>
      <c r="H471">
        <v>475</v>
      </c>
      <c r="I471" t="s">
        <v>1186</v>
      </c>
      <c r="J471" s="6" t="s">
        <v>33</v>
      </c>
      <c r="K471" s="15">
        <v>0.5</v>
      </c>
      <c r="L471" s="5">
        <v>20</v>
      </c>
      <c r="M471" s="15">
        <v>2.9</v>
      </c>
      <c r="N471">
        <v>3</v>
      </c>
      <c r="O471">
        <v>5</v>
      </c>
      <c r="P471">
        <v>0.1</v>
      </c>
      <c r="Q471">
        <v>10.199999999999999</v>
      </c>
      <c r="R471" s="2">
        <f>IF(ISBLANK(Table1[[#This Row],[Age]]),AVERAGE(Table1[Age]),Table1[[#This Row],[Age]])</f>
        <v>34</v>
      </c>
      <c r="S471" t="str">
        <f>PROPER(Table1[[#This Row],[Country]])</f>
        <v>Brazil</v>
      </c>
      <c r="T471" t="str">
        <f>TRIM(Table1[[#This Row],[Profession]])</f>
        <v>Software Developer SÃªnior</v>
      </c>
      <c r="U471" s="5">
        <f>IF(ISBLANK(H471),AVERAGEIF(Table1[[#This Row],[Profession imputed]],T471,Table1[Monthly_Income]),H471)</f>
        <v>475</v>
      </c>
      <c r="V471" s="6" t="str">
        <f>PROPER(TRIM(Table1[AI_Tool]))</f>
        <v>Google Gemini</v>
      </c>
      <c r="W471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472" spans="1:23" x14ac:dyDescent="0.25">
      <c r="A472" t="s">
        <v>541</v>
      </c>
      <c r="B472">
        <v>29</v>
      </c>
      <c r="C472" t="s">
        <v>29</v>
      </c>
      <c r="D472" t="s">
        <v>117</v>
      </c>
      <c r="E472" t="s">
        <v>111</v>
      </c>
      <c r="F472" t="s">
        <v>132</v>
      </c>
      <c r="G472" t="s">
        <v>520</v>
      </c>
      <c r="H472">
        <v>476</v>
      </c>
      <c r="I472" t="s">
        <v>69</v>
      </c>
      <c r="J472" s="6" t="s">
        <v>124</v>
      </c>
      <c r="K472" s="15">
        <v>1.5</v>
      </c>
      <c r="L472" s="5">
        <v>10</v>
      </c>
      <c r="M472" s="15">
        <v>0</v>
      </c>
      <c r="N472">
        <v>3</v>
      </c>
      <c r="O472">
        <v>5</v>
      </c>
      <c r="P472">
        <v>5.5</v>
      </c>
      <c r="Q472">
        <v>5.7</v>
      </c>
      <c r="R472" s="2">
        <f>IF(ISBLANK(Table1[[#This Row],[Age]]),AVERAGE(Table1[Age]),Table1[[#This Row],[Age]])</f>
        <v>29</v>
      </c>
      <c r="S472" t="str">
        <f>PROPER(Table1[[#This Row],[Country]])</f>
        <v>United Kingdom</v>
      </c>
      <c r="T472" t="str">
        <f>TRIM(Table1[[#This Row],[Profession]])</f>
        <v>Data Science Student</v>
      </c>
      <c r="U472" s="5">
        <f>IF(ISBLANK(H472),AVERAGEIF(Table1[Profession imputed],T472,Table1[Monthly_Income]),H472)</f>
        <v>476</v>
      </c>
      <c r="V472" s="6" t="str">
        <f>PROPER(TRIM(Table1[AI_Tool]))</f>
        <v>Perplexity Ai</v>
      </c>
      <c r="W472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473" spans="1:23" x14ac:dyDescent="0.25">
      <c r="A473" t="s">
        <v>316</v>
      </c>
      <c r="B473">
        <v>20</v>
      </c>
      <c r="C473" t="s">
        <v>22</v>
      </c>
      <c r="D473" t="s">
        <v>23</v>
      </c>
      <c r="E473" t="s">
        <v>111</v>
      </c>
      <c r="F473" t="s">
        <v>25</v>
      </c>
      <c r="G473" t="s">
        <v>270</v>
      </c>
      <c r="H473">
        <v>477</v>
      </c>
      <c r="I473" t="s">
        <v>271</v>
      </c>
      <c r="J473" s="6" t="s">
        <v>33</v>
      </c>
      <c r="K473" s="15">
        <v>1</v>
      </c>
      <c r="L473" s="5">
        <v>0</v>
      </c>
      <c r="M473" s="15">
        <v>3.6</v>
      </c>
      <c r="N473">
        <v>2</v>
      </c>
      <c r="O473">
        <v>5</v>
      </c>
      <c r="P473">
        <v>0</v>
      </c>
      <c r="Q473">
        <v>5.6</v>
      </c>
      <c r="R473" s="2">
        <f>IF(ISBLANK(Table1[[#This Row],[Age]]),AVERAGE(Table1[Age]),Table1[[#This Row],[Age]])</f>
        <v>20</v>
      </c>
      <c r="S473" t="str">
        <f>PROPER(Table1[[#This Row],[Country]])</f>
        <v>Germany</v>
      </c>
      <c r="T473" t="str">
        <f>TRIM(Table1[[#This Row],[Profession]])</f>
        <v>Computer Science Student</v>
      </c>
      <c r="U473" s="5">
        <f>IF(ISBLANK(H473),AVERAGEIF(Table1[Profession imputed],T473,Table1[Monthly_Income]),H473)</f>
        <v>477</v>
      </c>
      <c r="V473" s="6" t="str">
        <f>PROPER(TRIM(Table1[AI_Tool]))</f>
        <v>Chat Gpt</v>
      </c>
      <c r="W473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474" spans="1:23" x14ac:dyDescent="0.25">
      <c r="A474" t="s">
        <v>538</v>
      </c>
      <c r="B474">
        <v>17</v>
      </c>
      <c r="C474" t="s">
        <v>22</v>
      </c>
      <c r="D474" t="s">
        <v>189</v>
      </c>
      <c r="E474" t="s">
        <v>111</v>
      </c>
      <c r="F474" t="s">
        <v>55</v>
      </c>
      <c r="G474" t="s">
        <v>520</v>
      </c>
      <c r="H474">
        <v>480</v>
      </c>
      <c r="I474" t="s">
        <v>271</v>
      </c>
      <c r="J474" s="6" t="s">
        <v>106</v>
      </c>
      <c r="K474" s="15">
        <v>0.5</v>
      </c>
      <c r="L474" s="5">
        <v>10</v>
      </c>
      <c r="M474" s="15">
        <v>4.3</v>
      </c>
      <c r="N474">
        <v>4</v>
      </c>
      <c r="O474">
        <v>6</v>
      </c>
      <c r="P474">
        <v>0.5</v>
      </c>
      <c r="Q474">
        <v>7.5</v>
      </c>
      <c r="R474" s="2">
        <f>IF(ISBLANK(Table1[[#This Row],[Age]]),AVERAGE(Table1[Age]),Table1[[#This Row],[Age]])</f>
        <v>17</v>
      </c>
      <c r="S474" t="str">
        <f>PROPER(Table1[[#This Row],[Country]])</f>
        <v>Australia</v>
      </c>
      <c r="T474" t="str">
        <f>TRIM(Table1[[#This Row],[Profession]])</f>
        <v>Data Science Student</v>
      </c>
      <c r="U474" s="5">
        <f>IF(ISBLANK(H474),AVERAGEIF(Table1[Profession imputed],T474,Table1[Monthly_Income]),H474)</f>
        <v>480</v>
      </c>
      <c r="V474" s="6" t="str">
        <f>PROPER(TRIM(Table1[AI_Tool]))</f>
        <v>Chat Gpt</v>
      </c>
      <c r="W474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475" spans="1:23" x14ac:dyDescent="0.25">
      <c r="A475" t="s">
        <v>775</v>
      </c>
      <c r="B475">
        <v>27</v>
      </c>
      <c r="C475" t="s">
        <v>29</v>
      </c>
      <c r="D475" t="s">
        <v>137</v>
      </c>
      <c r="E475" t="s">
        <v>111</v>
      </c>
      <c r="F475" t="s">
        <v>50</v>
      </c>
      <c r="G475" t="s">
        <v>776</v>
      </c>
      <c r="H475">
        <v>482</v>
      </c>
      <c r="I475" t="s">
        <v>282</v>
      </c>
      <c r="J475" s="6" t="s">
        <v>130</v>
      </c>
      <c r="K475" s="15">
        <v>6</v>
      </c>
      <c r="L475" s="5">
        <v>0</v>
      </c>
      <c r="M475" s="15">
        <v>7.6</v>
      </c>
      <c r="N475">
        <v>5</v>
      </c>
      <c r="O475">
        <v>8</v>
      </c>
      <c r="P475">
        <v>13.1</v>
      </c>
      <c r="Q475">
        <v>6.8</v>
      </c>
      <c r="R475" s="2">
        <f>IF(ISBLANK(Table1[[#This Row],[Age]]),AVERAGE(Table1[Age]),Table1[[#This Row],[Age]])</f>
        <v>27</v>
      </c>
      <c r="S475" t="str">
        <f>PROPER(Table1[[#This Row],[Country]])</f>
        <v>France</v>
      </c>
      <c r="T475" t="str">
        <f>TRIM(Table1[[#This Row],[Profession]])</f>
        <v>History Student</v>
      </c>
      <c r="U475" s="5">
        <f>IF(ISBLANK(H475),AVERAGEIF(Table1[[#This Row],[Profession imputed]],T475,Table1[Monthly_Income]),H475)</f>
        <v>482</v>
      </c>
      <c r="V475" s="6" t="str">
        <f>PROPER(TRIM(Table1[AI_Tool]))</f>
        <v>Deepseek</v>
      </c>
      <c r="W475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76" spans="1:23" x14ac:dyDescent="0.25">
      <c r="A476" t="s">
        <v>809</v>
      </c>
      <c r="B476">
        <v>32</v>
      </c>
      <c r="C476" t="s">
        <v>22</v>
      </c>
      <c r="D476" t="s">
        <v>57</v>
      </c>
      <c r="E476" t="s">
        <v>24</v>
      </c>
      <c r="F476" t="s">
        <v>45</v>
      </c>
      <c r="G476" t="s">
        <v>803</v>
      </c>
      <c r="H476">
        <v>482</v>
      </c>
      <c r="I476" t="s">
        <v>271</v>
      </c>
      <c r="J476" s="6" t="s">
        <v>33</v>
      </c>
      <c r="K476" s="15">
        <v>0.7</v>
      </c>
      <c r="L476" s="5">
        <v>0</v>
      </c>
      <c r="M476" s="15">
        <v>4.3</v>
      </c>
      <c r="N476">
        <v>3</v>
      </c>
      <c r="O476">
        <v>4</v>
      </c>
      <c r="P476">
        <v>1.7</v>
      </c>
      <c r="Q476">
        <v>9.5</v>
      </c>
      <c r="R476" s="2">
        <f>IF(ISBLANK(Table1[[#This Row],[Age]]),AVERAGE(Table1[Age]),Table1[[#This Row],[Age]])</f>
        <v>32</v>
      </c>
      <c r="S476" t="str">
        <f>PROPER(Table1[[#This Row],[Country]])</f>
        <v>Pakistan</v>
      </c>
      <c r="T476" t="str">
        <f>TRIM(Table1[[#This Row],[Profession]])</f>
        <v>Junior Software Developer</v>
      </c>
      <c r="U476" s="5">
        <f>IF(ISBLANK(H476),AVERAGEIF(Table1[[#This Row],[Profession imputed]],T476,Table1[Monthly_Income]),H476)</f>
        <v>482</v>
      </c>
      <c r="V476" s="6" t="str">
        <f>PROPER(TRIM(Table1[AI_Tool]))</f>
        <v>Chat Gpt</v>
      </c>
      <c r="W476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477" spans="1:23" x14ac:dyDescent="0.25">
      <c r="A477" t="s">
        <v>1093</v>
      </c>
      <c r="B477">
        <v>48</v>
      </c>
      <c r="C477" t="s">
        <v>29</v>
      </c>
      <c r="D477" t="s">
        <v>30</v>
      </c>
      <c r="E477" t="s">
        <v>24</v>
      </c>
      <c r="F477" t="s">
        <v>45</v>
      </c>
      <c r="G477" t="s">
        <v>1091</v>
      </c>
      <c r="H477">
        <v>482</v>
      </c>
      <c r="I477" t="s">
        <v>1186</v>
      </c>
      <c r="J477" s="6" t="s">
        <v>33</v>
      </c>
      <c r="K477" s="15">
        <v>5.5</v>
      </c>
      <c r="L477" s="5">
        <v>0</v>
      </c>
      <c r="M477" s="15">
        <v>7.8</v>
      </c>
      <c r="N477">
        <v>4</v>
      </c>
      <c r="O477">
        <v>7</v>
      </c>
      <c r="P477">
        <v>11.5</v>
      </c>
      <c r="Q477">
        <v>8.4</v>
      </c>
      <c r="R477" s="2">
        <f>IF(ISBLANK(Table1[[#This Row],[Age]]),AVERAGE(Table1[Age]),Table1[[#This Row],[Age]])</f>
        <v>48</v>
      </c>
      <c r="S477" t="str">
        <f>PROPER(Table1[[#This Row],[Country]])</f>
        <v>Brazil</v>
      </c>
      <c r="T477" t="str">
        <f>TRIM(Table1[[#This Row],[Profession]])</f>
        <v>Systems Developer</v>
      </c>
      <c r="U477" s="5">
        <f>IF(ISBLANK(H477),AVERAGEIF(Table1[[#This Row],[Profession imputed]],T477,Table1[Monthly_Income]),H477)</f>
        <v>482</v>
      </c>
      <c r="V477" s="6" t="str">
        <f>PROPER(TRIM(Table1[AI_Tool]))</f>
        <v>Google Gemini</v>
      </c>
      <c r="W477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478" spans="1:23" x14ac:dyDescent="0.25">
      <c r="A478" t="s">
        <v>433</v>
      </c>
      <c r="B478">
        <v>39</v>
      </c>
      <c r="C478" t="s">
        <v>29</v>
      </c>
      <c r="D478" t="s">
        <v>52</v>
      </c>
      <c r="E478" t="s">
        <v>24</v>
      </c>
      <c r="F478" t="s">
        <v>45</v>
      </c>
      <c r="G478" t="s">
        <v>434</v>
      </c>
      <c r="H478">
        <v>483</v>
      </c>
      <c r="I478" t="s">
        <v>282</v>
      </c>
      <c r="J478" s="6" t="s">
        <v>27</v>
      </c>
      <c r="K478" s="15">
        <v>0.6</v>
      </c>
      <c r="L478" s="5">
        <v>25</v>
      </c>
      <c r="M478" s="15">
        <v>4.9000000000000004</v>
      </c>
      <c r="N478">
        <v>4</v>
      </c>
      <c r="O478">
        <v>6</v>
      </c>
      <c r="P478">
        <v>4</v>
      </c>
      <c r="Q478">
        <v>7.1</v>
      </c>
      <c r="R478" s="2">
        <f>IF(ISBLANK(Table1[[#This Row],[Age]]),AVERAGE(Table1[Age]),Table1[[#This Row],[Age]])</f>
        <v>39</v>
      </c>
      <c r="S478" t="str">
        <f>PROPER(Table1[[#This Row],[Country]])</f>
        <v>India</v>
      </c>
      <c r="T478" t="str">
        <f>TRIM(Table1[[#This Row],[Profession]])</f>
        <v>Customer Support Executive</v>
      </c>
      <c r="U478" s="5">
        <f>IF(ISBLANK(H478),AVERAGEIF(Table1[Profession imputed],T478,Table1[Monthly_Income]),H478)</f>
        <v>483</v>
      </c>
      <c r="V478" s="6" t="str">
        <f>PROPER(TRIM(Table1[AI_Tool]))</f>
        <v>Deepseek</v>
      </c>
      <c r="W478" s="8">
        <f>IF(ISBLANK(Table1[[#This Row],[Time_Saved_Hours_Per_Week]]),AVERAGEIF(Table1[Satisfaction_Score],Table1[[#This Row],[Satisfaction_Score]],Table1[Time_Saved_Hours_Per_Week]),Table1[[#This Row],[Time_Saved_Hours_Per_Week]])</f>
        <v>4</v>
      </c>
    </row>
    <row r="479" spans="1:23" x14ac:dyDescent="0.25">
      <c r="A479" t="s">
        <v>542</v>
      </c>
      <c r="B479">
        <v>31</v>
      </c>
      <c r="C479" t="s">
        <v>29</v>
      </c>
      <c r="D479" t="s">
        <v>23</v>
      </c>
      <c r="E479" t="s">
        <v>111</v>
      </c>
      <c r="F479" t="s">
        <v>25</v>
      </c>
      <c r="G479" t="s">
        <v>520</v>
      </c>
      <c r="H479">
        <v>484</v>
      </c>
      <c r="I479" t="s">
        <v>280</v>
      </c>
      <c r="J479" s="6" t="s">
        <v>130</v>
      </c>
      <c r="K479" s="15">
        <v>2</v>
      </c>
      <c r="L479" s="5">
        <v>0</v>
      </c>
      <c r="M479" s="15">
        <v>5.6</v>
      </c>
      <c r="N479">
        <v>4</v>
      </c>
      <c r="O479">
        <v>6</v>
      </c>
      <c r="P479">
        <v>3.8</v>
      </c>
      <c r="Q479">
        <v>2.8</v>
      </c>
      <c r="R479" s="2">
        <f>IF(ISBLANK(Table1[[#This Row],[Age]]),AVERAGE(Table1[Age]),Table1[[#This Row],[Age]])</f>
        <v>31</v>
      </c>
      <c r="S479" t="str">
        <f>PROPER(Table1[[#This Row],[Country]])</f>
        <v>Germany</v>
      </c>
      <c r="T479" t="str">
        <f>TRIM(Table1[[#This Row],[Profession]])</f>
        <v>Data Science Student</v>
      </c>
      <c r="U479" s="5">
        <f>IF(ISBLANK(H479),AVERAGEIF(Table1[Profession imputed],T479,Table1[Monthly_Income]),H479)</f>
        <v>484</v>
      </c>
      <c r="V479" s="6" t="str">
        <f>PROPER(TRIM(Table1[AI_Tool]))</f>
        <v>Unknown</v>
      </c>
      <c r="W479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480" spans="1:23" x14ac:dyDescent="0.25">
      <c r="A480" t="s">
        <v>783</v>
      </c>
      <c r="B480">
        <v>25</v>
      </c>
      <c r="C480" t="s">
        <v>29</v>
      </c>
      <c r="D480" t="s">
        <v>137</v>
      </c>
      <c r="E480" t="s">
        <v>111</v>
      </c>
      <c r="F480" t="s">
        <v>50</v>
      </c>
      <c r="G480" t="s">
        <v>776</v>
      </c>
      <c r="H480">
        <v>485</v>
      </c>
      <c r="I480" t="s">
        <v>282</v>
      </c>
      <c r="J480" s="6" t="s">
        <v>130</v>
      </c>
      <c r="K480" s="15">
        <v>6</v>
      </c>
      <c r="L480" s="5">
        <v>0</v>
      </c>
      <c r="M480" s="15">
        <v>7.6</v>
      </c>
      <c r="N480">
        <v>5</v>
      </c>
      <c r="O480">
        <v>8</v>
      </c>
      <c r="P480">
        <v>13.1</v>
      </c>
      <c r="Q480">
        <v>6.8</v>
      </c>
      <c r="R480" s="2">
        <f>IF(ISBLANK(Table1[[#This Row],[Age]]),AVERAGE(Table1[Age]),Table1[[#This Row],[Age]])</f>
        <v>25</v>
      </c>
      <c r="S480" t="str">
        <f>PROPER(Table1[[#This Row],[Country]])</f>
        <v>France</v>
      </c>
      <c r="T480" t="str">
        <f>TRIM(Table1[[#This Row],[Profession]])</f>
        <v>History Student</v>
      </c>
      <c r="U480" s="5">
        <f>IF(ISBLANK(H480),AVERAGEIF(Table1[[#This Row],[Profession imputed]],T480,Table1[Monthly_Income]),H480)</f>
        <v>485</v>
      </c>
      <c r="V480" s="6" t="str">
        <f>PROPER(TRIM(Table1[AI_Tool]))</f>
        <v>Deepseek</v>
      </c>
      <c r="W480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81" spans="1:23" x14ac:dyDescent="0.25">
      <c r="A481" t="s">
        <v>1013</v>
      </c>
      <c r="B481">
        <v>32</v>
      </c>
      <c r="C481" t="s">
        <v>29</v>
      </c>
      <c r="D481" t="s">
        <v>35</v>
      </c>
      <c r="E481" t="s">
        <v>24</v>
      </c>
      <c r="F481" t="s">
        <v>50</v>
      </c>
      <c r="G481" t="s">
        <v>1014</v>
      </c>
      <c r="H481">
        <v>486</v>
      </c>
      <c r="I481" t="s">
        <v>271</v>
      </c>
      <c r="J481" s="6" t="s">
        <v>75</v>
      </c>
      <c r="K481" s="15">
        <v>2</v>
      </c>
      <c r="L481" s="5">
        <v>0</v>
      </c>
      <c r="M481" s="15">
        <v>6.5</v>
      </c>
      <c r="N481">
        <v>2</v>
      </c>
      <c r="O481">
        <v>5</v>
      </c>
      <c r="P481">
        <v>3.2</v>
      </c>
      <c r="Q481">
        <v>6.4</v>
      </c>
      <c r="R481" s="2">
        <f>IF(ISBLANK(Table1[[#This Row],[Age]]),AVERAGE(Table1[Age]),Table1[[#This Row],[Age]])</f>
        <v>32</v>
      </c>
      <c r="S481" t="str">
        <f>PROPER(Table1[[#This Row],[Country]])</f>
        <v>Philippines</v>
      </c>
      <c r="T481" t="str">
        <f>TRIM(Table1[[#This Row],[Profession]])</f>
        <v>Social Media Content Creator</v>
      </c>
      <c r="U481" s="5">
        <f>IF(ISBLANK(H481),AVERAGEIF(Table1[[#This Row],[Profession imputed]],T481,Table1[Monthly_Income]),H481)</f>
        <v>486</v>
      </c>
      <c r="V481" s="6" t="str">
        <f>PROPER(TRIM(Table1[AI_Tool]))</f>
        <v>Chat Gpt</v>
      </c>
      <c r="W481" s="8">
        <f>IF(ISBLANK(Table1[[#This Row],[Time_Saved_Hours_Per_Week]]),AVERAGEIF(Table1[Satisfaction_Score],Table1[[#This Row],[Satisfaction_Score]],Table1[Time_Saved_Hours_Per_Week]),Table1[[#This Row],[Time_Saved_Hours_Per_Week]])</f>
        <v>3.2</v>
      </c>
    </row>
    <row r="482" spans="1:23" x14ac:dyDescent="0.25">
      <c r="A482" t="s">
        <v>1129</v>
      </c>
      <c r="B482">
        <v>17</v>
      </c>
      <c r="C482" t="s">
        <v>22</v>
      </c>
      <c r="D482" t="s">
        <v>92</v>
      </c>
      <c r="E482" t="s">
        <v>111</v>
      </c>
      <c r="F482" t="s">
        <v>31</v>
      </c>
      <c r="G482" t="s">
        <v>1126</v>
      </c>
      <c r="H482">
        <v>486</v>
      </c>
      <c r="I482" t="s">
        <v>280</v>
      </c>
      <c r="J482" s="6" t="s">
        <v>124</v>
      </c>
      <c r="K482" s="15">
        <v>3.2</v>
      </c>
      <c r="L482" s="5">
        <v>20</v>
      </c>
      <c r="M482" s="15">
        <v>5.2</v>
      </c>
      <c r="N482">
        <v>4</v>
      </c>
      <c r="O482">
        <v>8</v>
      </c>
      <c r="P482">
        <v>4.8</v>
      </c>
      <c r="Q482">
        <v>20</v>
      </c>
      <c r="R482" s="2">
        <f>IF(ISBLANK(Table1[[#This Row],[Age]]),AVERAGE(Table1[Age]),Table1[[#This Row],[Age]])</f>
        <v>17</v>
      </c>
      <c r="S482" t="str">
        <f>PROPER(Table1[[#This Row],[Country]])</f>
        <v>Canada</v>
      </c>
      <c r="T482" t="str">
        <f>TRIM(Table1[[#This Row],[Profession]])</f>
        <v>Theoretical Physics Student</v>
      </c>
      <c r="U482" s="5">
        <f>IF(ISBLANK(H482),AVERAGEIF(Table1[[#This Row],[Profession imputed]],T482,Table1[Monthly_Income]),H482)</f>
        <v>486</v>
      </c>
      <c r="V482" s="6" t="str">
        <f>PROPER(TRIM(Table1[AI_Tool]))</f>
        <v>Unknown</v>
      </c>
      <c r="W482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483" spans="1:23" x14ac:dyDescent="0.25">
      <c r="A483" t="s">
        <v>784</v>
      </c>
      <c r="B483">
        <v>25</v>
      </c>
      <c r="C483" t="s">
        <v>29</v>
      </c>
      <c r="D483" t="s">
        <v>137</v>
      </c>
      <c r="E483" t="s">
        <v>111</v>
      </c>
      <c r="F483" t="s">
        <v>50</v>
      </c>
      <c r="G483" t="s">
        <v>776</v>
      </c>
      <c r="H483">
        <v>487</v>
      </c>
      <c r="I483" t="s">
        <v>282</v>
      </c>
      <c r="J483" s="6" t="s">
        <v>130</v>
      </c>
      <c r="K483" s="15">
        <v>6</v>
      </c>
      <c r="L483" s="5">
        <v>0</v>
      </c>
      <c r="M483" s="15">
        <v>7.6</v>
      </c>
      <c r="N483">
        <v>5</v>
      </c>
      <c r="O483">
        <v>8</v>
      </c>
      <c r="P483">
        <v>13.1</v>
      </c>
      <c r="Q483">
        <v>6.8</v>
      </c>
      <c r="R483" s="2">
        <f>IF(ISBLANK(Table1[[#This Row],[Age]]),AVERAGE(Table1[Age]),Table1[[#This Row],[Age]])</f>
        <v>25</v>
      </c>
      <c r="S483" t="str">
        <f>PROPER(Table1[[#This Row],[Country]])</f>
        <v>France</v>
      </c>
      <c r="T483" t="str">
        <f>TRIM(Table1[[#This Row],[Profession]])</f>
        <v>History Student</v>
      </c>
      <c r="U483" s="5">
        <f>IF(ISBLANK(H483),AVERAGEIF(Table1[[#This Row],[Profession imputed]],T483,Table1[Monthly_Income]),H483)</f>
        <v>487</v>
      </c>
      <c r="V483" s="6" t="str">
        <f>PROPER(TRIM(Table1[AI_Tool]))</f>
        <v>Deepseek</v>
      </c>
      <c r="W483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84" spans="1:23" x14ac:dyDescent="0.25">
      <c r="A484" t="s">
        <v>917</v>
      </c>
      <c r="B484">
        <v>39</v>
      </c>
      <c r="C484" t="s">
        <v>29</v>
      </c>
      <c r="D484" t="s">
        <v>89</v>
      </c>
      <c r="E484" t="s">
        <v>24</v>
      </c>
      <c r="F484" t="s">
        <v>50</v>
      </c>
      <c r="G484" t="s">
        <v>916</v>
      </c>
      <c r="H484">
        <v>488</v>
      </c>
      <c r="I484" t="s">
        <v>282</v>
      </c>
      <c r="J484" s="6" t="s">
        <v>130</v>
      </c>
      <c r="K484" s="15">
        <v>1.2</v>
      </c>
      <c r="L484" s="5">
        <v>20</v>
      </c>
      <c r="M484" s="15">
        <v>3.4</v>
      </c>
      <c r="N484">
        <v>3</v>
      </c>
      <c r="O484">
        <f>IF(Table1[[#This Row],[Accuracy_Rating]]=4,8,IF(Table1[[#This Row],[Accuracy_Rating]]=3,7,Table1[[#This Row],[Accuracy_Rating]]))</f>
        <v>7</v>
      </c>
      <c r="P484">
        <v>2.9</v>
      </c>
      <c r="Q484">
        <v>6.8</v>
      </c>
      <c r="R484" s="2">
        <f>IF(ISBLANK(Table1[[#This Row],[Age]]),AVERAGE(Table1[Age]),Table1[[#This Row],[Age]])</f>
        <v>39</v>
      </c>
      <c r="S484" t="str">
        <f>PROPER(Table1[[#This Row],[Country]])</f>
        <v>Nigeria</v>
      </c>
      <c r="T484" t="str">
        <f>TRIM(Table1[[#This Row],[Profession]])</f>
        <v>Research Assistant</v>
      </c>
      <c r="U484" s="5">
        <f>IF(ISBLANK(H484),AVERAGEIF(Table1[[#This Row],[Profession imputed]],T484,Table1[Monthly_Income]),H484)</f>
        <v>488</v>
      </c>
      <c r="V484" s="6" t="str">
        <f>PROPER(TRIM(Table1[AI_Tool]))</f>
        <v>Deepseek</v>
      </c>
      <c r="W484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485" spans="1:23" x14ac:dyDescent="0.25">
      <c r="A485" t="s">
        <v>777</v>
      </c>
      <c r="B485">
        <v>29</v>
      </c>
      <c r="C485" t="s">
        <v>29</v>
      </c>
      <c r="D485" t="s">
        <v>137</v>
      </c>
      <c r="E485" t="s">
        <v>111</v>
      </c>
      <c r="F485" t="s">
        <v>50</v>
      </c>
      <c r="G485" t="s">
        <v>776</v>
      </c>
      <c r="H485">
        <v>494</v>
      </c>
      <c r="I485" t="s">
        <v>282</v>
      </c>
      <c r="J485" s="6" t="s">
        <v>130</v>
      </c>
      <c r="K485" s="15">
        <v>6</v>
      </c>
      <c r="L485" s="5">
        <v>0</v>
      </c>
      <c r="M485" s="15">
        <v>7.6</v>
      </c>
      <c r="N485">
        <v>5</v>
      </c>
      <c r="O485">
        <v>8</v>
      </c>
      <c r="P485">
        <v>13.1</v>
      </c>
      <c r="Q485">
        <v>6.8</v>
      </c>
      <c r="R485" s="2">
        <f>IF(ISBLANK(Table1[[#This Row],[Age]]),AVERAGE(Table1[Age]),Table1[[#This Row],[Age]])</f>
        <v>29</v>
      </c>
      <c r="S485" t="str">
        <f>PROPER(Table1[[#This Row],[Country]])</f>
        <v>France</v>
      </c>
      <c r="T485" t="str">
        <f>TRIM(Table1[[#This Row],[Profession]])</f>
        <v>History Student</v>
      </c>
      <c r="U485" s="5">
        <f>IF(ISBLANK(H485),AVERAGEIF(Table1[[#This Row],[Profession imputed]],T485,Table1[Monthly_Income]),H485)</f>
        <v>494</v>
      </c>
      <c r="V485" s="6" t="str">
        <f>PROPER(TRIM(Table1[AI_Tool]))</f>
        <v>Deepseek</v>
      </c>
      <c r="W485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86" spans="1:23" x14ac:dyDescent="0.25">
      <c r="A486" t="s">
        <v>779</v>
      </c>
      <c r="B486">
        <v>25</v>
      </c>
      <c r="C486" t="s">
        <v>29</v>
      </c>
      <c r="D486" t="s">
        <v>137</v>
      </c>
      <c r="E486" t="s">
        <v>111</v>
      </c>
      <c r="F486" t="s">
        <v>50</v>
      </c>
      <c r="G486" t="s">
        <v>776</v>
      </c>
      <c r="H486">
        <v>496</v>
      </c>
      <c r="I486" t="s">
        <v>282</v>
      </c>
      <c r="J486" s="6" t="s">
        <v>130</v>
      </c>
      <c r="K486" s="15">
        <v>6</v>
      </c>
      <c r="L486" s="5">
        <v>0</v>
      </c>
      <c r="M486" s="15">
        <v>7.6</v>
      </c>
      <c r="N486">
        <v>5</v>
      </c>
      <c r="O486">
        <v>8</v>
      </c>
      <c r="P486">
        <v>13.1</v>
      </c>
      <c r="Q486">
        <v>6.8</v>
      </c>
      <c r="R486" s="2">
        <f>IF(ISBLANK(Table1[[#This Row],[Age]]),AVERAGE(Table1[Age]),Table1[[#This Row],[Age]])</f>
        <v>25</v>
      </c>
      <c r="S486" t="str">
        <f>PROPER(Table1[[#This Row],[Country]])</f>
        <v>France</v>
      </c>
      <c r="T486" t="str">
        <f>TRIM(Table1[[#This Row],[Profession]])</f>
        <v>History Student</v>
      </c>
      <c r="U486" s="5">
        <f>IF(ISBLANK(H486),AVERAGEIF(Table1[[#This Row],[Profession imputed]],T486,Table1[Monthly_Income]),H486)</f>
        <v>496</v>
      </c>
      <c r="V486" s="6" t="str">
        <f>PROPER(TRIM(Table1[AI_Tool]))</f>
        <v>Deepseek</v>
      </c>
      <c r="W486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87" spans="1:23" x14ac:dyDescent="0.25">
      <c r="A487" t="s">
        <v>922</v>
      </c>
      <c r="B487">
        <v>41</v>
      </c>
      <c r="C487" t="s">
        <v>29</v>
      </c>
      <c r="D487" t="s">
        <v>89</v>
      </c>
      <c r="E487" t="s">
        <v>24</v>
      </c>
      <c r="F487" t="s">
        <v>50</v>
      </c>
      <c r="G487" t="s">
        <v>916</v>
      </c>
      <c r="H487">
        <v>497</v>
      </c>
      <c r="I487" t="s">
        <v>282</v>
      </c>
      <c r="J487" s="6" t="s">
        <v>130</v>
      </c>
      <c r="K487" s="15">
        <v>1.2</v>
      </c>
      <c r="L487" s="5">
        <v>20</v>
      </c>
      <c r="M487" s="15">
        <v>3.4</v>
      </c>
      <c r="N487">
        <v>3</v>
      </c>
      <c r="O487">
        <f>IF(Table1[[#This Row],[Accuracy_Rating]]=4,8,IF(Table1[[#This Row],[Accuracy_Rating]]=3,7,Table1[[#This Row],[Accuracy_Rating]]))</f>
        <v>7</v>
      </c>
      <c r="P487">
        <v>2.9</v>
      </c>
      <c r="Q487">
        <v>6.8</v>
      </c>
      <c r="R487" s="2">
        <f>IF(ISBLANK(Table1[[#This Row],[Age]]),AVERAGE(Table1[Age]),Table1[[#This Row],[Age]])</f>
        <v>41</v>
      </c>
      <c r="S487" t="str">
        <f>PROPER(Table1[[#This Row],[Country]])</f>
        <v>Nigeria</v>
      </c>
      <c r="T487" t="str">
        <f>TRIM(Table1[[#This Row],[Profession]])</f>
        <v>Research Assistant</v>
      </c>
      <c r="U487" s="5">
        <f>IF(ISBLANK(H487),AVERAGEIF(Table1[[#This Row],[Profession imputed]],T487,Table1[Monthly_Income]),H487)</f>
        <v>497</v>
      </c>
      <c r="V487" s="6" t="str">
        <f>PROPER(TRIM(Table1[AI_Tool]))</f>
        <v>Deepseek</v>
      </c>
      <c r="W487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488" spans="1:23" x14ac:dyDescent="0.25">
      <c r="A488" t="s">
        <v>436</v>
      </c>
      <c r="B488">
        <v>37</v>
      </c>
      <c r="C488" t="s">
        <v>29</v>
      </c>
      <c r="D488" t="s">
        <v>52</v>
      </c>
      <c r="E488" t="s">
        <v>24</v>
      </c>
      <c r="F488" t="s">
        <v>45</v>
      </c>
      <c r="G488" t="s">
        <v>434</v>
      </c>
      <c r="H488">
        <v>502</v>
      </c>
      <c r="I488" t="s">
        <v>282</v>
      </c>
      <c r="J488" s="6" t="s">
        <v>27</v>
      </c>
      <c r="K488" s="15">
        <v>0.6</v>
      </c>
      <c r="L488" s="5">
        <v>25</v>
      </c>
      <c r="M488" s="15">
        <v>4.9000000000000004</v>
      </c>
      <c r="N488">
        <v>4</v>
      </c>
      <c r="O488">
        <v>6</v>
      </c>
      <c r="P488">
        <v>4</v>
      </c>
      <c r="Q488">
        <v>7.1</v>
      </c>
      <c r="R488" s="2">
        <f>IF(ISBLANK(Table1[[#This Row],[Age]]),AVERAGE(Table1[Age]),Table1[[#This Row],[Age]])</f>
        <v>37</v>
      </c>
      <c r="S488" t="str">
        <f>PROPER(Table1[[#This Row],[Country]])</f>
        <v>India</v>
      </c>
      <c r="T488" t="str">
        <f>TRIM(Table1[[#This Row],[Profession]])</f>
        <v>Customer Support Executive</v>
      </c>
      <c r="U488" s="5">
        <f>IF(ISBLANK(H488),AVERAGEIF(Table1[Profession imputed],T488,Table1[Monthly_Income]),H488)</f>
        <v>502</v>
      </c>
      <c r="V488" s="6" t="str">
        <f>PROPER(TRIM(Table1[AI_Tool]))</f>
        <v>Deepseek</v>
      </c>
      <c r="W488" s="8">
        <f>IF(ISBLANK(Table1[[#This Row],[Time_Saved_Hours_Per_Week]]),AVERAGEIF(Table1[Satisfaction_Score],Table1[[#This Row],[Satisfaction_Score]],Table1[Time_Saved_Hours_Per_Week]),Table1[[#This Row],[Time_Saved_Hours_Per_Week]])</f>
        <v>4</v>
      </c>
    </row>
    <row r="489" spans="1:23" x14ac:dyDescent="0.25">
      <c r="A489" t="s">
        <v>318</v>
      </c>
      <c r="B489">
        <v>21</v>
      </c>
      <c r="C489" t="s">
        <v>22</v>
      </c>
      <c r="D489" t="s">
        <v>23</v>
      </c>
      <c r="E489" t="s">
        <v>111</v>
      </c>
      <c r="F489" t="s">
        <v>25</v>
      </c>
      <c r="G489" t="s">
        <v>270</v>
      </c>
      <c r="H489">
        <v>503</v>
      </c>
      <c r="I489" t="s">
        <v>271</v>
      </c>
      <c r="J489" s="6" t="s">
        <v>33</v>
      </c>
      <c r="K489" s="15">
        <v>1</v>
      </c>
      <c r="L489" s="5">
        <v>0</v>
      </c>
      <c r="M489" s="15">
        <v>3.6</v>
      </c>
      <c r="N489">
        <v>2</v>
      </c>
      <c r="O489">
        <v>5</v>
      </c>
      <c r="P489">
        <v>0</v>
      </c>
      <c r="Q489">
        <v>5.6</v>
      </c>
      <c r="R489" s="2">
        <f>IF(ISBLANK(Table1[[#This Row],[Age]]),AVERAGE(Table1[Age]),Table1[[#This Row],[Age]])</f>
        <v>21</v>
      </c>
      <c r="S489" t="str">
        <f>PROPER(Table1[[#This Row],[Country]])</f>
        <v>Germany</v>
      </c>
      <c r="T489" t="str">
        <f>TRIM(Table1[[#This Row],[Profession]])</f>
        <v>Computer Science Student</v>
      </c>
      <c r="U489" s="5">
        <f>IF(ISBLANK(H489),AVERAGEIF(Table1[Profession imputed],T489,Table1[Monthly_Income]),H489)</f>
        <v>503</v>
      </c>
      <c r="V489" s="6" t="str">
        <f>PROPER(TRIM(Table1[AI_Tool]))</f>
        <v>Chat Gpt</v>
      </c>
      <c r="W489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490" spans="1:23" x14ac:dyDescent="0.25">
      <c r="A490" t="s">
        <v>553</v>
      </c>
      <c r="B490">
        <v>28</v>
      </c>
      <c r="C490" t="s">
        <v>22</v>
      </c>
      <c r="D490" t="s">
        <v>44</v>
      </c>
      <c r="E490" t="s">
        <v>111</v>
      </c>
      <c r="F490" t="s">
        <v>55</v>
      </c>
      <c r="G490" t="s">
        <v>520</v>
      </c>
      <c r="H490">
        <v>504</v>
      </c>
      <c r="I490" t="s">
        <v>271</v>
      </c>
      <c r="J490" s="6" t="s">
        <v>124</v>
      </c>
      <c r="K490" s="15">
        <v>2.7</v>
      </c>
      <c r="L490" s="5">
        <v>0</v>
      </c>
      <c r="M490" s="15">
        <v>5.7</v>
      </c>
      <c r="N490">
        <v>4</v>
      </c>
      <c r="O490">
        <v>7</v>
      </c>
      <c r="P490">
        <v>8.4</v>
      </c>
      <c r="Q490">
        <v>5.4</v>
      </c>
      <c r="R490" s="2">
        <f>IF(ISBLANK(Table1[[#This Row],[Age]]),AVERAGE(Table1[Age]),Table1[[#This Row],[Age]])</f>
        <v>28</v>
      </c>
      <c r="S490" t="str">
        <f>PROPER(Table1[[#This Row],[Country]])</f>
        <v>United States</v>
      </c>
      <c r="T490" t="str">
        <f>TRIM(Table1[[#This Row],[Profession]])</f>
        <v>Data Science Student</v>
      </c>
      <c r="U490" s="5">
        <f>IF(ISBLANK(H490),AVERAGEIF(Table1[Profession imputed],T490,Table1[Monthly_Income]),H490)</f>
        <v>504</v>
      </c>
      <c r="V490" s="6" t="str">
        <f>PROPER(TRIM(Table1[AI_Tool]))</f>
        <v>Chat Gpt</v>
      </c>
      <c r="W490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491" spans="1:23" x14ac:dyDescent="0.25">
      <c r="A491" t="s">
        <v>681</v>
      </c>
      <c r="B491">
        <v>23</v>
      </c>
      <c r="C491" t="s">
        <v>29</v>
      </c>
      <c r="D491" t="s">
        <v>117</v>
      </c>
      <c r="E491" t="s">
        <v>111</v>
      </c>
      <c r="F491" t="s">
        <v>1193</v>
      </c>
      <c r="G491" t="s">
        <v>671</v>
      </c>
      <c r="H491">
        <v>504</v>
      </c>
      <c r="I491" t="s">
        <v>271</v>
      </c>
      <c r="J491" s="6" t="s">
        <v>38</v>
      </c>
      <c r="K491" s="15">
        <v>0.6</v>
      </c>
      <c r="L491" s="5">
        <v>20</v>
      </c>
      <c r="M491" s="15">
        <v>1.9</v>
      </c>
      <c r="N491">
        <v>3</v>
      </c>
      <c r="O491">
        <v>4</v>
      </c>
      <c r="P491">
        <v>0</v>
      </c>
      <c r="Q491">
        <v>4.5</v>
      </c>
      <c r="R491" s="2">
        <f>IF(ISBLANK(Table1[[#This Row],[Age]]),AVERAGE(Table1[Age]),Table1[[#This Row],[Age]])</f>
        <v>23</v>
      </c>
      <c r="S491" t="str">
        <f>PROPER(Table1[[#This Row],[Country]])</f>
        <v>United Kingdom</v>
      </c>
      <c r="T491" t="str">
        <f>TRIM(Table1[[#This Row],[Profession]])</f>
        <v>English Literature Student</v>
      </c>
      <c r="U491" s="5">
        <f>IF(ISBLANK(H491),AVERAGEIF(Table1[[#This Row],[Profession imputed]],T491,Table1[Monthly_Income]),H491)</f>
        <v>504</v>
      </c>
      <c r="V491" s="6" t="str">
        <f>PROPER(TRIM(Table1[AI_Tool]))</f>
        <v>Chat Gpt</v>
      </c>
      <c r="W491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492" spans="1:23" x14ac:dyDescent="0.25">
      <c r="A492" t="s">
        <v>785</v>
      </c>
      <c r="B492">
        <v>26</v>
      </c>
      <c r="C492" t="s">
        <v>29</v>
      </c>
      <c r="D492" t="s">
        <v>137</v>
      </c>
      <c r="E492" t="s">
        <v>111</v>
      </c>
      <c r="F492" t="s">
        <v>50</v>
      </c>
      <c r="G492" t="s">
        <v>776</v>
      </c>
      <c r="H492">
        <v>505</v>
      </c>
      <c r="I492" t="s">
        <v>282</v>
      </c>
      <c r="J492" s="6" t="s">
        <v>130</v>
      </c>
      <c r="K492" s="15">
        <v>6</v>
      </c>
      <c r="L492" s="5">
        <v>0</v>
      </c>
      <c r="M492" s="15">
        <v>7.6</v>
      </c>
      <c r="N492">
        <v>5</v>
      </c>
      <c r="O492">
        <v>8</v>
      </c>
      <c r="P492">
        <v>13.1</v>
      </c>
      <c r="Q492">
        <v>6.8</v>
      </c>
      <c r="R492" s="2">
        <f>IF(ISBLANK(Table1[[#This Row],[Age]]),AVERAGE(Table1[Age]),Table1[[#This Row],[Age]])</f>
        <v>26</v>
      </c>
      <c r="S492" t="str">
        <f>PROPER(Table1[[#This Row],[Country]])</f>
        <v>France</v>
      </c>
      <c r="T492" t="str">
        <f>TRIM(Table1[[#This Row],[Profession]])</f>
        <v>History Student</v>
      </c>
      <c r="U492" s="5">
        <f>IF(ISBLANK(H492),AVERAGEIF(Table1[[#This Row],[Profession imputed]],T492,Table1[Monthly_Income]),H492)</f>
        <v>505</v>
      </c>
      <c r="V492" s="6" t="str">
        <f>PROPER(TRIM(Table1[AI_Tool]))</f>
        <v>Deepseek</v>
      </c>
      <c r="W492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493" spans="1:23" x14ac:dyDescent="0.25">
      <c r="A493" t="s">
        <v>853</v>
      </c>
      <c r="B493">
        <v>22</v>
      </c>
      <c r="C493" t="s">
        <v>29</v>
      </c>
      <c r="D493" t="s">
        <v>92</v>
      </c>
      <c r="E493" t="s">
        <v>111</v>
      </c>
      <c r="F493" t="s">
        <v>132</v>
      </c>
      <c r="G493" t="s">
        <v>851</v>
      </c>
      <c r="H493">
        <v>507</v>
      </c>
      <c r="I493" t="s">
        <v>69</v>
      </c>
      <c r="J493" s="6" t="s">
        <v>124</v>
      </c>
      <c r="K493" s="15">
        <v>1.9</v>
      </c>
      <c r="L493" s="5">
        <v>0</v>
      </c>
      <c r="M493" s="15">
        <v>4.5999999999999996</v>
      </c>
      <c r="N493">
        <v>3</v>
      </c>
      <c r="O493">
        <v>4</v>
      </c>
      <c r="P493">
        <v>2</v>
      </c>
      <c r="Q493">
        <v>4.0999999999999996</v>
      </c>
      <c r="R493" s="2">
        <f>IF(ISBLANK(Table1[[#This Row],[Age]]),AVERAGE(Table1[Age]),Table1[[#This Row],[Age]])</f>
        <v>22</v>
      </c>
      <c r="S493" t="str">
        <f>PROPER(Table1[[#This Row],[Country]])</f>
        <v>Canada</v>
      </c>
      <c r="T493" t="str">
        <f>TRIM(Table1[[#This Row],[Profession]])</f>
        <v>Mechanical Engineering Student</v>
      </c>
      <c r="U493" s="5">
        <f>IF(ISBLANK(H493),AVERAGEIF(Table1[[#This Row],[Profession imputed]],T493,Table1[Monthly_Income]),H493)</f>
        <v>507</v>
      </c>
      <c r="V493" s="6" t="str">
        <f>PROPER(TRIM(Table1[AI_Tool]))</f>
        <v>Perplexity Ai</v>
      </c>
      <c r="W493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494" spans="1:23" x14ac:dyDescent="0.25">
      <c r="A494" t="s">
        <v>862</v>
      </c>
      <c r="B494">
        <v>23</v>
      </c>
      <c r="C494" t="s">
        <v>29</v>
      </c>
      <c r="D494" t="s">
        <v>117</v>
      </c>
      <c r="E494" t="s">
        <v>111</v>
      </c>
      <c r="F494" t="s">
        <v>218</v>
      </c>
      <c r="G494" t="s">
        <v>851</v>
      </c>
      <c r="H494">
        <v>507</v>
      </c>
      <c r="I494" t="s">
        <v>1186</v>
      </c>
      <c r="J494" s="6" t="s">
        <v>124</v>
      </c>
      <c r="K494" s="15">
        <v>1.2</v>
      </c>
      <c r="L494" s="5">
        <v>0</v>
      </c>
      <c r="M494" s="15">
        <v>3.8</v>
      </c>
      <c r="N494">
        <v>3</v>
      </c>
      <c r="O494">
        <v>5</v>
      </c>
      <c r="P494">
        <v>3</v>
      </c>
      <c r="Q494">
        <v>7.2</v>
      </c>
      <c r="R494" s="2">
        <f>IF(ISBLANK(Table1[[#This Row],[Age]]),AVERAGE(Table1[Age]),Table1[[#This Row],[Age]])</f>
        <v>23</v>
      </c>
      <c r="S494" t="str">
        <f>PROPER(Table1[[#This Row],[Country]])</f>
        <v>United Kingdom</v>
      </c>
      <c r="T494" t="str">
        <f>TRIM(Table1[[#This Row],[Profession]])</f>
        <v>Mechanical Engineering Student</v>
      </c>
      <c r="U494" s="5">
        <f>IF(ISBLANK(H494),AVERAGEIF(Table1[[#This Row],[Profession imputed]],T494,Table1[Monthly_Income]),H494)</f>
        <v>507</v>
      </c>
      <c r="V494" s="6" t="str">
        <f>PROPER(TRIM(Table1[AI_Tool]))</f>
        <v>Google Gemini</v>
      </c>
      <c r="W494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495" spans="1:23" x14ac:dyDescent="0.25">
      <c r="A495" t="s">
        <v>1012</v>
      </c>
      <c r="B495">
        <v>35</v>
      </c>
      <c r="C495" t="s">
        <v>29</v>
      </c>
      <c r="D495" t="s">
        <v>57</v>
      </c>
      <c r="E495" t="s">
        <v>24</v>
      </c>
      <c r="F495" t="s">
        <v>55</v>
      </c>
      <c r="G495" t="s">
        <v>1011</v>
      </c>
      <c r="H495">
        <v>507</v>
      </c>
      <c r="I495" t="s">
        <v>271</v>
      </c>
      <c r="J495" s="6" t="s">
        <v>33</v>
      </c>
      <c r="K495" s="15">
        <v>3.7</v>
      </c>
      <c r="L495" s="5">
        <v>0</v>
      </c>
      <c r="M495" s="15">
        <v>5.7</v>
      </c>
      <c r="N495">
        <v>2</v>
      </c>
      <c r="O495">
        <v>5</v>
      </c>
      <c r="P495">
        <v>5.8</v>
      </c>
      <c r="Q495">
        <v>10.1</v>
      </c>
      <c r="R495" s="2">
        <f>IF(ISBLANK(Table1[[#This Row],[Age]]),AVERAGE(Table1[Age]),Table1[[#This Row],[Age]])</f>
        <v>35</v>
      </c>
      <c r="S495" t="str">
        <f>PROPER(Table1[[#This Row],[Country]])</f>
        <v>Pakistan</v>
      </c>
      <c r="T495" t="str">
        <f>TRIM(Table1[[#This Row],[Profession]])</f>
        <v>Senior Software Engineer / Technical Lead</v>
      </c>
      <c r="U495" s="5">
        <f>IF(ISBLANK(H495),AVERAGEIF(Table1[[#This Row],[Profession imputed]],T495,Table1[Monthly_Income]),H495)</f>
        <v>507</v>
      </c>
      <c r="V495" s="6" t="str">
        <f>PROPER(TRIM(Table1[AI_Tool]))</f>
        <v>Chat Gpt</v>
      </c>
      <c r="W495" s="8">
        <f>IF(ISBLANK(Table1[[#This Row],[Time_Saved_Hours_Per_Week]]),AVERAGEIF(Table1[Satisfaction_Score],Table1[[#This Row],[Satisfaction_Score]],Table1[Time_Saved_Hours_Per_Week]),Table1[[#This Row],[Time_Saved_Hours_Per_Week]])</f>
        <v>5.8</v>
      </c>
    </row>
    <row r="496" spans="1:23" x14ac:dyDescent="0.25">
      <c r="A496" t="s">
        <v>729</v>
      </c>
      <c r="B496">
        <v>33</v>
      </c>
      <c r="C496" t="s">
        <v>22</v>
      </c>
      <c r="D496" t="s">
        <v>92</v>
      </c>
      <c r="E496" t="s">
        <v>111</v>
      </c>
      <c r="F496" t="s">
        <v>132</v>
      </c>
      <c r="G496" t="s">
        <v>671</v>
      </c>
      <c r="H496">
        <v>508</v>
      </c>
      <c r="I496" t="s">
        <v>69</v>
      </c>
      <c r="J496" s="6" t="s">
        <v>38</v>
      </c>
      <c r="K496" s="15">
        <v>1.5</v>
      </c>
      <c r="L496" s="5">
        <v>25</v>
      </c>
      <c r="M496" s="15">
        <v>3.6</v>
      </c>
      <c r="N496">
        <v>4</v>
      </c>
      <c r="O496">
        <v>6</v>
      </c>
      <c r="P496">
        <v>5.5</v>
      </c>
      <c r="Q496">
        <v>5.9</v>
      </c>
      <c r="R496" s="2">
        <f>IF(ISBLANK(Table1[[#This Row],[Age]]),AVERAGE(Table1[Age]),Table1[[#This Row],[Age]])</f>
        <v>33</v>
      </c>
      <c r="S496" t="str">
        <f>PROPER(Table1[[#This Row],[Country]])</f>
        <v>Canada</v>
      </c>
      <c r="T496" t="str">
        <f>TRIM(Table1[[#This Row],[Profession]])</f>
        <v>English Literature Student</v>
      </c>
      <c r="U496" s="5">
        <f>IF(ISBLANK(H496),AVERAGEIF(Table1[[#This Row],[Profession imputed]],T496,Table1[Monthly_Income]),H496)</f>
        <v>508</v>
      </c>
      <c r="V496" s="6" t="str">
        <f>PROPER(TRIM(Table1[AI_Tool]))</f>
        <v>Perplexity Ai</v>
      </c>
      <c r="W496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497" spans="1:23" x14ac:dyDescent="0.25">
      <c r="A497" t="s">
        <v>545</v>
      </c>
      <c r="B497">
        <v>28</v>
      </c>
      <c r="C497" t="s">
        <v>22</v>
      </c>
      <c r="D497" t="s">
        <v>44</v>
      </c>
      <c r="E497" t="s">
        <v>111</v>
      </c>
      <c r="F497" t="s">
        <v>55</v>
      </c>
      <c r="G497" t="s">
        <v>520</v>
      </c>
      <c r="H497">
        <v>512</v>
      </c>
      <c r="I497" t="s">
        <v>271</v>
      </c>
      <c r="J497" s="6" t="s">
        <v>124</v>
      </c>
      <c r="K497" s="15">
        <v>2.7</v>
      </c>
      <c r="L497" s="5">
        <v>0</v>
      </c>
      <c r="M497" s="15">
        <v>5.7</v>
      </c>
      <c r="N497">
        <v>4</v>
      </c>
      <c r="O497">
        <v>7</v>
      </c>
      <c r="P497">
        <v>8.4</v>
      </c>
      <c r="Q497">
        <v>5.4</v>
      </c>
      <c r="R497" s="2">
        <f>IF(ISBLANK(Table1[[#This Row],[Age]]),AVERAGE(Table1[Age]),Table1[[#This Row],[Age]])</f>
        <v>28</v>
      </c>
      <c r="S497" t="str">
        <f>PROPER(Table1[[#This Row],[Country]])</f>
        <v>United States</v>
      </c>
      <c r="T497" t="str">
        <f>TRIM(Table1[[#This Row],[Profession]])</f>
        <v>Data Science Student</v>
      </c>
      <c r="U497" s="5">
        <f>IF(ISBLANK(H497),AVERAGEIF(Table1[Profession imputed],T497,Table1[Monthly_Income]),H497)</f>
        <v>512</v>
      </c>
      <c r="V497" s="6" t="str">
        <f>PROPER(TRIM(Table1[AI_Tool]))</f>
        <v>Chat Gpt</v>
      </c>
      <c r="W497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498" spans="1:23" x14ac:dyDescent="0.25">
      <c r="A498" t="s">
        <v>1010</v>
      </c>
      <c r="B498">
        <v>36</v>
      </c>
      <c r="C498" t="s">
        <v>29</v>
      </c>
      <c r="D498" t="s">
        <v>57</v>
      </c>
      <c r="E498" t="s">
        <v>24</v>
      </c>
      <c r="F498" t="s">
        <v>55</v>
      </c>
      <c r="G498" t="s">
        <v>1011</v>
      </c>
      <c r="H498">
        <v>513</v>
      </c>
      <c r="I498" t="s">
        <v>271</v>
      </c>
      <c r="J498" s="6" t="s">
        <v>33</v>
      </c>
      <c r="K498" s="15">
        <v>3.7</v>
      </c>
      <c r="L498" s="5">
        <v>0</v>
      </c>
      <c r="M498" s="15">
        <v>5.7</v>
      </c>
      <c r="N498">
        <v>2</v>
      </c>
      <c r="O498">
        <v>5</v>
      </c>
      <c r="P498">
        <v>5.8</v>
      </c>
      <c r="Q498">
        <v>10.1</v>
      </c>
      <c r="R498" s="2">
        <f>IF(ISBLANK(Table1[[#This Row],[Age]]),AVERAGE(Table1[Age]),Table1[[#This Row],[Age]])</f>
        <v>36</v>
      </c>
      <c r="S498" t="str">
        <f>PROPER(Table1[[#This Row],[Country]])</f>
        <v>Pakistan</v>
      </c>
      <c r="T498" t="str">
        <f>TRIM(Table1[[#This Row],[Profession]])</f>
        <v>Senior Software Engineer / Technical Lead</v>
      </c>
      <c r="U498" s="5">
        <f>IF(ISBLANK(H498),AVERAGEIF(Table1[[#This Row],[Profession imputed]],T498,Table1[Monthly_Income]),H498)</f>
        <v>513</v>
      </c>
      <c r="V498" s="6" t="str">
        <f>PROPER(TRIM(Table1[AI_Tool]))</f>
        <v>Chat Gpt</v>
      </c>
      <c r="W498" s="8">
        <f>IF(ISBLANK(Table1[[#This Row],[Time_Saved_Hours_Per_Week]]),AVERAGEIF(Table1[Satisfaction_Score],Table1[[#This Row],[Satisfaction_Score]],Table1[Time_Saved_Hours_Per_Week]),Table1[[#This Row],[Time_Saved_Hours_Per_Week]])</f>
        <v>5.8</v>
      </c>
    </row>
    <row r="499" spans="1:23" x14ac:dyDescent="0.25">
      <c r="A499" t="s">
        <v>1128</v>
      </c>
      <c r="B499">
        <v>16</v>
      </c>
      <c r="C499" t="s">
        <v>22</v>
      </c>
      <c r="D499" t="s">
        <v>92</v>
      </c>
      <c r="E499" t="s">
        <v>111</v>
      </c>
      <c r="F499" t="s">
        <v>31</v>
      </c>
      <c r="G499" t="s">
        <v>1126</v>
      </c>
      <c r="H499">
        <v>516</v>
      </c>
      <c r="I499" t="s">
        <v>280</v>
      </c>
      <c r="J499" s="6" t="s">
        <v>124</v>
      </c>
      <c r="K499" s="15">
        <v>3.2</v>
      </c>
      <c r="L499" s="5">
        <v>20</v>
      </c>
      <c r="M499" s="15">
        <v>5.2</v>
      </c>
      <c r="N499">
        <v>4</v>
      </c>
      <c r="O499">
        <v>8</v>
      </c>
      <c r="P499">
        <v>4.8</v>
      </c>
      <c r="Q499">
        <v>20</v>
      </c>
      <c r="R499" s="2">
        <f>IF(ISBLANK(Table1[[#This Row],[Age]]),AVERAGE(Table1[Age]),Table1[[#This Row],[Age]])</f>
        <v>16</v>
      </c>
      <c r="S499" t="str">
        <f>PROPER(Table1[[#This Row],[Country]])</f>
        <v>Canada</v>
      </c>
      <c r="T499" t="str">
        <f>TRIM(Table1[[#This Row],[Profession]])</f>
        <v>Theoretical Physics Student</v>
      </c>
      <c r="U499" s="5">
        <f>IF(ISBLANK(H499),AVERAGEIF(Table1[[#This Row],[Profession imputed]],T499,Table1[Monthly_Income]),H499)</f>
        <v>516</v>
      </c>
      <c r="V499" s="6" t="str">
        <f>PROPER(TRIM(Table1[AI_Tool]))</f>
        <v>Unknown</v>
      </c>
      <c r="W499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00" spans="1:23" x14ac:dyDescent="0.25">
      <c r="A500" t="s">
        <v>1125</v>
      </c>
      <c r="B500">
        <v>17</v>
      </c>
      <c r="C500" t="s">
        <v>22</v>
      </c>
      <c r="D500" t="s">
        <v>92</v>
      </c>
      <c r="E500" t="s">
        <v>111</v>
      </c>
      <c r="F500" t="s">
        <v>31</v>
      </c>
      <c r="G500" t="s">
        <v>1126</v>
      </c>
      <c r="H500">
        <v>518</v>
      </c>
      <c r="I500" t="s">
        <v>280</v>
      </c>
      <c r="J500" s="6" t="s">
        <v>124</v>
      </c>
      <c r="K500" s="15">
        <v>3.2</v>
      </c>
      <c r="L500" s="5">
        <v>20</v>
      </c>
      <c r="M500" s="15">
        <v>5.2</v>
      </c>
      <c r="N500">
        <v>4</v>
      </c>
      <c r="O500">
        <v>8</v>
      </c>
      <c r="P500">
        <v>4.8</v>
      </c>
      <c r="Q500">
        <v>20</v>
      </c>
      <c r="R500" s="2">
        <f>IF(ISBLANK(Table1[[#This Row],[Age]]),AVERAGE(Table1[Age]),Table1[[#This Row],[Age]])</f>
        <v>17</v>
      </c>
      <c r="S500" t="str">
        <f>PROPER(Table1[[#This Row],[Country]])</f>
        <v>Canada</v>
      </c>
      <c r="T500" t="str">
        <f>TRIM(Table1[[#This Row],[Profession]])</f>
        <v>Theoretical Physics Student</v>
      </c>
      <c r="U500" s="5">
        <f>IF(ISBLANK(H500),AVERAGEIF(Table1[[#This Row],[Profession imputed]],T500,Table1[Monthly_Income]),H500)</f>
        <v>518</v>
      </c>
      <c r="V500" s="6" t="str">
        <f>PROPER(TRIM(Table1[AI_Tool]))</f>
        <v>Unknown</v>
      </c>
      <c r="W500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01" spans="1:23" x14ac:dyDescent="0.25">
      <c r="A501" t="s">
        <v>437</v>
      </c>
      <c r="B501">
        <v>38</v>
      </c>
      <c r="C501" t="s">
        <v>29</v>
      </c>
      <c r="D501" t="s">
        <v>52</v>
      </c>
      <c r="E501" t="s">
        <v>24</v>
      </c>
      <c r="F501" t="s">
        <v>45</v>
      </c>
      <c r="G501" t="s">
        <v>434</v>
      </c>
      <c r="H501">
        <v>520</v>
      </c>
      <c r="I501" t="s">
        <v>282</v>
      </c>
      <c r="J501" s="6" t="s">
        <v>27</v>
      </c>
      <c r="K501" s="15">
        <v>0.6</v>
      </c>
      <c r="L501" s="5">
        <v>25</v>
      </c>
      <c r="M501" s="15">
        <v>4.9000000000000004</v>
      </c>
      <c r="N501">
        <v>4</v>
      </c>
      <c r="O501">
        <v>6</v>
      </c>
      <c r="P501">
        <v>4</v>
      </c>
      <c r="Q501">
        <v>7.1</v>
      </c>
      <c r="R501" s="2">
        <f>IF(ISBLANK(Table1[[#This Row],[Age]]),AVERAGE(Table1[Age]),Table1[[#This Row],[Age]])</f>
        <v>38</v>
      </c>
      <c r="S501" t="str">
        <f>PROPER(Table1[[#This Row],[Country]])</f>
        <v>India</v>
      </c>
      <c r="T501" t="str">
        <f>TRIM(Table1[[#This Row],[Profession]])</f>
        <v>Customer Support Executive</v>
      </c>
      <c r="U501" s="5">
        <f>IF(ISBLANK(H501),AVERAGEIF(Table1[Profession imputed],T501,Table1[Monthly_Income]),H501)</f>
        <v>520</v>
      </c>
      <c r="V501" s="6" t="str">
        <f>PROPER(TRIM(Table1[AI_Tool]))</f>
        <v>Deepseek</v>
      </c>
      <c r="W501" s="8">
        <f>IF(ISBLANK(Table1[[#This Row],[Time_Saved_Hours_Per_Week]]),AVERAGEIF(Table1[Satisfaction_Score],Table1[[#This Row],[Satisfaction_Score]],Table1[Time_Saved_Hours_Per_Week]),Table1[[#This Row],[Time_Saved_Hours_Per_Week]])</f>
        <v>4</v>
      </c>
    </row>
    <row r="502" spans="1:23" x14ac:dyDescent="0.25">
      <c r="A502" t="s">
        <v>521</v>
      </c>
      <c r="B502">
        <v>26</v>
      </c>
      <c r="C502" t="s">
        <v>22</v>
      </c>
      <c r="D502" t="s">
        <v>44</v>
      </c>
      <c r="E502" t="s">
        <v>111</v>
      </c>
      <c r="F502" t="s">
        <v>55</v>
      </c>
      <c r="G502" t="s">
        <v>520</v>
      </c>
      <c r="H502">
        <v>520</v>
      </c>
      <c r="I502" t="s">
        <v>271</v>
      </c>
      <c r="J502" s="6" t="s">
        <v>124</v>
      </c>
      <c r="K502" s="15">
        <v>2.7</v>
      </c>
      <c r="L502" s="5">
        <v>0</v>
      </c>
      <c r="M502" s="15">
        <v>5.7</v>
      </c>
      <c r="N502">
        <v>4</v>
      </c>
      <c r="O502">
        <v>7</v>
      </c>
      <c r="P502">
        <v>8.4</v>
      </c>
      <c r="Q502">
        <v>5.4</v>
      </c>
      <c r="R502" s="2">
        <f>IF(ISBLANK(Table1[[#This Row],[Age]]),AVERAGE(Table1[Age]),Table1[[#This Row],[Age]])</f>
        <v>26</v>
      </c>
      <c r="S502" t="str">
        <f>PROPER(Table1[[#This Row],[Country]])</f>
        <v>United States</v>
      </c>
      <c r="T502" t="str">
        <f>TRIM(Table1[[#This Row],[Profession]])</f>
        <v>Data Science Student</v>
      </c>
      <c r="U502" s="5">
        <f>IF(ISBLANK(H502),AVERAGEIF(Table1[Profession imputed],T502,Table1[Monthly_Income]),H502)</f>
        <v>520</v>
      </c>
      <c r="V502" s="6" t="str">
        <f>PROPER(TRIM(Table1[AI_Tool]))</f>
        <v>Chat Gpt</v>
      </c>
      <c r="W502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503" spans="1:23" x14ac:dyDescent="0.25">
      <c r="A503" t="s">
        <v>782</v>
      </c>
      <c r="B503">
        <v>25</v>
      </c>
      <c r="C503" t="s">
        <v>29</v>
      </c>
      <c r="D503" t="s">
        <v>137</v>
      </c>
      <c r="E503" t="s">
        <v>111</v>
      </c>
      <c r="F503" t="s">
        <v>50</v>
      </c>
      <c r="G503" t="s">
        <v>776</v>
      </c>
      <c r="H503">
        <v>522</v>
      </c>
      <c r="I503" t="s">
        <v>282</v>
      </c>
      <c r="J503" s="6" t="s">
        <v>130</v>
      </c>
      <c r="K503" s="15">
        <v>6</v>
      </c>
      <c r="L503" s="5">
        <v>0</v>
      </c>
      <c r="M503" s="15">
        <v>7.6</v>
      </c>
      <c r="N503">
        <v>5</v>
      </c>
      <c r="O503">
        <v>8</v>
      </c>
      <c r="P503">
        <v>13.1</v>
      </c>
      <c r="Q503">
        <v>6.8</v>
      </c>
      <c r="R503" s="2">
        <f>IF(ISBLANK(Table1[[#This Row],[Age]]),AVERAGE(Table1[Age]),Table1[[#This Row],[Age]])</f>
        <v>25</v>
      </c>
      <c r="S503" t="str">
        <f>PROPER(Table1[[#This Row],[Country]])</f>
        <v>France</v>
      </c>
      <c r="T503" t="str">
        <f>TRIM(Table1[[#This Row],[Profession]])</f>
        <v>History Student</v>
      </c>
      <c r="U503" s="5">
        <f>IF(ISBLANK(H503),AVERAGEIF(Table1[[#This Row],[Profession imputed]],T503,Table1[Monthly_Income]),H503)</f>
        <v>522</v>
      </c>
      <c r="V503" s="6" t="str">
        <f>PROPER(TRIM(Table1[AI_Tool]))</f>
        <v>Deepseek</v>
      </c>
      <c r="W503" s="8">
        <f>IF(ISBLANK(Table1[[#This Row],[Time_Saved_Hours_Per_Week]]),AVERAGEIF(Table1[Satisfaction_Score],Table1[[#This Row],[Satisfaction_Score]],Table1[Time_Saved_Hours_Per_Week]),Table1[[#This Row],[Time_Saved_Hours_Per_Week]])</f>
        <v>13.1</v>
      </c>
    </row>
    <row r="504" spans="1:23" x14ac:dyDescent="0.25">
      <c r="A504" t="s">
        <v>529</v>
      </c>
      <c r="B504">
        <v>31</v>
      </c>
      <c r="C504" t="s">
        <v>29</v>
      </c>
      <c r="D504" t="s">
        <v>23</v>
      </c>
      <c r="E504" t="s">
        <v>111</v>
      </c>
      <c r="F504" t="s">
        <v>25</v>
      </c>
      <c r="G504" t="s">
        <v>520</v>
      </c>
      <c r="H504">
        <v>523</v>
      </c>
      <c r="I504" t="s">
        <v>280</v>
      </c>
      <c r="J504" s="6" t="s">
        <v>130</v>
      </c>
      <c r="K504" s="15">
        <v>2</v>
      </c>
      <c r="L504" s="5">
        <v>0</v>
      </c>
      <c r="M504" s="15">
        <v>5.6</v>
      </c>
      <c r="N504">
        <v>4</v>
      </c>
      <c r="O504">
        <v>6</v>
      </c>
      <c r="P504">
        <v>3.8</v>
      </c>
      <c r="Q504">
        <v>2.8</v>
      </c>
      <c r="R504" s="2">
        <f>IF(ISBLANK(Table1[[#This Row],[Age]]),AVERAGE(Table1[Age]),Table1[[#This Row],[Age]])</f>
        <v>31</v>
      </c>
      <c r="S504" t="str">
        <f>PROPER(Table1[[#This Row],[Country]])</f>
        <v>Germany</v>
      </c>
      <c r="T504" t="str">
        <f>TRIM(Table1[[#This Row],[Profession]])</f>
        <v>Data Science Student</v>
      </c>
      <c r="U504" s="5">
        <f>IF(ISBLANK(H504),AVERAGEIF(Table1[Profession imputed],T504,Table1[Monthly_Income]),H504)</f>
        <v>523</v>
      </c>
      <c r="V504" s="6" t="str">
        <f>PROPER(TRIM(Table1[AI_Tool]))</f>
        <v>Unknown</v>
      </c>
      <c r="W504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505" spans="1:23" x14ac:dyDescent="0.25">
      <c r="A505" t="s">
        <v>722</v>
      </c>
      <c r="B505">
        <v>21</v>
      </c>
      <c r="C505" t="s">
        <v>29</v>
      </c>
      <c r="D505" t="s">
        <v>189</v>
      </c>
      <c r="E505" t="s">
        <v>111</v>
      </c>
      <c r="F505" t="s">
        <v>132</v>
      </c>
      <c r="G505" t="s">
        <v>671</v>
      </c>
      <c r="H505">
        <v>523</v>
      </c>
      <c r="I505" t="s">
        <v>271</v>
      </c>
      <c r="J505" s="6" t="s">
        <v>38</v>
      </c>
      <c r="K505" s="15">
        <v>5.2</v>
      </c>
      <c r="L505" s="5">
        <v>0</v>
      </c>
      <c r="M505" s="15">
        <v>6.7</v>
      </c>
      <c r="N505" s="7">
        <v>4</v>
      </c>
      <c r="O505">
        <v>7</v>
      </c>
      <c r="P505">
        <v>12.1</v>
      </c>
      <c r="Q505">
        <v>7</v>
      </c>
      <c r="R505" s="2">
        <f>IF(ISBLANK(Table1[[#This Row],[Age]]),AVERAGE(Table1[Age]),Table1[[#This Row],[Age]])</f>
        <v>21</v>
      </c>
      <c r="S505" t="str">
        <f>PROPER(Table1[[#This Row],[Country]])</f>
        <v>Australia</v>
      </c>
      <c r="T505" t="str">
        <f>TRIM(Table1[[#This Row],[Profession]])</f>
        <v>English Literature Student</v>
      </c>
      <c r="U505" s="5">
        <f>IF(ISBLANK(H505),AVERAGEIF(Table1[[#This Row],[Profession imputed]],T505,Table1[Monthly_Income]),H505)</f>
        <v>523</v>
      </c>
      <c r="V505" s="6" t="str">
        <f>PROPER(TRIM(Table1[AI_Tool]))</f>
        <v>Chat Gpt</v>
      </c>
      <c r="W505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506" spans="1:23" x14ac:dyDescent="0.25">
      <c r="A506" t="s">
        <v>395</v>
      </c>
      <c r="B506">
        <v>32</v>
      </c>
      <c r="C506" t="s">
        <v>22</v>
      </c>
      <c r="D506" t="s">
        <v>189</v>
      </c>
      <c r="E506" t="s">
        <v>111</v>
      </c>
      <c r="F506" t="s">
        <v>55</v>
      </c>
      <c r="G506" t="s">
        <v>393</v>
      </c>
      <c r="H506">
        <v>524</v>
      </c>
      <c r="I506" t="s">
        <v>271</v>
      </c>
      <c r="J506" s="6" t="s">
        <v>38</v>
      </c>
      <c r="K506" s="15">
        <v>7.2</v>
      </c>
      <c r="L506" s="5">
        <v>100</v>
      </c>
      <c r="M506" s="15">
        <v>9.4</v>
      </c>
      <c r="N506">
        <v>3</v>
      </c>
      <c r="O506">
        <v>8</v>
      </c>
      <c r="P506">
        <v>11.7</v>
      </c>
      <c r="Q506">
        <v>6.5</v>
      </c>
      <c r="R506" s="2">
        <f>IF(ISBLANK(Table1[[#This Row],[Age]]),AVERAGE(Table1[Age]),Table1[[#This Row],[Age]])</f>
        <v>32</v>
      </c>
      <c r="S506" t="str">
        <f>PROPER(Table1[[#This Row],[Country]])</f>
        <v>Australia</v>
      </c>
      <c r="T506" t="str">
        <f>TRIM(Table1[[#This Row],[Profession]])</f>
        <v>Creative Writing Student</v>
      </c>
      <c r="U506" s="5">
        <f>IF(ISBLANK(H506),AVERAGEIF(Table1[[#This Row],[Profession imputed]],T506,Table1[Monthly_Income]),H506)</f>
        <v>524</v>
      </c>
      <c r="V506" s="6" t="str">
        <f>PROPER(TRIM(Table1[AI_Tool]))</f>
        <v>Chat Gpt</v>
      </c>
      <c r="W506" s="8">
        <f>IF(ISBLANK(Table1[[#This Row],[Time_Saved_Hours_Per_Week]]),AVERAGEIF(Table1[Satisfaction_Score],Table1[[#This Row],[Satisfaction_Score]],Table1[Time_Saved_Hours_Per_Week]),Table1[[#This Row],[Time_Saved_Hours_Per_Week]])</f>
        <v>11.7</v>
      </c>
    </row>
    <row r="507" spans="1:23" x14ac:dyDescent="0.25">
      <c r="A507" t="s">
        <v>528</v>
      </c>
      <c r="B507">
        <v>28</v>
      </c>
      <c r="C507" t="s">
        <v>29</v>
      </c>
      <c r="D507" t="s">
        <v>117</v>
      </c>
      <c r="E507" t="s">
        <v>111</v>
      </c>
      <c r="F507" t="s">
        <v>132</v>
      </c>
      <c r="G507" t="s">
        <v>520</v>
      </c>
      <c r="H507" s="1">
        <v>528</v>
      </c>
      <c r="I507" t="s">
        <v>69</v>
      </c>
      <c r="J507" s="6" t="s">
        <v>124</v>
      </c>
      <c r="K507" s="15">
        <v>1.5</v>
      </c>
      <c r="L507" s="5">
        <v>10</v>
      </c>
      <c r="M507" s="15">
        <v>0</v>
      </c>
      <c r="N507">
        <v>3</v>
      </c>
      <c r="O507">
        <v>5</v>
      </c>
      <c r="P507">
        <v>5.5</v>
      </c>
      <c r="Q507">
        <v>5.7</v>
      </c>
      <c r="R507" s="2">
        <f>IF(ISBLANK(Table1[[#This Row],[Age]]),AVERAGE(Table1[Age]),Table1[[#This Row],[Age]])</f>
        <v>28</v>
      </c>
      <c r="S507" t="str">
        <f>PROPER(Table1[[#This Row],[Country]])</f>
        <v>United Kingdom</v>
      </c>
      <c r="T507" t="str">
        <f>TRIM(Table1[[#This Row],[Profession]])</f>
        <v>Data Science Student</v>
      </c>
      <c r="U507" s="5">
        <f>IF(ISBLANK(H507),AVERAGEIF(Table1[Profession imputed],T507,Table1[Monthly_Income]),H507)</f>
        <v>528</v>
      </c>
      <c r="V507" s="6" t="str">
        <f>PROPER(TRIM(Table1[AI_Tool]))</f>
        <v>Perplexity Ai</v>
      </c>
      <c r="W507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08" spans="1:23" x14ac:dyDescent="0.25">
      <c r="A508" t="s">
        <v>673</v>
      </c>
      <c r="B508">
        <v>23</v>
      </c>
      <c r="C508" t="s">
        <v>29</v>
      </c>
      <c r="D508" t="s">
        <v>189</v>
      </c>
      <c r="E508" t="s">
        <v>111</v>
      </c>
      <c r="F508" t="s">
        <v>132</v>
      </c>
      <c r="G508" t="s">
        <v>671</v>
      </c>
      <c r="H508">
        <v>531</v>
      </c>
      <c r="I508" t="s">
        <v>271</v>
      </c>
      <c r="J508" s="6" t="s">
        <v>38</v>
      </c>
      <c r="K508" s="15">
        <v>5.2</v>
      </c>
      <c r="L508" s="5">
        <v>0</v>
      </c>
      <c r="M508" s="15">
        <v>6.7</v>
      </c>
      <c r="N508" s="7">
        <v>4</v>
      </c>
      <c r="O508">
        <v>7</v>
      </c>
      <c r="P508">
        <v>12.1</v>
      </c>
      <c r="Q508">
        <v>7</v>
      </c>
      <c r="R508" s="2">
        <f>IF(ISBLANK(Table1[[#This Row],[Age]]),AVERAGE(Table1[Age]),Table1[[#This Row],[Age]])</f>
        <v>23</v>
      </c>
      <c r="S508" t="str">
        <f>PROPER(Table1[[#This Row],[Country]])</f>
        <v>Australia</v>
      </c>
      <c r="T508" t="str">
        <f>TRIM(Table1[[#This Row],[Profession]])</f>
        <v>English Literature Student</v>
      </c>
      <c r="U508" s="5">
        <f>IF(ISBLANK(H508),AVERAGEIF(Table1[Profession imputed],T508,Table1[Monthly_Income]),H508)</f>
        <v>531</v>
      </c>
      <c r="V508" s="6" t="str">
        <f>PROPER(TRIM(Table1[AI_Tool]))</f>
        <v>Chat Gpt</v>
      </c>
      <c r="W508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509" spans="1:23" x14ac:dyDescent="0.25">
      <c r="A509" t="s">
        <v>1094</v>
      </c>
      <c r="B509">
        <v>50</v>
      </c>
      <c r="C509" t="s">
        <v>29</v>
      </c>
      <c r="D509" t="s">
        <v>30</v>
      </c>
      <c r="E509" t="s">
        <v>24</v>
      </c>
      <c r="F509" t="s">
        <v>45</v>
      </c>
      <c r="G509" t="s">
        <v>1091</v>
      </c>
      <c r="H509">
        <v>531</v>
      </c>
      <c r="I509" t="s">
        <v>1186</v>
      </c>
      <c r="J509" s="6" t="s">
        <v>33</v>
      </c>
      <c r="K509" s="15">
        <v>5.5</v>
      </c>
      <c r="L509" s="5">
        <v>0</v>
      </c>
      <c r="M509" s="15">
        <v>7.8</v>
      </c>
      <c r="N509">
        <v>4</v>
      </c>
      <c r="O509">
        <v>7</v>
      </c>
      <c r="P509">
        <v>11.5</v>
      </c>
      <c r="Q509">
        <v>8.4</v>
      </c>
      <c r="R509" s="2">
        <f>IF(ISBLANK(Table1[[#This Row],[Age]]),AVERAGE(Table1[Age]),Table1[[#This Row],[Age]])</f>
        <v>50</v>
      </c>
      <c r="S509" t="str">
        <f>PROPER(Table1[[#This Row],[Country]])</f>
        <v>Brazil</v>
      </c>
      <c r="T509" t="str">
        <f>TRIM(Table1[[#This Row],[Profession]])</f>
        <v>Systems Developer</v>
      </c>
      <c r="U509" s="5">
        <f>IF(ISBLANK(H509),AVERAGEIF(Table1[[#This Row],[Profession imputed]],T509,Table1[Monthly_Income]),H509)</f>
        <v>531</v>
      </c>
      <c r="V509" s="6" t="str">
        <f>PROPER(TRIM(Table1[AI_Tool]))</f>
        <v>Google Gemini</v>
      </c>
      <c r="W509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510" spans="1:23" x14ac:dyDescent="0.25">
      <c r="A510" t="s">
        <v>176</v>
      </c>
      <c r="B510">
        <v>17</v>
      </c>
      <c r="C510" t="s">
        <v>22</v>
      </c>
      <c r="D510" t="s">
        <v>44</v>
      </c>
      <c r="E510" t="s">
        <v>111</v>
      </c>
      <c r="F510" t="s">
        <v>25</v>
      </c>
      <c r="G510" t="s">
        <v>133</v>
      </c>
      <c r="H510">
        <v>532</v>
      </c>
      <c r="I510" t="s">
        <v>271</v>
      </c>
      <c r="J510" s="6" t="s">
        <v>124</v>
      </c>
      <c r="K510" s="15">
        <v>4.3</v>
      </c>
      <c r="L510" s="5">
        <v>20</v>
      </c>
      <c r="M510" s="15">
        <v>5.8</v>
      </c>
      <c r="N510">
        <v>2</v>
      </c>
      <c r="O510">
        <v>6</v>
      </c>
      <c r="P510">
        <v>8.1</v>
      </c>
      <c r="Q510">
        <v>5.2</v>
      </c>
      <c r="R510" s="2">
        <f>IF(ISBLANK(Table1[[#This Row],[Age]]),AVERAGE(Table1[Age]),Table1[[#This Row],[Age]])</f>
        <v>17</v>
      </c>
      <c r="S510" t="str">
        <f>PROPER(Table1[[#This Row],[Country]])</f>
        <v>United States</v>
      </c>
      <c r="T510" t="str">
        <f>TRIM(Table1[[#This Row],[Profession]])</f>
        <v>Biology Student</v>
      </c>
      <c r="U510" s="5">
        <f>IF(ISBLANK(H510),AVERAGEIF(Table1[Profession imputed],T510,Table1[Monthly_Income]),H510)</f>
        <v>532</v>
      </c>
      <c r="V510" s="6" t="str">
        <f>PROPER(TRIM(Table1[AI_Tool]))</f>
        <v>Chat Gpt</v>
      </c>
      <c r="W510" s="8">
        <f>IF(ISBLANK(Table1[[#This Row],[Time_Saved_Hours_Per_Week]]),AVERAGEIF(Table1[Satisfaction_Score],Table1[[#This Row],[Satisfaction_Score]],Table1[Time_Saved_Hours_Per_Week]),Table1[[#This Row],[Time_Saved_Hours_Per_Week]])</f>
        <v>8.1</v>
      </c>
    </row>
    <row r="511" spans="1:23" x14ac:dyDescent="0.25">
      <c r="A511" t="s">
        <v>736</v>
      </c>
      <c r="B511">
        <v>24</v>
      </c>
      <c r="C511" t="s">
        <v>29</v>
      </c>
      <c r="D511" t="s">
        <v>117</v>
      </c>
      <c r="E511" t="s">
        <v>111</v>
      </c>
      <c r="F511" t="s">
        <v>1193</v>
      </c>
      <c r="G511" t="s">
        <v>671</v>
      </c>
      <c r="H511">
        <v>532</v>
      </c>
      <c r="I511" t="s">
        <v>271</v>
      </c>
      <c r="J511" s="6" t="s">
        <v>124</v>
      </c>
      <c r="K511" s="15">
        <v>0.6</v>
      </c>
      <c r="L511" s="5">
        <v>20</v>
      </c>
      <c r="M511" s="15">
        <v>1.9</v>
      </c>
      <c r="N511">
        <v>3</v>
      </c>
      <c r="O511">
        <v>4</v>
      </c>
      <c r="P511">
        <v>0</v>
      </c>
      <c r="Q511">
        <v>4.5</v>
      </c>
      <c r="R511" s="2">
        <f>IF(ISBLANK(Table1[[#This Row],[Age]]),AVERAGE(Table1[Age]),Table1[[#This Row],[Age]])</f>
        <v>24</v>
      </c>
      <c r="S511" t="str">
        <f>PROPER(Table1[[#This Row],[Country]])</f>
        <v>United Kingdom</v>
      </c>
      <c r="T511" t="str">
        <f>TRIM(Table1[[#This Row],[Profession]])</f>
        <v>English Literature Student</v>
      </c>
      <c r="U511" s="5">
        <f>IF(ISBLANK(H511),AVERAGEIF(Table1[[#This Row],[Profession imputed]],T511,Table1[Monthly_Income]),H511)</f>
        <v>532</v>
      </c>
      <c r="V511" s="6" t="str">
        <f>PROPER(TRIM(Table1[AI_Tool]))</f>
        <v>Chat Gpt</v>
      </c>
      <c r="W511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512" spans="1:23" x14ac:dyDescent="0.25">
      <c r="A512" t="s">
        <v>1130</v>
      </c>
      <c r="B512">
        <v>18</v>
      </c>
      <c r="C512" t="s">
        <v>22</v>
      </c>
      <c r="D512" t="s">
        <v>92</v>
      </c>
      <c r="E512" t="s">
        <v>111</v>
      </c>
      <c r="F512" t="s">
        <v>31</v>
      </c>
      <c r="G512" t="s">
        <v>1126</v>
      </c>
      <c r="H512">
        <v>533</v>
      </c>
      <c r="I512" t="s">
        <v>280</v>
      </c>
      <c r="J512" s="6" t="s">
        <v>124</v>
      </c>
      <c r="K512" s="15">
        <v>3.2</v>
      </c>
      <c r="L512" s="5">
        <v>20</v>
      </c>
      <c r="M512" s="15">
        <v>5.2</v>
      </c>
      <c r="N512">
        <v>4</v>
      </c>
      <c r="O512">
        <v>8</v>
      </c>
      <c r="P512">
        <v>4.8</v>
      </c>
      <c r="Q512">
        <v>20</v>
      </c>
      <c r="R512" s="2">
        <f>IF(ISBLANK(Table1[[#This Row],[Age]]),AVERAGE(Table1[Age]),Table1[[#This Row],[Age]])</f>
        <v>18</v>
      </c>
      <c r="S512" t="str">
        <f>PROPER(Table1[[#This Row],[Country]])</f>
        <v>Canada</v>
      </c>
      <c r="T512" t="str">
        <f>TRIM(Table1[[#This Row],[Profession]])</f>
        <v>Theoretical Physics Student</v>
      </c>
      <c r="U512" s="5">
        <f>IF(ISBLANK(H512),AVERAGEIF(Table1[[#This Row],[Profession imputed]],T512,Table1[Monthly_Income]),H512)</f>
        <v>533</v>
      </c>
      <c r="V512" s="6" t="str">
        <f>PROPER(TRIM(Table1[AI_Tool]))</f>
        <v>Unknown</v>
      </c>
      <c r="W512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13" spans="1:23" x14ac:dyDescent="0.25">
      <c r="A513" t="s">
        <v>865</v>
      </c>
      <c r="B513">
        <v>28</v>
      </c>
      <c r="C513" t="s">
        <v>29</v>
      </c>
      <c r="D513" t="s">
        <v>189</v>
      </c>
      <c r="E513" t="s">
        <v>111</v>
      </c>
      <c r="F513" t="s">
        <v>132</v>
      </c>
      <c r="G513" t="s">
        <v>851</v>
      </c>
      <c r="H513">
        <v>537</v>
      </c>
      <c r="I513" t="s">
        <v>271</v>
      </c>
      <c r="J513" s="6" t="s">
        <v>124</v>
      </c>
      <c r="K513" s="15">
        <v>4</v>
      </c>
      <c r="L513" s="5">
        <v>0</v>
      </c>
      <c r="M513" s="15">
        <v>7.5</v>
      </c>
      <c r="N513">
        <v>3</v>
      </c>
      <c r="O513">
        <v>8</v>
      </c>
      <c r="P513">
        <v>7.9</v>
      </c>
      <c r="Q513">
        <v>5.3</v>
      </c>
      <c r="R513" s="2">
        <f>IF(ISBLANK(Table1[[#This Row],[Age]]),AVERAGE(Table1[Age]),Table1[[#This Row],[Age]])</f>
        <v>28</v>
      </c>
      <c r="S513" t="str">
        <f>PROPER(Table1[[#This Row],[Country]])</f>
        <v>Australia</v>
      </c>
      <c r="T513" t="str">
        <f>TRIM(Table1[[#This Row],[Profession]])</f>
        <v>Mechanical Engineering Student</v>
      </c>
      <c r="U513" s="5">
        <f>IF(ISBLANK(H513),AVERAGEIF(Table1[[#This Row],[Profession imputed]],T513,Table1[Monthly_Income]),H513)</f>
        <v>537</v>
      </c>
      <c r="V513" s="6" t="str">
        <f>PROPER(TRIM(Table1[AI_Tool]))</f>
        <v>Chat Gpt</v>
      </c>
      <c r="W513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514" spans="1:23" x14ac:dyDescent="0.25">
      <c r="A514" t="s">
        <v>145</v>
      </c>
      <c r="B514">
        <v>18</v>
      </c>
      <c r="C514" t="s">
        <v>22</v>
      </c>
      <c r="D514" t="s">
        <v>44</v>
      </c>
      <c r="E514" t="s">
        <v>111</v>
      </c>
      <c r="F514" t="s">
        <v>25</v>
      </c>
      <c r="G514" t="s">
        <v>133</v>
      </c>
      <c r="H514">
        <v>540</v>
      </c>
      <c r="I514" t="s">
        <v>271</v>
      </c>
      <c r="J514" s="6" t="s">
        <v>124</v>
      </c>
      <c r="K514" s="15">
        <v>4.3</v>
      </c>
      <c r="L514" s="5">
        <v>20</v>
      </c>
      <c r="M514" s="15">
        <v>5.8</v>
      </c>
      <c r="N514">
        <v>2</v>
      </c>
      <c r="O514">
        <v>6</v>
      </c>
      <c r="P514">
        <v>8.1</v>
      </c>
      <c r="Q514">
        <v>5.2</v>
      </c>
      <c r="R514" s="2">
        <f>IF(ISBLANK(Table1[[#This Row],[Age]]),AVERAGE(Table1[Age]),Table1[[#This Row],[Age]])</f>
        <v>18</v>
      </c>
      <c r="S514" t="str">
        <f>PROPER(Table1[[#This Row],[Country]])</f>
        <v>United States</v>
      </c>
      <c r="T514" t="str">
        <f>TRIM(Table1[[#This Row],[Profession]])</f>
        <v>Biology Student</v>
      </c>
      <c r="U514" s="5">
        <f>IF(ISBLANK(H514),AVERAGEIF(Table1[[#This Row],[Profession imputed]],T514,Table1[Monthly_Income]),H514)</f>
        <v>540</v>
      </c>
      <c r="V514" s="6" t="str">
        <f>PROPER(TRIM(Table1[AI_Tool]))</f>
        <v>Chat Gpt</v>
      </c>
      <c r="W514" s="8">
        <f>IF(ISBLANK(Table1[[#This Row],[Time_Saved_Hours_Per_Week]]),AVERAGEIF(Table1[Satisfaction_Score],Table1[[#This Row],[Satisfaction_Score]],Table1[Time_Saved_Hours_Per_Week]),Table1[[#This Row],[Time_Saved_Hours_Per_Week]])</f>
        <v>8.1</v>
      </c>
    </row>
    <row r="515" spans="1:23" x14ac:dyDescent="0.25">
      <c r="A515" t="s">
        <v>870</v>
      </c>
      <c r="B515">
        <v>28</v>
      </c>
      <c r="C515" t="s">
        <v>29</v>
      </c>
      <c r="D515" t="s">
        <v>189</v>
      </c>
      <c r="E515" t="s">
        <v>111</v>
      </c>
      <c r="F515" t="s">
        <v>132</v>
      </c>
      <c r="G515" t="s">
        <v>851</v>
      </c>
      <c r="H515">
        <v>542</v>
      </c>
      <c r="I515" t="s">
        <v>271</v>
      </c>
      <c r="J515" s="6" t="s">
        <v>124</v>
      </c>
      <c r="K515" s="15">
        <v>4</v>
      </c>
      <c r="L515" s="5">
        <v>0</v>
      </c>
      <c r="M515" s="15">
        <v>7.5</v>
      </c>
      <c r="N515">
        <v>3</v>
      </c>
      <c r="O515">
        <v>8</v>
      </c>
      <c r="P515">
        <v>7.9</v>
      </c>
      <c r="Q515">
        <v>5.3</v>
      </c>
      <c r="R515" s="2">
        <f>IF(ISBLANK(Table1[[#This Row],[Age]]),AVERAGE(Table1[Age]),Table1[[#This Row],[Age]])</f>
        <v>28</v>
      </c>
      <c r="S515" t="str">
        <f>PROPER(Table1[[#This Row],[Country]])</f>
        <v>Australia</v>
      </c>
      <c r="T515" t="str">
        <f>TRIM(Table1[[#This Row],[Profession]])</f>
        <v>Mechanical Engineering Student</v>
      </c>
      <c r="U515" s="5">
        <f>IF(ISBLANK(H515),AVERAGEIF(Table1[[#This Row],[Profession imputed]],T515,Table1[Monthly_Income]),H515)</f>
        <v>542</v>
      </c>
      <c r="V515" s="6" t="str">
        <f>PROPER(TRIM(Table1[AI_Tool]))</f>
        <v>Chat Gpt</v>
      </c>
      <c r="W515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516" spans="1:23" x14ac:dyDescent="0.25">
      <c r="A516" t="s">
        <v>551</v>
      </c>
      <c r="B516">
        <v>33</v>
      </c>
      <c r="C516" t="s">
        <v>29</v>
      </c>
      <c r="D516" t="s">
        <v>23</v>
      </c>
      <c r="E516" t="s">
        <v>111</v>
      </c>
      <c r="F516" t="s">
        <v>25</v>
      </c>
      <c r="G516" t="s">
        <v>520</v>
      </c>
      <c r="H516">
        <v>544</v>
      </c>
      <c r="I516" t="s">
        <v>280</v>
      </c>
      <c r="J516" s="6" t="s">
        <v>130</v>
      </c>
      <c r="K516" s="15">
        <v>2</v>
      </c>
      <c r="L516" s="5">
        <v>0</v>
      </c>
      <c r="M516" s="15">
        <v>5.6</v>
      </c>
      <c r="N516">
        <v>4</v>
      </c>
      <c r="O516">
        <v>6</v>
      </c>
      <c r="P516">
        <v>3.8</v>
      </c>
      <c r="Q516">
        <v>2.8</v>
      </c>
      <c r="R516" s="2">
        <f>IF(ISBLANK(Table1[[#This Row],[Age]]),AVERAGE(Table1[Age]),Table1[[#This Row],[Age]])</f>
        <v>33</v>
      </c>
      <c r="S516" t="str">
        <f>PROPER(Table1[[#This Row],[Country]])</f>
        <v>Germany</v>
      </c>
      <c r="T516" t="str">
        <f>TRIM(Table1[[#This Row],[Profession]])</f>
        <v>Data Science Student</v>
      </c>
      <c r="U516" s="5">
        <f>IF(ISBLANK(H516),AVERAGEIF(Table1[Profession imputed],T516,Table1[Monthly_Income]),H516)</f>
        <v>544</v>
      </c>
      <c r="V516" s="6" t="str">
        <f>PROPER(TRIM(Table1[AI_Tool]))</f>
        <v>Unknown</v>
      </c>
      <c r="W516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517" spans="1:23" x14ac:dyDescent="0.25">
      <c r="A517" t="s">
        <v>1090</v>
      </c>
      <c r="B517">
        <v>48</v>
      </c>
      <c r="C517" t="s">
        <v>29</v>
      </c>
      <c r="D517" t="s">
        <v>30</v>
      </c>
      <c r="E517" t="s">
        <v>24</v>
      </c>
      <c r="F517" t="s">
        <v>45</v>
      </c>
      <c r="G517" t="s">
        <v>1091</v>
      </c>
      <c r="H517">
        <v>544</v>
      </c>
      <c r="I517" t="s">
        <v>1186</v>
      </c>
      <c r="J517" s="6" t="s">
        <v>33</v>
      </c>
      <c r="K517" s="15">
        <v>5.5</v>
      </c>
      <c r="L517" s="5">
        <v>0</v>
      </c>
      <c r="M517" s="15">
        <v>7.8</v>
      </c>
      <c r="N517">
        <v>4</v>
      </c>
      <c r="O517">
        <v>7</v>
      </c>
      <c r="P517">
        <v>11.5</v>
      </c>
      <c r="Q517">
        <v>8.4</v>
      </c>
      <c r="R517" s="2">
        <f>IF(ISBLANK(Table1[[#This Row],[Age]]),AVERAGE(Table1[Age]),Table1[[#This Row],[Age]])</f>
        <v>48</v>
      </c>
      <c r="S517" t="str">
        <f>PROPER(Table1[[#This Row],[Country]])</f>
        <v>Brazil</v>
      </c>
      <c r="T517" t="str">
        <f>TRIM(Table1[[#This Row],[Profession]])</f>
        <v>Systems Developer</v>
      </c>
      <c r="U517" s="5">
        <f>IF(ISBLANK(H517),AVERAGEIF(Table1[[#This Row],[Profession imputed]],T517,Table1[Monthly_Income]),H517)</f>
        <v>544</v>
      </c>
      <c r="V517" s="6" t="str">
        <f>PROPER(TRIM(Table1[AI_Tool]))</f>
        <v>Google Gemini</v>
      </c>
      <c r="W517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518" spans="1:23" x14ac:dyDescent="0.25">
      <c r="A518" t="s">
        <v>850</v>
      </c>
      <c r="B518">
        <v>22</v>
      </c>
      <c r="C518" t="s">
        <v>29</v>
      </c>
      <c r="D518" t="s">
        <v>92</v>
      </c>
      <c r="E518" t="s">
        <v>111</v>
      </c>
      <c r="F518" t="s">
        <v>132</v>
      </c>
      <c r="G518" t="s">
        <v>851</v>
      </c>
      <c r="H518">
        <v>547</v>
      </c>
      <c r="I518" t="s">
        <v>58</v>
      </c>
      <c r="J518" s="6" t="s">
        <v>130</v>
      </c>
      <c r="K518" s="15">
        <v>5</v>
      </c>
      <c r="L518" s="5">
        <v>0</v>
      </c>
      <c r="M518" s="15">
        <v>6.6</v>
      </c>
      <c r="N518">
        <v>3</v>
      </c>
      <c r="O518">
        <v>6</v>
      </c>
      <c r="P518">
        <v>9.8000000000000007</v>
      </c>
      <c r="Q518">
        <v>5.6</v>
      </c>
      <c r="R518" s="2">
        <f>IF(ISBLANK(Table1[[#This Row],[Age]]),AVERAGE(Table1[Age]),Table1[[#This Row],[Age]])</f>
        <v>22</v>
      </c>
      <c r="S518" t="str">
        <f>PROPER(Table1[[#This Row],[Country]])</f>
        <v>Canada</v>
      </c>
      <c r="T518" t="str">
        <f>TRIM(Table1[[#This Row],[Profession]])</f>
        <v>Mechanical Engineering Student</v>
      </c>
      <c r="U518" s="5">
        <f>IF(ISBLANK(H518),AVERAGEIF(Table1[[#This Row],[Profession imputed]],T518,Table1[Monthly_Income]),H518)</f>
        <v>547</v>
      </c>
      <c r="V518" s="6" t="str">
        <f>PROPER(TRIM(Table1[AI_Tool]))</f>
        <v>Claude</v>
      </c>
      <c r="W518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519" spans="1:23" x14ac:dyDescent="0.25">
      <c r="A519" t="s">
        <v>1131</v>
      </c>
      <c r="B519">
        <v>19</v>
      </c>
      <c r="C519" t="s">
        <v>22</v>
      </c>
      <c r="D519" t="s">
        <v>92</v>
      </c>
      <c r="E519" t="s">
        <v>111</v>
      </c>
      <c r="F519" t="s">
        <v>31</v>
      </c>
      <c r="G519" t="s">
        <v>1126</v>
      </c>
      <c r="H519">
        <v>547</v>
      </c>
      <c r="I519" t="s">
        <v>280</v>
      </c>
      <c r="J519" s="6" t="s">
        <v>124</v>
      </c>
      <c r="K519" s="15">
        <v>3.2</v>
      </c>
      <c r="L519" s="5">
        <v>20</v>
      </c>
      <c r="M519" s="15">
        <v>5.2</v>
      </c>
      <c r="N519">
        <v>4</v>
      </c>
      <c r="O519">
        <v>8</v>
      </c>
      <c r="P519">
        <v>4.8</v>
      </c>
      <c r="Q519">
        <v>20</v>
      </c>
      <c r="R519" s="2">
        <f>IF(ISBLANK(Table1[[#This Row],[Age]]),AVERAGE(Table1[Age]),Table1[[#This Row],[Age]])</f>
        <v>19</v>
      </c>
      <c r="S519" t="str">
        <f>PROPER(Table1[[#This Row],[Country]])</f>
        <v>Canada</v>
      </c>
      <c r="T519" t="str">
        <f>TRIM(Table1[[#This Row],[Profession]])</f>
        <v>Theoretical Physics Student</v>
      </c>
      <c r="U519" s="5">
        <f>IF(ISBLANK(H519),AVERAGEIF(Table1[[#This Row],[Profession imputed]],T519,Table1[Monthly_Income]),H519)</f>
        <v>547</v>
      </c>
      <c r="V519" s="6" t="str">
        <f>PROPER(TRIM(Table1[AI_Tool]))</f>
        <v>Unknown</v>
      </c>
      <c r="W519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20" spans="1:23" x14ac:dyDescent="0.25">
      <c r="A520" t="s">
        <v>540</v>
      </c>
      <c r="B520">
        <v>24</v>
      </c>
      <c r="C520" t="s">
        <v>29</v>
      </c>
      <c r="D520" t="s">
        <v>44</v>
      </c>
      <c r="E520" t="s">
        <v>111</v>
      </c>
      <c r="F520" t="s">
        <v>132</v>
      </c>
      <c r="G520" t="s">
        <v>520</v>
      </c>
      <c r="H520">
        <v>549</v>
      </c>
      <c r="I520" t="s">
        <v>271</v>
      </c>
      <c r="J520" s="6" t="s">
        <v>124</v>
      </c>
      <c r="K520" s="15">
        <v>1.4</v>
      </c>
      <c r="L520" s="5">
        <v>25</v>
      </c>
      <c r="M520" s="15">
        <v>2.9</v>
      </c>
      <c r="N520">
        <v>4</v>
      </c>
      <c r="O520">
        <v>4</v>
      </c>
      <c r="P520">
        <v>4.5999999999999996</v>
      </c>
      <c r="Q520">
        <v>4.9000000000000004</v>
      </c>
      <c r="R520" s="2">
        <f>IF(ISBLANK(Table1[[#This Row],[Age]]),AVERAGE(Table1[Age]),Table1[[#This Row],[Age]])</f>
        <v>24</v>
      </c>
      <c r="S520" t="str">
        <f>PROPER(Table1[[#This Row],[Country]])</f>
        <v>United States</v>
      </c>
      <c r="T520" t="str">
        <f>TRIM(Table1[[#This Row],[Profession]])</f>
        <v>Data Science Student</v>
      </c>
      <c r="U520" s="5">
        <f>IF(ISBLANK(H520),AVERAGEIF(Table1[Profession imputed],T520,Table1[Monthly_Income]),H520)</f>
        <v>549</v>
      </c>
      <c r="V520" s="6" t="str">
        <f>PROPER(TRIM(Table1[AI_Tool]))</f>
        <v>Chat Gpt</v>
      </c>
      <c r="W520" s="8">
        <f>IF(ISBLANK(Table1[[#This Row],[Time_Saved_Hours_Per_Week]]),AVERAGEIF(Table1[Satisfaction_Score],Table1[[#This Row],[Satisfaction_Score]],Table1[Time_Saved_Hours_Per_Week]),Table1[[#This Row],[Time_Saved_Hours_Per_Week]])</f>
        <v>4.5999999999999996</v>
      </c>
    </row>
    <row r="521" spans="1:23" x14ac:dyDescent="0.25">
      <c r="A521" t="s">
        <v>1000</v>
      </c>
      <c r="B521">
        <v>31</v>
      </c>
      <c r="C521" t="s">
        <v>29</v>
      </c>
      <c r="D521" t="s">
        <v>35</v>
      </c>
      <c r="E521" t="s">
        <v>24</v>
      </c>
      <c r="F521" t="s">
        <v>55</v>
      </c>
      <c r="G521" t="s">
        <v>996</v>
      </c>
      <c r="H521">
        <v>549</v>
      </c>
      <c r="I521" t="s">
        <v>139</v>
      </c>
      <c r="J521" s="6" t="s">
        <v>33</v>
      </c>
      <c r="K521" s="15">
        <v>3.8</v>
      </c>
      <c r="L521" s="5">
        <v>0</v>
      </c>
      <c r="M521" s="15">
        <v>6.1</v>
      </c>
      <c r="N521">
        <v>4</v>
      </c>
      <c r="O521">
        <v>6</v>
      </c>
      <c r="P521">
        <v>9.4</v>
      </c>
      <c r="Q521">
        <v>7.4</v>
      </c>
      <c r="R521" s="2">
        <f>IF(ISBLANK(Table1[[#This Row],[Age]]),AVERAGE(Table1[Age]),Table1[[#This Row],[Age]])</f>
        <v>31</v>
      </c>
      <c r="S521" t="str">
        <f>PROPER(Table1[[#This Row],[Country]])</f>
        <v>Philippines</v>
      </c>
      <c r="T521" t="str">
        <f>TRIM(Table1[[#This Row],[Profession]])</f>
        <v>Senior Software Engineer</v>
      </c>
      <c r="U521" s="5">
        <f>IF(ISBLANK(H521),AVERAGEIF(Table1[[#This Row],[Profession imputed]],T521,Table1[Monthly_Income]),H521)</f>
        <v>549</v>
      </c>
      <c r="V521" s="6" t="str">
        <f>PROPER(TRIM(Table1[AI_Tool]))</f>
        <v>Microsoft Copilot</v>
      </c>
      <c r="W521" s="8">
        <f>IF(ISBLANK(Table1[[#This Row],[Time_Saved_Hours_Per_Week]]),AVERAGEIF(Table1[Satisfaction_Score],Table1[[#This Row],[Satisfaction_Score]],Table1[Time_Saved_Hours_Per_Week]),Table1[[#This Row],[Time_Saved_Hours_Per_Week]])</f>
        <v>9.4</v>
      </c>
    </row>
    <row r="522" spans="1:23" x14ac:dyDescent="0.25">
      <c r="A522" t="s">
        <v>874</v>
      </c>
      <c r="B522">
        <v>23</v>
      </c>
      <c r="C522" t="s">
        <v>29</v>
      </c>
      <c r="D522" t="s">
        <v>92</v>
      </c>
      <c r="E522" t="s">
        <v>111</v>
      </c>
      <c r="F522" t="s">
        <v>132</v>
      </c>
      <c r="G522" t="s">
        <v>851</v>
      </c>
      <c r="H522">
        <v>550</v>
      </c>
      <c r="I522" t="s">
        <v>58</v>
      </c>
      <c r="J522" s="6" t="s">
        <v>130</v>
      </c>
      <c r="K522" s="15">
        <v>5</v>
      </c>
      <c r="L522" s="5">
        <v>0</v>
      </c>
      <c r="M522" s="15">
        <v>6.6</v>
      </c>
      <c r="N522">
        <v>3</v>
      </c>
      <c r="O522">
        <v>6</v>
      </c>
      <c r="P522">
        <v>9.8000000000000007</v>
      </c>
      <c r="Q522">
        <v>5.6</v>
      </c>
      <c r="R522" s="2">
        <f>IF(ISBLANK(Table1[[#This Row],[Age]]),AVERAGE(Table1[Age]),Table1[[#This Row],[Age]])</f>
        <v>23</v>
      </c>
      <c r="S522" t="str">
        <f>PROPER(Table1[[#This Row],[Country]])</f>
        <v>Canada</v>
      </c>
      <c r="T522" t="str">
        <f>TRIM(Table1[[#This Row],[Profession]])</f>
        <v>Mechanical Engineering Student</v>
      </c>
      <c r="U522" s="5">
        <f>IF(ISBLANK(H522),AVERAGEIF(Table1[[#This Row],[Profession imputed]],T522,Table1[Monthly_Income]),H522)</f>
        <v>550</v>
      </c>
      <c r="V522" s="6" t="str">
        <f>PROPER(TRIM(Table1[AI_Tool]))</f>
        <v>Claude</v>
      </c>
      <c r="W522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523" spans="1:23" x14ac:dyDescent="0.25">
      <c r="A523" t="s">
        <v>1045</v>
      </c>
      <c r="B523">
        <v>33</v>
      </c>
      <c r="C523" t="s">
        <v>29</v>
      </c>
      <c r="D523" t="s">
        <v>483</v>
      </c>
      <c r="E523" t="s">
        <v>24</v>
      </c>
      <c r="F523" t="s">
        <v>25</v>
      </c>
      <c r="G523" t="s">
        <v>1046</v>
      </c>
      <c r="H523">
        <v>552</v>
      </c>
      <c r="I523" t="s">
        <v>1186</v>
      </c>
      <c r="J523" s="6" t="s">
        <v>33</v>
      </c>
      <c r="K523" s="15">
        <v>0.5</v>
      </c>
      <c r="L523" s="5">
        <v>20</v>
      </c>
      <c r="M523" s="15">
        <v>2.9</v>
      </c>
      <c r="N523">
        <v>3</v>
      </c>
      <c r="O523">
        <v>5</v>
      </c>
      <c r="P523">
        <v>0.1</v>
      </c>
      <c r="Q523">
        <v>10.199999999999999</v>
      </c>
      <c r="R523" s="2">
        <f>IF(ISBLANK(Table1[[#This Row],[Age]]),AVERAGE(Table1[Age]),Table1[[#This Row],[Age]])</f>
        <v>33</v>
      </c>
      <c r="S523" t="str">
        <f>PROPER(Table1[[#This Row],[Country]])</f>
        <v>Brazil</v>
      </c>
      <c r="T523" t="str">
        <f>TRIM(Table1[[#This Row],[Profession]])</f>
        <v>Software Developer SÃªnior</v>
      </c>
      <c r="U523" s="5">
        <f>IF(ISBLANK(H523),AVERAGEIF(Table1[[#This Row],[Profession imputed]],T523,Table1[Monthly_Income]),H523)</f>
        <v>552</v>
      </c>
      <c r="V523" s="6" t="str">
        <f>PROPER(TRIM(Table1[AI_Tool]))</f>
        <v>Google Gemini</v>
      </c>
      <c r="W523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24" spans="1:23" x14ac:dyDescent="0.25">
      <c r="A524" t="s">
        <v>684</v>
      </c>
      <c r="B524">
        <v>32</v>
      </c>
      <c r="C524" t="s">
        <v>22</v>
      </c>
      <c r="D524" t="s">
        <v>92</v>
      </c>
      <c r="E524" t="s">
        <v>111</v>
      </c>
      <c r="F524" t="s">
        <v>132</v>
      </c>
      <c r="G524" t="s">
        <v>671</v>
      </c>
      <c r="H524">
        <v>553</v>
      </c>
      <c r="I524" t="s">
        <v>69</v>
      </c>
      <c r="J524" s="6" t="s">
        <v>38</v>
      </c>
      <c r="K524" s="15">
        <v>1.5</v>
      </c>
      <c r="L524" s="5">
        <v>25</v>
      </c>
      <c r="M524" s="15">
        <v>3.6</v>
      </c>
      <c r="N524">
        <v>4</v>
      </c>
      <c r="O524">
        <v>6</v>
      </c>
      <c r="P524">
        <v>5.5</v>
      </c>
      <c r="Q524">
        <v>5.9</v>
      </c>
      <c r="R524" s="2">
        <f>IF(ISBLANK(Table1[[#This Row],[Age]]),AVERAGE(Table1[Age]),Table1[[#This Row],[Age]])</f>
        <v>32</v>
      </c>
      <c r="S524" t="str">
        <f>PROPER(Table1[[#This Row],[Country]])</f>
        <v>Canada</v>
      </c>
      <c r="T524" t="str">
        <f>TRIM(Table1[[#This Row],[Profession]])</f>
        <v>English Literature Student</v>
      </c>
      <c r="U524" s="5">
        <f>IF(ISBLANK(H524),AVERAGEIF(Table1[[#This Row],[Profession imputed]],T524,Table1[Monthly_Income]),H524)</f>
        <v>553</v>
      </c>
      <c r="V524" s="6" t="str">
        <f>PROPER(TRIM(Table1[AI_Tool]))</f>
        <v>Perplexity Ai</v>
      </c>
      <c r="W524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25" spans="1:23" x14ac:dyDescent="0.25">
      <c r="A525" t="s">
        <v>731</v>
      </c>
      <c r="B525">
        <v>22</v>
      </c>
      <c r="C525" t="s">
        <v>29</v>
      </c>
      <c r="D525" t="s">
        <v>189</v>
      </c>
      <c r="E525" t="s">
        <v>111</v>
      </c>
      <c r="F525" t="s">
        <v>132</v>
      </c>
      <c r="G525" t="s">
        <v>671</v>
      </c>
      <c r="H525">
        <v>553</v>
      </c>
      <c r="I525" t="s">
        <v>271</v>
      </c>
      <c r="J525" s="6" t="s">
        <v>38</v>
      </c>
      <c r="K525" s="15">
        <v>5.2</v>
      </c>
      <c r="L525" s="5">
        <v>0</v>
      </c>
      <c r="M525" s="15">
        <v>6.7</v>
      </c>
      <c r="N525" s="7">
        <v>4</v>
      </c>
      <c r="O525">
        <v>7</v>
      </c>
      <c r="P525">
        <v>12.1</v>
      </c>
      <c r="Q525">
        <v>7</v>
      </c>
      <c r="R525" s="2">
        <f>IF(ISBLANK(Table1[[#This Row],[Age]]),AVERAGE(Table1[Age]),Table1[[#This Row],[Age]])</f>
        <v>22</v>
      </c>
      <c r="S525" t="str">
        <f>PROPER(Table1[[#This Row],[Country]])</f>
        <v>Australia</v>
      </c>
      <c r="T525" t="str">
        <f>TRIM(Table1[[#This Row],[Profession]])</f>
        <v>English Literature Student</v>
      </c>
      <c r="U525" s="5">
        <f>IF(ISBLANK(H525),AVERAGEIF(Table1[[#This Row],[Profession imputed]],T525,Table1[Monthly_Income]),H525)</f>
        <v>553</v>
      </c>
      <c r="V525" s="6" t="str">
        <f>PROPER(TRIM(Table1[AI_Tool]))</f>
        <v>Chat Gpt</v>
      </c>
      <c r="W525" s="8">
        <f>IF(ISBLANK(Table1[[#This Row],[Time_Saved_Hours_Per_Week]]),AVERAGEIF(Table1[Satisfaction_Score],Table1[[#This Row],[Satisfaction_Score]],Table1[Time_Saved_Hours_Per_Week]),Table1[[#This Row],[Time_Saved_Hours_Per_Week]])</f>
        <v>12.1</v>
      </c>
    </row>
    <row r="526" spans="1:23" x14ac:dyDescent="0.25">
      <c r="A526" t="s">
        <v>48</v>
      </c>
      <c r="C526" t="s">
        <v>29</v>
      </c>
      <c r="D526" t="s">
        <v>49</v>
      </c>
      <c r="E526" t="s">
        <v>24</v>
      </c>
      <c r="F526" t="s">
        <v>50</v>
      </c>
      <c r="G526" t="s">
        <v>46</v>
      </c>
      <c r="H526">
        <v>557</v>
      </c>
      <c r="I526" t="s">
        <v>271</v>
      </c>
      <c r="J526" s="6" t="s">
        <v>47</v>
      </c>
      <c r="K526" s="15">
        <v>9.9</v>
      </c>
      <c r="L526" s="5">
        <v>0</v>
      </c>
      <c r="M526" s="15">
        <v>8.8000000000000007</v>
      </c>
      <c r="N526">
        <v>5</v>
      </c>
      <c r="O526">
        <v>9</v>
      </c>
      <c r="P526">
        <v>16.2</v>
      </c>
      <c r="Q526">
        <v>8.5</v>
      </c>
      <c r="R526" s="2">
        <f>IF(ISBLANK(Table1[[#This Row],[Age]]),AVERAGE(Table1[Age]),Table1[[#This Row],[Age]])</f>
        <v>30.023333333333333</v>
      </c>
      <c r="S526" t="str">
        <f>PROPER(Table1[[#This Row],[Country]])</f>
        <v>Kenya</v>
      </c>
      <c r="T526" t="str">
        <f>TRIM(Table1[[#This Row],[Profession]])</f>
        <v>Administrative Assistant</v>
      </c>
      <c r="U526" s="5">
        <f>IF(ISBLANK(H526),AVERAGEIF(Table1[Profession imputed],T526,Table1[Monthly_Income]),H526)</f>
        <v>557</v>
      </c>
      <c r="V526" s="6" t="str">
        <f>PROPER(TRIM(Table1[AI_Tool]))</f>
        <v>Chat Gpt</v>
      </c>
      <c r="W526" s="8">
        <f>IF(ISBLANK(Table1[[#This Row],[Time_Saved_Hours_Per_Week]]),AVERAGEIF(Table1[Satisfaction_Score],Table1[[#This Row],[Satisfaction_Score]],Table1[Time_Saved_Hours_Per_Week]),Table1[[#This Row],[Time_Saved_Hours_Per_Week]])</f>
        <v>16.2</v>
      </c>
    </row>
    <row r="527" spans="1:23" x14ac:dyDescent="0.25">
      <c r="A527" t="s">
        <v>560</v>
      </c>
      <c r="B527">
        <v>26</v>
      </c>
      <c r="C527" t="s">
        <v>29</v>
      </c>
      <c r="D527" t="s">
        <v>117</v>
      </c>
      <c r="E527" t="s">
        <v>111</v>
      </c>
      <c r="F527" t="s">
        <v>132</v>
      </c>
      <c r="G527" t="s">
        <v>520</v>
      </c>
      <c r="H527">
        <v>560</v>
      </c>
      <c r="I527" t="s">
        <v>69</v>
      </c>
      <c r="J527" s="6" t="s">
        <v>124</v>
      </c>
      <c r="K527" s="15">
        <v>1.5</v>
      </c>
      <c r="L527" s="5">
        <v>10</v>
      </c>
      <c r="M527" s="15">
        <v>0</v>
      </c>
      <c r="N527">
        <v>3</v>
      </c>
      <c r="O527">
        <v>5</v>
      </c>
      <c r="P527">
        <v>5.5</v>
      </c>
      <c r="Q527">
        <v>5.7</v>
      </c>
      <c r="R527" s="2">
        <f>IF(ISBLANK(Table1[[#This Row],[Age]]),AVERAGE(Table1[Age]),Table1[[#This Row],[Age]])</f>
        <v>26</v>
      </c>
      <c r="S527" t="str">
        <f>PROPER(Table1[[#This Row],[Country]])</f>
        <v>United Kingdom</v>
      </c>
      <c r="T527" t="str">
        <f>TRIM(Table1[[#This Row],[Profession]])</f>
        <v>Data Science Student</v>
      </c>
      <c r="U527" s="5">
        <f>IF(ISBLANK(H527),AVERAGEIF(Table1[Profession imputed],T527,Table1[Monthly_Income]),H527)</f>
        <v>560</v>
      </c>
      <c r="V527" s="6" t="str">
        <f>PROPER(TRIM(Table1[AI_Tool]))</f>
        <v>Perplexity Ai</v>
      </c>
      <c r="W527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28" spans="1:23" x14ac:dyDescent="0.25">
      <c r="A528" t="s">
        <v>550</v>
      </c>
      <c r="B528">
        <v>26</v>
      </c>
      <c r="C528" t="s">
        <v>29</v>
      </c>
      <c r="D528" t="s">
        <v>117</v>
      </c>
      <c r="E528" t="s">
        <v>111</v>
      </c>
      <c r="F528" t="s">
        <v>132</v>
      </c>
      <c r="G528" t="s">
        <v>520</v>
      </c>
      <c r="H528">
        <v>563</v>
      </c>
      <c r="I528" t="s">
        <v>69</v>
      </c>
      <c r="J528" s="6" t="s">
        <v>124</v>
      </c>
      <c r="K528" s="15">
        <v>1.5</v>
      </c>
      <c r="L528" s="5">
        <v>10</v>
      </c>
      <c r="M528" s="15">
        <v>0</v>
      </c>
      <c r="N528">
        <v>3</v>
      </c>
      <c r="O528">
        <v>5</v>
      </c>
      <c r="P528">
        <v>5.5</v>
      </c>
      <c r="Q528">
        <v>5.7</v>
      </c>
      <c r="R528" s="2">
        <f>IF(ISBLANK(Table1[[#This Row],[Age]]),AVERAGE(Table1[Age]),Table1[[#This Row],[Age]])</f>
        <v>26</v>
      </c>
      <c r="S528" t="str">
        <f>PROPER(Table1[[#This Row],[Country]])</f>
        <v>United Kingdom</v>
      </c>
      <c r="T528" t="str">
        <f>TRIM(Table1[[#This Row],[Profession]])</f>
        <v>Data Science Student</v>
      </c>
      <c r="U528" s="5">
        <f>IF(ISBLANK(H528),AVERAGEIF(Table1[Profession imputed],T528,Table1[Monthly_Income]),H528)</f>
        <v>563</v>
      </c>
      <c r="V528" s="6" t="str">
        <f>PROPER(TRIM(Table1[AI_Tool]))</f>
        <v>Perplexity Ai</v>
      </c>
      <c r="W528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29" spans="1:23" x14ac:dyDescent="0.25">
      <c r="A529" t="s">
        <v>159</v>
      </c>
      <c r="B529">
        <v>17</v>
      </c>
      <c r="C529" t="s">
        <v>22</v>
      </c>
      <c r="D529" t="s">
        <v>44</v>
      </c>
      <c r="E529" t="s">
        <v>111</v>
      </c>
      <c r="F529" t="s">
        <v>25</v>
      </c>
      <c r="G529" t="s">
        <v>133</v>
      </c>
      <c r="H529">
        <v>565</v>
      </c>
      <c r="I529" t="s">
        <v>271</v>
      </c>
      <c r="J529" s="6" t="s">
        <v>124</v>
      </c>
      <c r="K529" s="15">
        <v>4.3</v>
      </c>
      <c r="L529" s="5">
        <v>20</v>
      </c>
      <c r="M529" s="15">
        <v>5.8</v>
      </c>
      <c r="N529">
        <v>2</v>
      </c>
      <c r="O529">
        <v>6</v>
      </c>
      <c r="P529">
        <v>8.1</v>
      </c>
      <c r="Q529">
        <v>5.2</v>
      </c>
      <c r="R529" s="2">
        <f>IF(ISBLANK(Table1[[#This Row],[Age]]),AVERAGE(Table1[Age]),Table1[[#This Row],[Age]])</f>
        <v>17</v>
      </c>
      <c r="S529" t="str">
        <f>PROPER(Table1[[#This Row],[Country]])</f>
        <v>United States</v>
      </c>
      <c r="T529" t="str">
        <f>TRIM(Table1[[#This Row],[Profession]])</f>
        <v>Biology Student</v>
      </c>
      <c r="U529" s="5">
        <f>IF(ISBLANK(H529),AVERAGEIF(Table1[[#This Row],[Profession imputed]],T529,Table1[Monthly_Income]),H529)</f>
        <v>565</v>
      </c>
      <c r="V529" s="6" t="str">
        <f>PROPER(TRIM(Table1[AI_Tool]))</f>
        <v>Chat Gpt</v>
      </c>
      <c r="W529" s="8">
        <f>IF(ISBLANK(Table1[[#This Row],[Time_Saved_Hours_Per_Week]]),AVERAGEIF(Table1[Satisfaction_Score],Table1[[#This Row],[Satisfaction_Score]],Table1[Time_Saved_Hours_Per_Week]),Table1[[#This Row],[Time_Saved_Hours_Per_Week]])</f>
        <v>8.1</v>
      </c>
    </row>
    <row r="530" spans="1:23" x14ac:dyDescent="0.25">
      <c r="A530" t="s">
        <v>1095</v>
      </c>
      <c r="B530">
        <v>46</v>
      </c>
      <c r="C530" t="s">
        <v>29</v>
      </c>
      <c r="D530" t="s">
        <v>30</v>
      </c>
      <c r="E530" t="s">
        <v>24</v>
      </c>
      <c r="F530" t="s">
        <v>45</v>
      </c>
      <c r="G530" t="s">
        <v>1091</v>
      </c>
      <c r="H530">
        <v>568</v>
      </c>
      <c r="I530" t="s">
        <v>1186</v>
      </c>
      <c r="J530" s="6" t="s">
        <v>33</v>
      </c>
      <c r="K530" s="15">
        <v>5.5</v>
      </c>
      <c r="L530" s="5">
        <v>0</v>
      </c>
      <c r="M530" s="15">
        <v>7.8</v>
      </c>
      <c r="N530">
        <v>4</v>
      </c>
      <c r="O530">
        <v>7</v>
      </c>
      <c r="P530">
        <v>11.5</v>
      </c>
      <c r="Q530">
        <v>8.4</v>
      </c>
      <c r="R530" s="2">
        <f>IF(ISBLANK(Table1[[#This Row],[Age]]),AVERAGE(Table1[Age]),Table1[[#This Row],[Age]])</f>
        <v>46</v>
      </c>
      <c r="S530" t="str">
        <f>PROPER(Table1[[#This Row],[Country]])</f>
        <v>Brazil</v>
      </c>
      <c r="T530" t="str">
        <f>TRIM(Table1[[#This Row],[Profession]])</f>
        <v>Systems Developer</v>
      </c>
      <c r="U530" s="5">
        <f>IF(ISBLANK(H530),AVERAGEIF(Table1[[#This Row],[Profession imputed]],T530,Table1[Monthly_Income]),H530)</f>
        <v>568</v>
      </c>
      <c r="V530" s="6" t="str">
        <f>PROPER(TRIM(Table1[AI_Tool]))</f>
        <v>Google Gemini</v>
      </c>
      <c r="W530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531" spans="1:23" x14ac:dyDescent="0.25">
      <c r="A531" t="s">
        <v>544</v>
      </c>
      <c r="B531">
        <v>27</v>
      </c>
      <c r="C531" t="s">
        <v>22</v>
      </c>
      <c r="D531" t="s">
        <v>44</v>
      </c>
      <c r="E531" t="s">
        <v>111</v>
      </c>
      <c r="F531" t="s">
        <v>55</v>
      </c>
      <c r="G531" t="s">
        <v>520</v>
      </c>
      <c r="H531">
        <v>572</v>
      </c>
      <c r="I531" t="s">
        <v>271</v>
      </c>
      <c r="J531" s="6" t="s">
        <v>124</v>
      </c>
      <c r="K531" s="15">
        <v>2.7</v>
      </c>
      <c r="L531" s="5">
        <v>0</v>
      </c>
      <c r="M531" s="15">
        <v>5.7</v>
      </c>
      <c r="N531">
        <v>4</v>
      </c>
      <c r="O531">
        <v>7</v>
      </c>
      <c r="P531">
        <v>8.4</v>
      </c>
      <c r="Q531">
        <v>5.4</v>
      </c>
      <c r="R531" s="2">
        <f>IF(ISBLANK(Table1[[#This Row],[Age]]),AVERAGE(Table1[Age]),Table1[[#This Row],[Age]])</f>
        <v>27</v>
      </c>
      <c r="S531" t="str">
        <f>PROPER(Table1[[#This Row],[Country]])</f>
        <v>United States</v>
      </c>
      <c r="T531" t="str">
        <f>TRIM(Table1[[#This Row],[Profession]])</f>
        <v>Data Science Student</v>
      </c>
      <c r="U531" s="5">
        <f>IF(ISBLANK(H531),AVERAGEIF(Table1[Profession imputed],T531,Table1[Monthly_Income]),H531)</f>
        <v>572</v>
      </c>
      <c r="V531" s="6" t="str">
        <f>PROPER(TRIM(Table1[AI_Tool]))</f>
        <v>Chat Gpt</v>
      </c>
      <c r="W531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532" spans="1:23" x14ac:dyDescent="0.25">
      <c r="A532" t="s">
        <v>400</v>
      </c>
      <c r="B532">
        <v>30</v>
      </c>
      <c r="C532" t="s">
        <v>22</v>
      </c>
      <c r="D532" t="s">
        <v>189</v>
      </c>
      <c r="E532" t="s">
        <v>111</v>
      </c>
      <c r="F532" t="s">
        <v>55</v>
      </c>
      <c r="G532" t="s">
        <v>393</v>
      </c>
      <c r="H532">
        <v>574</v>
      </c>
      <c r="I532" t="s">
        <v>271</v>
      </c>
      <c r="J532" s="6" t="s">
        <v>38</v>
      </c>
      <c r="K532" s="15">
        <v>7.2</v>
      </c>
      <c r="L532" s="5">
        <v>100</v>
      </c>
      <c r="M532" s="15">
        <v>9.4</v>
      </c>
      <c r="N532">
        <v>3</v>
      </c>
      <c r="O532">
        <v>8</v>
      </c>
      <c r="P532">
        <v>11.7</v>
      </c>
      <c r="Q532">
        <v>6.5</v>
      </c>
      <c r="R532" s="2">
        <f>IF(ISBLANK(Table1[[#This Row],[Age]]),AVERAGE(Table1[Age]),Table1[[#This Row],[Age]])</f>
        <v>30</v>
      </c>
      <c r="S532" t="str">
        <f>PROPER(Table1[[#This Row],[Country]])</f>
        <v>Australia</v>
      </c>
      <c r="T532" t="str">
        <f>TRIM(Table1[[#This Row],[Profession]])</f>
        <v>Creative Writing Student</v>
      </c>
      <c r="U532" s="5">
        <f>IF(ISBLANK(H532),AVERAGEIF(Table1[[#This Row],[Profession imputed]],T532,Table1[Monthly_Income]),H532)</f>
        <v>574</v>
      </c>
      <c r="V532" s="6" t="str">
        <f>PROPER(TRIM(Table1[AI_Tool]))</f>
        <v>Chat Gpt</v>
      </c>
      <c r="W532" s="8">
        <f>IF(ISBLANK(Table1[[#This Row],[Time_Saved_Hours_Per_Week]]),AVERAGEIF(Table1[Satisfaction_Score],Table1[[#This Row],[Satisfaction_Score]],Table1[Time_Saved_Hours_Per_Week]),Table1[[#This Row],[Time_Saved_Hours_Per_Week]])</f>
        <v>11.7</v>
      </c>
    </row>
    <row r="533" spans="1:23" x14ac:dyDescent="0.25">
      <c r="A533" t="s">
        <v>1049</v>
      </c>
      <c r="B533">
        <v>31</v>
      </c>
      <c r="C533" t="s">
        <v>29</v>
      </c>
      <c r="D533" t="s">
        <v>483</v>
      </c>
      <c r="E533" t="s">
        <v>24</v>
      </c>
      <c r="F533" t="s">
        <v>25</v>
      </c>
      <c r="G533" t="s">
        <v>1046</v>
      </c>
      <c r="H533">
        <v>574</v>
      </c>
      <c r="I533" t="s">
        <v>1186</v>
      </c>
      <c r="J533" s="6" t="s">
        <v>33</v>
      </c>
      <c r="K533" s="15">
        <v>0.5</v>
      </c>
      <c r="L533" s="5">
        <v>20</v>
      </c>
      <c r="M533" s="15">
        <v>2.9</v>
      </c>
      <c r="N533">
        <v>3</v>
      </c>
      <c r="O533">
        <v>5</v>
      </c>
      <c r="P533">
        <v>0.1</v>
      </c>
      <c r="Q533">
        <v>10.199999999999999</v>
      </c>
      <c r="R533" s="2">
        <f>IF(ISBLANK(Table1[[#This Row],[Age]]),AVERAGE(Table1[Age]),Table1[[#This Row],[Age]])</f>
        <v>31</v>
      </c>
      <c r="S533" t="str">
        <f>PROPER(Table1[[#This Row],[Country]])</f>
        <v>Brazil</v>
      </c>
      <c r="T533" t="str">
        <f>TRIM(Table1[[#This Row],[Profession]])</f>
        <v>Software Developer SÃªnior</v>
      </c>
      <c r="U533" s="5">
        <f>IF(ISBLANK(H533),AVERAGEIF(Table1[[#This Row],[Profession imputed]],T533,Table1[Monthly_Income]),H533)</f>
        <v>574</v>
      </c>
      <c r="V533" s="6" t="str">
        <f>PROPER(TRIM(Table1[AI_Tool]))</f>
        <v>Google Gemini</v>
      </c>
      <c r="W533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34" spans="1:23" x14ac:dyDescent="0.25">
      <c r="A534" t="s">
        <v>605</v>
      </c>
      <c r="B534">
        <v>41</v>
      </c>
      <c r="C534" t="s">
        <v>29</v>
      </c>
      <c r="D534" t="s">
        <v>57</v>
      </c>
      <c r="E534" t="s">
        <v>24</v>
      </c>
      <c r="F534" t="s">
        <v>50</v>
      </c>
      <c r="G534" t="s">
        <v>603</v>
      </c>
      <c r="H534">
        <v>576</v>
      </c>
      <c r="I534" t="s">
        <v>58</v>
      </c>
      <c r="J534" s="6" t="s">
        <v>75</v>
      </c>
      <c r="K534" s="15">
        <v>8.1</v>
      </c>
      <c r="L534" s="5">
        <v>0</v>
      </c>
      <c r="M534" s="15">
        <v>5.6</v>
      </c>
      <c r="N534">
        <v>5</v>
      </c>
      <c r="O534">
        <v>8</v>
      </c>
      <c r="P534">
        <v>16.5</v>
      </c>
      <c r="Q534">
        <v>7.4</v>
      </c>
      <c r="R534" s="2">
        <f>IF(ISBLANK(Table1[[#This Row],[Age]]),AVERAGE(Table1[Age]),Table1[[#This Row],[Age]])</f>
        <v>41</v>
      </c>
      <c r="S534" t="str">
        <f>PROPER(Table1[[#This Row],[Country]])</f>
        <v>Pakistan</v>
      </c>
      <c r="T534" t="str">
        <f>TRIM(Table1[[#This Row],[Profession]])</f>
        <v>Digital Content Writer</v>
      </c>
      <c r="U534" s="5">
        <f>IF(ISBLANK(H534),AVERAGEIF(Table1[Profession imputed],T534,Table1[Monthly_Income]),H534)</f>
        <v>576</v>
      </c>
      <c r="V534" s="6" t="str">
        <f>PROPER(TRIM(Table1[AI_Tool]))</f>
        <v>Claude</v>
      </c>
      <c r="W534" s="8">
        <f>IF(ISBLANK(Table1[[#This Row],[Time_Saved_Hours_Per_Week]]),AVERAGEIF(Table1[Satisfaction_Score],Table1[[#This Row],[Satisfaction_Score]],Table1[Time_Saved_Hours_Per_Week]),Table1[[#This Row],[Time_Saved_Hours_Per_Week]])</f>
        <v>16.5</v>
      </c>
    </row>
    <row r="535" spans="1:23" x14ac:dyDescent="0.25">
      <c r="A535" t="s">
        <v>401</v>
      </c>
      <c r="B535">
        <v>32</v>
      </c>
      <c r="C535" t="s">
        <v>22</v>
      </c>
      <c r="D535" t="s">
        <v>189</v>
      </c>
      <c r="E535" t="s">
        <v>111</v>
      </c>
      <c r="F535" t="s">
        <v>55</v>
      </c>
      <c r="G535" t="s">
        <v>393</v>
      </c>
      <c r="H535">
        <v>578</v>
      </c>
      <c r="I535" t="s">
        <v>271</v>
      </c>
      <c r="J535" s="6" t="s">
        <v>38</v>
      </c>
      <c r="K535" s="15">
        <v>7.2</v>
      </c>
      <c r="L535" s="5">
        <v>100</v>
      </c>
      <c r="M535" s="15">
        <v>9.4</v>
      </c>
      <c r="N535">
        <v>3</v>
      </c>
      <c r="O535">
        <v>8</v>
      </c>
      <c r="P535">
        <v>11.7</v>
      </c>
      <c r="Q535">
        <v>6.5</v>
      </c>
      <c r="R535" s="2">
        <f>IF(ISBLANK(Table1[[#This Row],[Age]]),AVERAGE(Table1[Age]),Table1[[#This Row],[Age]])</f>
        <v>32</v>
      </c>
      <c r="S535" t="str">
        <f>PROPER(Table1[[#This Row],[Country]])</f>
        <v>Australia</v>
      </c>
      <c r="T535" t="str">
        <f>TRIM(Table1[[#This Row],[Profession]])</f>
        <v>Creative Writing Student</v>
      </c>
      <c r="U535" s="5">
        <f>IF(ISBLANK(H535),AVERAGEIF(Table1[[#This Row],[Profession imputed]],T535,Table1[Monthly_Income]),H535)</f>
        <v>578</v>
      </c>
      <c r="V535" s="6" t="str">
        <f>PROPER(TRIM(Table1[AI_Tool]))</f>
        <v>Chat Gpt</v>
      </c>
      <c r="W535" s="8">
        <f>IF(ISBLANK(Table1[[#This Row],[Time_Saved_Hours_Per_Week]]),AVERAGEIF(Table1[Satisfaction_Score],Table1[[#This Row],[Satisfaction_Score]],Table1[Time_Saved_Hours_Per_Week]),Table1[[#This Row],[Time_Saved_Hours_Per_Week]])</f>
        <v>11.7</v>
      </c>
    </row>
    <row r="536" spans="1:23" x14ac:dyDescent="0.25">
      <c r="A536" t="s">
        <v>856</v>
      </c>
      <c r="B536">
        <v>27</v>
      </c>
      <c r="C536" t="s">
        <v>29</v>
      </c>
      <c r="D536" t="s">
        <v>189</v>
      </c>
      <c r="E536" t="s">
        <v>111</v>
      </c>
      <c r="F536" t="s">
        <v>132</v>
      </c>
      <c r="G536" t="s">
        <v>851</v>
      </c>
      <c r="H536">
        <v>578</v>
      </c>
      <c r="I536" t="s">
        <v>271</v>
      </c>
      <c r="J536" s="6" t="s">
        <v>124</v>
      </c>
      <c r="K536" s="15">
        <v>4</v>
      </c>
      <c r="L536" s="5">
        <v>0</v>
      </c>
      <c r="M536" s="15">
        <v>7.5</v>
      </c>
      <c r="N536">
        <v>3</v>
      </c>
      <c r="O536">
        <v>8</v>
      </c>
      <c r="P536">
        <v>7.9</v>
      </c>
      <c r="Q536">
        <v>5.3</v>
      </c>
      <c r="R536" s="2">
        <f>IF(ISBLANK(Table1[[#This Row],[Age]]),AVERAGE(Table1[Age]),Table1[[#This Row],[Age]])</f>
        <v>27</v>
      </c>
      <c r="S536" t="str">
        <f>PROPER(Table1[[#This Row],[Country]])</f>
        <v>Australia</v>
      </c>
      <c r="T536" t="str">
        <f>TRIM(Table1[[#This Row],[Profession]])</f>
        <v>Mechanical Engineering Student</v>
      </c>
      <c r="U536" s="5">
        <f>IF(ISBLANK(H536),AVERAGEIF(Table1[[#This Row],[Profession imputed]],T536,Table1[Monthly_Income]),H536)</f>
        <v>578</v>
      </c>
      <c r="V536" s="6" t="str">
        <f>PROPER(TRIM(Table1[AI_Tool]))</f>
        <v>Chat Gpt</v>
      </c>
      <c r="W536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537" spans="1:23" x14ac:dyDescent="0.25">
      <c r="A537" t="s">
        <v>534</v>
      </c>
      <c r="B537">
        <v>28</v>
      </c>
      <c r="C537" t="s">
        <v>29</v>
      </c>
      <c r="D537" t="s">
        <v>117</v>
      </c>
      <c r="E537" t="s">
        <v>111</v>
      </c>
      <c r="F537" t="s">
        <v>132</v>
      </c>
      <c r="G537" t="s">
        <v>520</v>
      </c>
      <c r="H537">
        <v>579</v>
      </c>
      <c r="I537" t="s">
        <v>69</v>
      </c>
      <c r="J537" s="6" t="s">
        <v>124</v>
      </c>
      <c r="K537" s="15">
        <v>1.5</v>
      </c>
      <c r="L537" s="5">
        <v>10</v>
      </c>
      <c r="M537" s="15">
        <v>0</v>
      </c>
      <c r="N537">
        <v>3</v>
      </c>
      <c r="O537">
        <v>5</v>
      </c>
      <c r="P537">
        <v>5.5</v>
      </c>
      <c r="Q537">
        <v>5.7</v>
      </c>
      <c r="R537" s="2">
        <f>IF(ISBLANK(Table1[[#This Row],[Age]]),AVERAGE(Table1[Age]),Table1[[#This Row],[Age]])</f>
        <v>28</v>
      </c>
      <c r="S537" t="str">
        <f>PROPER(Table1[[#This Row],[Country]])</f>
        <v>United Kingdom</v>
      </c>
      <c r="T537" t="str">
        <f>TRIM(Table1[[#This Row],[Profession]])</f>
        <v>Data Science Student</v>
      </c>
      <c r="U537" s="5">
        <f>IF(ISBLANK(H537),AVERAGEIF(Table1[Profession imputed],T537,Table1[Monthly_Income]),H537)</f>
        <v>579</v>
      </c>
      <c r="V537" s="6" t="str">
        <f>PROPER(TRIM(Table1[AI_Tool]))</f>
        <v>Perplexity Ai</v>
      </c>
      <c r="W537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38" spans="1:23" x14ac:dyDescent="0.25">
      <c r="A538" t="s">
        <v>999</v>
      </c>
      <c r="B538">
        <v>30</v>
      </c>
      <c r="C538" t="s">
        <v>29</v>
      </c>
      <c r="D538" t="s">
        <v>35</v>
      </c>
      <c r="E538" t="s">
        <v>24</v>
      </c>
      <c r="F538" t="s">
        <v>55</v>
      </c>
      <c r="G538" t="s">
        <v>996</v>
      </c>
      <c r="H538">
        <v>579</v>
      </c>
      <c r="I538" t="s">
        <v>139</v>
      </c>
      <c r="J538" s="6" t="s">
        <v>33</v>
      </c>
      <c r="K538" s="15">
        <v>3.8</v>
      </c>
      <c r="L538" s="5">
        <v>0</v>
      </c>
      <c r="M538" s="15">
        <v>6.1</v>
      </c>
      <c r="N538">
        <v>4</v>
      </c>
      <c r="O538">
        <v>6</v>
      </c>
      <c r="P538">
        <v>9.4</v>
      </c>
      <c r="Q538">
        <v>7.4</v>
      </c>
      <c r="R538" s="2">
        <f>IF(ISBLANK(Table1[[#This Row],[Age]]),AVERAGE(Table1[Age]),Table1[[#This Row],[Age]])</f>
        <v>30</v>
      </c>
      <c r="S538" t="str">
        <f>PROPER(Table1[[#This Row],[Country]])</f>
        <v>Philippines</v>
      </c>
      <c r="T538" t="str">
        <f>TRIM(Table1[[#This Row],[Profession]])</f>
        <v>Senior Software Engineer</v>
      </c>
      <c r="U538" s="5">
        <f>IF(ISBLANK(H538),AVERAGEIF(Table1[[#This Row],[Profession imputed]],T538,Table1[Monthly_Income]),H538)</f>
        <v>579</v>
      </c>
      <c r="V538" s="6" t="str">
        <f>PROPER(TRIM(Table1[AI_Tool]))</f>
        <v>Microsoft Copilot</v>
      </c>
      <c r="W538" s="8">
        <f>IF(ISBLANK(Table1[[#This Row],[Time_Saved_Hours_Per_Week]]),AVERAGEIF(Table1[Satisfaction_Score],Table1[[#This Row],[Satisfaction_Score]],Table1[Time_Saved_Hours_Per_Week]),Table1[[#This Row],[Time_Saved_Hours_Per_Week]])</f>
        <v>9.4</v>
      </c>
    </row>
    <row r="539" spans="1:23" x14ac:dyDescent="0.25">
      <c r="A539" t="s">
        <v>397</v>
      </c>
      <c r="B539">
        <v>24</v>
      </c>
      <c r="C539" t="s">
        <v>22</v>
      </c>
      <c r="D539" t="s">
        <v>189</v>
      </c>
      <c r="E539" t="s">
        <v>111</v>
      </c>
      <c r="F539" t="s">
        <v>55</v>
      </c>
      <c r="G539" t="s">
        <v>393</v>
      </c>
      <c r="H539">
        <v>583</v>
      </c>
      <c r="I539" t="s">
        <v>271</v>
      </c>
      <c r="J539" s="6" t="s">
        <v>38</v>
      </c>
      <c r="K539" s="15">
        <v>3.5</v>
      </c>
      <c r="L539" s="5">
        <v>0</v>
      </c>
      <c r="M539" s="15">
        <v>4.9000000000000004</v>
      </c>
      <c r="N539">
        <v>3</v>
      </c>
      <c r="O539">
        <v>4</v>
      </c>
      <c r="P539">
        <v>7</v>
      </c>
      <c r="Q539">
        <v>6</v>
      </c>
      <c r="R539" s="2">
        <f>IF(ISBLANK(Table1[[#This Row],[Age]]),AVERAGE(Table1[Age]),Table1[[#This Row],[Age]])</f>
        <v>24</v>
      </c>
      <c r="S539" t="str">
        <f>PROPER(Table1[[#This Row],[Country]])</f>
        <v>Australia</v>
      </c>
      <c r="T539" t="str">
        <f>TRIM(Table1[[#This Row],[Profession]])</f>
        <v>Creative Writing Student</v>
      </c>
      <c r="U539" s="5">
        <f>IF(ISBLANK(H539),AVERAGEIF(Table1[[#This Row],[Profession imputed]],T539,Table1[Monthly_Income]),H539)</f>
        <v>583</v>
      </c>
      <c r="V539" s="6" t="str">
        <f>PROPER(TRIM(Table1[AI_Tool]))</f>
        <v>Chat Gpt</v>
      </c>
      <c r="W539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540" spans="1:23" x14ac:dyDescent="0.25">
      <c r="A540" t="s">
        <v>169</v>
      </c>
      <c r="B540">
        <v>16</v>
      </c>
      <c r="C540" t="s">
        <v>22</v>
      </c>
      <c r="D540" t="s">
        <v>44</v>
      </c>
      <c r="E540" t="s">
        <v>111</v>
      </c>
      <c r="F540" t="s">
        <v>25</v>
      </c>
      <c r="G540" t="s">
        <v>133</v>
      </c>
      <c r="H540">
        <v>585</v>
      </c>
      <c r="I540" t="s">
        <v>271</v>
      </c>
      <c r="J540" s="6" t="s">
        <v>124</v>
      </c>
      <c r="K540" s="15">
        <v>4.3</v>
      </c>
      <c r="L540" s="5">
        <v>20</v>
      </c>
      <c r="M540" s="15">
        <v>5.8</v>
      </c>
      <c r="N540">
        <v>2</v>
      </c>
      <c r="O540">
        <v>6</v>
      </c>
      <c r="P540">
        <v>8.1</v>
      </c>
      <c r="Q540">
        <v>5.2</v>
      </c>
      <c r="R540" s="2">
        <f>IF(ISBLANK(Table1[[#This Row],[Age]]),AVERAGE(Table1[Age]),Table1[[#This Row],[Age]])</f>
        <v>16</v>
      </c>
      <c r="S540" t="str">
        <f>PROPER(Table1[[#This Row],[Country]])</f>
        <v>United States</v>
      </c>
      <c r="T540" t="str">
        <f>TRIM(Table1[[#This Row],[Profession]])</f>
        <v>Biology Student</v>
      </c>
      <c r="U540" s="5">
        <f>IF(ISBLANK(H540),AVERAGEIF(Table1[Profession imputed],T540,Table1[Monthly_Income]),H540)</f>
        <v>585</v>
      </c>
      <c r="V540" s="6" t="str">
        <f>PROPER(TRIM(Table1[AI_Tool]))</f>
        <v>Chat Gpt</v>
      </c>
      <c r="W540" s="8">
        <f>IF(ISBLANK(Table1[[#This Row],[Time_Saved_Hours_Per_Week]]),AVERAGEIF(Table1[Satisfaction_Score],Table1[[#This Row],[Satisfaction_Score]],Table1[Time_Saved_Hours_Per_Week]),Table1[[#This Row],[Time_Saved_Hours_Per_Week]])</f>
        <v>8.1</v>
      </c>
    </row>
    <row r="541" spans="1:23" x14ac:dyDescent="0.25">
      <c r="A541" t="s">
        <v>936</v>
      </c>
      <c r="B541">
        <v>61</v>
      </c>
      <c r="C541" t="s">
        <v>22</v>
      </c>
      <c r="D541" t="s">
        <v>89</v>
      </c>
      <c r="E541" t="s">
        <v>24</v>
      </c>
      <c r="F541" t="s">
        <v>45</v>
      </c>
      <c r="G541" t="s">
        <v>937</v>
      </c>
      <c r="H541">
        <v>585</v>
      </c>
      <c r="I541" t="s">
        <v>1186</v>
      </c>
      <c r="J541" s="6" t="s">
        <v>130</v>
      </c>
      <c r="K541" s="15">
        <v>23</v>
      </c>
      <c r="L541" s="5">
        <v>10</v>
      </c>
      <c r="M541" s="15">
        <v>4.0999999999999996</v>
      </c>
      <c r="N541">
        <v>3</v>
      </c>
      <c r="O541">
        <v>4</v>
      </c>
      <c r="P541">
        <v>5.4</v>
      </c>
      <c r="Q541">
        <v>9.5</v>
      </c>
      <c r="R541" s="2">
        <f>IF(ISBLANK(Table1[[#This Row],[Age]]),AVERAGE(Table1[Age]),Table1[[#This Row],[Age]])</f>
        <v>61</v>
      </c>
      <c r="S541" t="str">
        <f>PROPER(Table1[[#This Row],[Country]])</f>
        <v>Nigeria</v>
      </c>
      <c r="T541" t="str">
        <f>TRIM(Table1[[#This Row],[Profession]])</f>
        <v>Research Technician</v>
      </c>
      <c r="U541" s="5">
        <f>IF(ISBLANK(H541),AVERAGEIF(Table1[[#This Row],[Profession imputed]],T541,Table1[Monthly_Income]),H541)</f>
        <v>585</v>
      </c>
      <c r="V541" s="6" t="str">
        <f>PROPER(TRIM(Table1[AI_Tool]))</f>
        <v>Google Gemini</v>
      </c>
      <c r="W541" s="8">
        <f>IF(ISBLANK(Table1[[#This Row],[Time_Saved_Hours_Per_Week]]),AVERAGEIF(Table1[Satisfaction_Score],Table1[[#This Row],[Satisfaction_Score]],Table1[Time_Saved_Hours_Per_Week]),Table1[[#This Row],[Time_Saved_Hours_Per_Week]])</f>
        <v>5.4</v>
      </c>
    </row>
    <row r="542" spans="1:23" x14ac:dyDescent="0.25">
      <c r="A542" t="s">
        <v>1127</v>
      </c>
      <c r="B542">
        <v>18</v>
      </c>
      <c r="C542" t="s">
        <v>22</v>
      </c>
      <c r="D542" t="s">
        <v>92</v>
      </c>
      <c r="E542" t="s">
        <v>111</v>
      </c>
      <c r="F542" t="s">
        <v>31</v>
      </c>
      <c r="G542" t="s">
        <v>1126</v>
      </c>
      <c r="H542">
        <v>589</v>
      </c>
      <c r="I542" t="s">
        <v>280</v>
      </c>
      <c r="J542" s="6" t="s">
        <v>124</v>
      </c>
      <c r="K542" s="15">
        <v>3.2</v>
      </c>
      <c r="L542" s="5">
        <v>20</v>
      </c>
      <c r="M542" s="15">
        <v>5.2</v>
      </c>
      <c r="N542">
        <v>4</v>
      </c>
      <c r="O542">
        <v>8</v>
      </c>
      <c r="P542">
        <v>4.8</v>
      </c>
      <c r="Q542">
        <v>20</v>
      </c>
      <c r="R542" s="2">
        <f>IF(ISBLANK(Table1[[#This Row],[Age]]),AVERAGE(Table1[Age]),Table1[[#This Row],[Age]])</f>
        <v>18</v>
      </c>
      <c r="S542" t="str">
        <f>PROPER(Table1[[#This Row],[Country]])</f>
        <v>Canada</v>
      </c>
      <c r="T542" t="str">
        <f>TRIM(Table1[[#This Row],[Profession]])</f>
        <v>Theoretical Physics Student</v>
      </c>
      <c r="U542" s="5">
        <f>IF(ISBLANK(H542),AVERAGEIF(Table1[[#This Row],[Profession imputed]],T542,Table1[Monthly_Income]),H542)</f>
        <v>589</v>
      </c>
      <c r="V542" s="6" t="str">
        <f>PROPER(TRIM(Table1[AI_Tool]))</f>
        <v>Unknown</v>
      </c>
      <c r="W542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543" spans="1:23" x14ac:dyDescent="0.25">
      <c r="A543" t="s">
        <v>752</v>
      </c>
      <c r="B543">
        <v>30</v>
      </c>
      <c r="C543" t="s">
        <v>22</v>
      </c>
      <c r="D543" t="s">
        <v>92</v>
      </c>
      <c r="E543" t="s">
        <v>111</v>
      </c>
      <c r="F543" t="s">
        <v>132</v>
      </c>
      <c r="G543" t="s">
        <v>671</v>
      </c>
      <c r="H543">
        <v>590</v>
      </c>
      <c r="I543" t="s">
        <v>69</v>
      </c>
      <c r="J543" s="6" t="s">
        <v>38</v>
      </c>
      <c r="K543" s="15">
        <v>1.5</v>
      </c>
      <c r="L543" s="5">
        <v>25</v>
      </c>
      <c r="M543" s="15">
        <v>3.6</v>
      </c>
      <c r="N543">
        <v>4</v>
      </c>
      <c r="O543">
        <v>6</v>
      </c>
      <c r="P543">
        <v>5.5</v>
      </c>
      <c r="Q543">
        <v>5.9</v>
      </c>
      <c r="R543" s="2">
        <f>IF(ISBLANK(Table1[[#This Row],[Age]]),AVERAGE(Table1[Age]),Table1[[#This Row],[Age]])</f>
        <v>30</v>
      </c>
      <c r="S543" t="str">
        <f>PROPER(Table1[[#This Row],[Country]])</f>
        <v>Canada</v>
      </c>
      <c r="T543" t="str">
        <f>TRIM(Table1[[#This Row],[Profession]])</f>
        <v>English Literature Student</v>
      </c>
      <c r="U543" s="5">
        <f>IF(ISBLANK(H543),AVERAGEIF(Table1[[#This Row],[Profession imputed]],T543,Table1[Monthly_Income]),H543)</f>
        <v>590</v>
      </c>
      <c r="V543" s="6" t="str">
        <f>PROPER(TRIM(Table1[AI_Tool]))</f>
        <v>Perplexity Ai</v>
      </c>
      <c r="W543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44" spans="1:23" x14ac:dyDescent="0.25">
      <c r="A544" t="s">
        <v>878</v>
      </c>
      <c r="B544">
        <v>23</v>
      </c>
      <c r="C544" t="s">
        <v>29</v>
      </c>
      <c r="D544" t="s">
        <v>92</v>
      </c>
      <c r="E544" t="s">
        <v>111</v>
      </c>
      <c r="F544" t="s">
        <v>132</v>
      </c>
      <c r="G544" t="s">
        <v>851</v>
      </c>
      <c r="H544">
        <v>593</v>
      </c>
      <c r="I544" t="s">
        <v>58</v>
      </c>
      <c r="J544" s="6" t="s">
        <v>130</v>
      </c>
      <c r="K544" s="15">
        <v>5</v>
      </c>
      <c r="L544" s="5">
        <v>0</v>
      </c>
      <c r="M544" s="15">
        <v>6.6</v>
      </c>
      <c r="N544">
        <v>3</v>
      </c>
      <c r="O544">
        <v>6</v>
      </c>
      <c r="P544">
        <v>9.8000000000000007</v>
      </c>
      <c r="Q544">
        <v>5.6</v>
      </c>
      <c r="R544" s="2">
        <f>IF(ISBLANK(Table1[[#This Row],[Age]]),AVERAGE(Table1[Age]),Table1[[#This Row],[Age]])</f>
        <v>23</v>
      </c>
      <c r="S544" t="str">
        <f>PROPER(Table1[[#This Row],[Country]])</f>
        <v>Canada</v>
      </c>
      <c r="T544" t="str">
        <f>TRIM(Table1[[#This Row],[Profession]])</f>
        <v>Mechanical Engineering Student</v>
      </c>
      <c r="U544" s="5">
        <f>IF(ISBLANK(H544),AVERAGEIF(Table1[[#This Row],[Profession imputed]],T544,Table1[Monthly_Income]),H544)</f>
        <v>593</v>
      </c>
      <c r="V544" s="6" t="str">
        <f>PROPER(TRIM(Table1[AI_Tool]))</f>
        <v>Claude</v>
      </c>
      <c r="W544" s="8">
        <f>IF(ISBLANK(Table1[[#This Row],[Time_Saved_Hours_Per_Week]]),AVERAGEIF(Table1[Satisfaction_Score],Table1[[#This Row],[Satisfaction_Score]],Table1[Time_Saved_Hours_Per_Week]),Table1[[#This Row],[Time_Saved_Hours_Per_Week]])</f>
        <v>9.8000000000000007</v>
      </c>
    </row>
    <row r="545" spans="1:23" x14ac:dyDescent="0.25">
      <c r="A545" t="s">
        <v>289</v>
      </c>
      <c r="B545">
        <v>17</v>
      </c>
      <c r="C545" t="s">
        <v>22</v>
      </c>
      <c r="D545" t="s">
        <v>92</v>
      </c>
      <c r="E545" t="s">
        <v>111</v>
      </c>
      <c r="F545" t="s">
        <v>50</v>
      </c>
      <c r="G545" t="s">
        <v>270</v>
      </c>
      <c r="H545">
        <v>595</v>
      </c>
      <c r="I545" t="s">
        <v>271</v>
      </c>
      <c r="J545" s="6" t="s">
        <v>33</v>
      </c>
      <c r="K545" s="15">
        <v>8</v>
      </c>
      <c r="L545" s="5">
        <v>0</v>
      </c>
      <c r="M545" s="15">
        <v>7.4</v>
      </c>
      <c r="N545">
        <v>3</v>
      </c>
      <c r="O545">
        <v>7</v>
      </c>
      <c r="P545">
        <v>15.8</v>
      </c>
      <c r="Q545">
        <v>6.1</v>
      </c>
      <c r="R545" s="2">
        <f>IF(ISBLANK(Table1[[#This Row],[Age]]),AVERAGE(Table1[Age]),Table1[[#This Row],[Age]])</f>
        <v>17</v>
      </c>
      <c r="S545" t="str">
        <f>PROPER(Table1[[#This Row],[Country]])</f>
        <v>Canada</v>
      </c>
      <c r="T545" t="str">
        <f>TRIM(Table1[[#This Row],[Profession]])</f>
        <v>Computer Science Student</v>
      </c>
      <c r="U545" s="5">
        <f>IF(ISBLANK(H545),AVERAGEIF(Table1[Profession imputed],T545,Table1[Monthly_Income]),H545)</f>
        <v>595</v>
      </c>
      <c r="V545" s="6" t="str">
        <f>PROPER(TRIM(Table1[AI_Tool]))</f>
        <v>Chat Gpt</v>
      </c>
      <c r="W545" s="8">
        <f>IF(ISBLANK(Table1[[#This Row],[Time_Saved_Hours_Per_Week]]),AVERAGEIF(Table1[Satisfaction_Score],Table1[[#This Row],[Satisfaction_Score]],Table1[Time_Saved_Hours_Per_Week]),Table1[[#This Row],[Time_Saved_Hours_Per_Week]])</f>
        <v>15.8</v>
      </c>
    </row>
    <row r="546" spans="1:23" x14ac:dyDescent="0.25">
      <c r="A546" t="s">
        <v>557</v>
      </c>
      <c r="B546">
        <v>21</v>
      </c>
      <c r="C546" t="s">
        <v>29</v>
      </c>
      <c r="D546" t="s">
        <v>44</v>
      </c>
      <c r="E546" t="s">
        <v>111</v>
      </c>
      <c r="F546" t="s">
        <v>132</v>
      </c>
      <c r="G546" t="s">
        <v>520</v>
      </c>
      <c r="H546">
        <v>595</v>
      </c>
      <c r="I546" t="s">
        <v>271</v>
      </c>
      <c r="J546" s="6" t="s">
        <v>124</v>
      </c>
      <c r="K546" s="15">
        <v>1.4</v>
      </c>
      <c r="L546" s="5">
        <v>25</v>
      </c>
      <c r="M546" s="15">
        <v>2.9</v>
      </c>
      <c r="N546">
        <v>4</v>
      </c>
      <c r="O546">
        <v>4</v>
      </c>
      <c r="P546">
        <v>4.5999999999999996</v>
      </c>
      <c r="Q546">
        <v>4.9000000000000004</v>
      </c>
      <c r="R546" s="2">
        <f>IF(ISBLANK(Table1[[#This Row],[Age]]),AVERAGE(Table1[Age]),Table1[[#This Row],[Age]])</f>
        <v>21</v>
      </c>
      <c r="S546" t="str">
        <f>PROPER(Table1[[#This Row],[Country]])</f>
        <v>United States</v>
      </c>
      <c r="T546" t="str">
        <f>TRIM(Table1[[#This Row],[Profession]])</f>
        <v>Data Science Student</v>
      </c>
      <c r="U546" s="5">
        <f>IF(ISBLANK(H546),AVERAGEIF(Table1[Profession imputed],T546,Table1[Monthly_Income]),H546)</f>
        <v>595</v>
      </c>
      <c r="V546" s="6" t="str">
        <f>PROPER(TRIM(Table1[AI_Tool]))</f>
        <v>Chat Gpt</v>
      </c>
      <c r="W546" s="8">
        <f>IF(ISBLANK(Table1[[#This Row],[Time_Saved_Hours_Per_Week]]),AVERAGEIF(Table1[Satisfaction_Score],Table1[[#This Row],[Satisfaction_Score]],Table1[Time_Saved_Hours_Per_Week]),Table1[[#This Row],[Time_Saved_Hours_Per_Week]])</f>
        <v>4.5999999999999996</v>
      </c>
    </row>
    <row r="547" spans="1:23" x14ac:dyDescent="0.25">
      <c r="A547" t="s">
        <v>1048</v>
      </c>
      <c r="B547">
        <v>31</v>
      </c>
      <c r="C547" t="s">
        <v>29</v>
      </c>
      <c r="D547" t="s">
        <v>483</v>
      </c>
      <c r="E547" t="s">
        <v>24</v>
      </c>
      <c r="F547" t="s">
        <v>25</v>
      </c>
      <c r="G547" t="s">
        <v>1046</v>
      </c>
      <c r="H547">
        <v>596</v>
      </c>
      <c r="I547" t="s">
        <v>1186</v>
      </c>
      <c r="J547" s="6" t="s">
        <v>33</v>
      </c>
      <c r="K547" s="15">
        <v>0.5</v>
      </c>
      <c r="L547" s="5">
        <v>20</v>
      </c>
      <c r="M547" s="15">
        <v>2.9</v>
      </c>
      <c r="N547">
        <v>3</v>
      </c>
      <c r="O547">
        <v>5</v>
      </c>
      <c r="P547">
        <v>0.1</v>
      </c>
      <c r="Q547">
        <v>10.199999999999999</v>
      </c>
      <c r="R547" s="2">
        <f>IF(ISBLANK(Table1[[#This Row],[Age]]),AVERAGE(Table1[Age]),Table1[[#This Row],[Age]])</f>
        <v>31</v>
      </c>
      <c r="S547" t="str">
        <f>PROPER(Table1[[#This Row],[Country]])</f>
        <v>Brazil</v>
      </c>
      <c r="T547" t="str">
        <f>TRIM(Table1[[#This Row],[Profession]])</f>
        <v>Software Developer SÃªnior</v>
      </c>
      <c r="U547" s="5">
        <f>IF(ISBLANK(H547),AVERAGEIF(Table1[[#This Row],[Profession imputed]],T547,Table1[Monthly_Income]),H547)</f>
        <v>596</v>
      </c>
      <c r="V547" s="6" t="str">
        <f>PROPER(TRIM(Table1[AI_Tool]))</f>
        <v>Google Gemini</v>
      </c>
      <c r="W547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48" spans="1:23" x14ac:dyDescent="0.25">
      <c r="A548" t="s">
        <v>531</v>
      </c>
      <c r="B548">
        <v>21</v>
      </c>
      <c r="C548" t="s">
        <v>29</v>
      </c>
      <c r="D548" t="s">
        <v>44</v>
      </c>
      <c r="E548" t="s">
        <v>111</v>
      </c>
      <c r="F548" t="s">
        <v>132</v>
      </c>
      <c r="G548" t="s">
        <v>520</v>
      </c>
      <c r="H548">
        <v>598</v>
      </c>
      <c r="I548" t="s">
        <v>271</v>
      </c>
      <c r="J548" s="6" t="s">
        <v>124</v>
      </c>
      <c r="K548" s="15">
        <v>1.4</v>
      </c>
      <c r="L548" s="5">
        <v>25</v>
      </c>
      <c r="M548" s="15">
        <v>2.9</v>
      </c>
      <c r="N548">
        <v>4</v>
      </c>
      <c r="O548">
        <v>4</v>
      </c>
      <c r="P548">
        <v>4.5999999999999996</v>
      </c>
      <c r="Q548">
        <v>4.9000000000000004</v>
      </c>
      <c r="R548" s="2">
        <f>IF(ISBLANK(Table1[[#This Row],[Age]]),AVERAGE(Table1[Age]),Table1[[#This Row],[Age]])</f>
        <v>21</v>
      </c>
      <c r="S548" t="str">
        <f>PROPER(Table1[[#This Row],[Country]])</f>
        <v>United States</v>
      </c>
      <c r="T548" t="str">
        <f>TRIM(Table1[[#This Row],[Profession]])</f>
        <v>Data Science Student</v>
      </c>
      <c r="U548" s="5">
        <f>IF(ISBLANK(H548),AVERAGEIF(Table1[Profession imputed],T548,Table1[Monthly_Income]),H548)</f>
        <v>598</v>
      </c>
      <c r="V548" s="6" t="str">
        <f>PROPER(TRIM(Table1[AI_Tool]))</f>
        <v>Chat Gpt</v>
      </c>
      <c r="W548" s="8">
        <f>IF(ISBLANK(Table1[[#This Row],[Time_Saved_Hours_Per_Week]]),AVERAGEIF(Table1[Satisfaction_Score],Table1[[#This Row],[Satisfaction_Score]],Table1[Time_Saved_Hours_Per_Week]),Table1[[#This Row],[Time_Saved_Hours_Per_Week]])</f>
        <v>4.5999999999999996</v>
      </c>
    </row>
    <row r="549" spans="1:23" x14ac:dyDescent="0.25">
      <c r="A549" t="s">
        <v>523</v>
      </c>
      <c r="B549">
        <v>22</v>
      </c>
      <c r="C549" t="s">
        <v>29</v>
      </c>
      <c r="D549" t="s">
        <v>44</v>
      </c>
      <c r="E549" t="s">
        <v>111</v>
      </c>
      <c r="F549" t="s">
        <v>132</v>
      </c>
      <c r="G549" t="s">
        <v>520</v>
      </c>
      <c r="H549">
        <v>600</v>
      </c>
      <c r="I549" t="s">
        <v>271</v>
      </c>
      <c r="J549" s="6" t="s">
        <v>124</v>
      </c>
      <c r="K549" s="15">
        <v>1.4</v>
      </c>
      <c r="L549" s="5">
        <v>25</v>
      </c>
      <c r="M549" s="15">
        <v>2.9</v>
      </c>
      <c r="N549">
        <v>4</v>
      </c>
      <c r="O549">
        <v>4</v>
      </c>
      <c r="P549">
        <v>4.5999999999999996</v>
      </c>
      <c r="Q549">
        <v>4.9000000000000004</v>
      </c>
      <c r="R549" s="2">
        <f>IF(ISBLANK(Table1[[#This Row],[Age]]),AVERAGE(Table1[Age]),Table1[[#This Row],[Age]])</f>
        <v>22</v>
      </c>
      <c r="S549" t="str">
        <f>PROPER(Table1[[#This Row],[Country]])</f>
        <v>United States</v>
      </c>
      <c r="T549" t="str">
        <f>TRIM(Table1[[#This Row],[Profession]])</f>
        <v>Data Science Student</v>
      </c>
      <c r="U549" s="5">
        <f>IF(ISBLANK(H549),AVERAGEIF(Table1[Profession imputed],T549,Table1[Monthly_Income]),H549)</f>
        <v>600</v>
      </c>
      <c r="V549" s="6" t="str">
        <f>PROPER(TRIM(Table1[AI_Tool]))</f>
        <v>Chat Gpt</v>
      </c>
      <c r="W549" s="8">
        <f>IF(ISBLANK(Table1[[#This Row],[Time_Saved_Hours_Per_Week]]),AVERAGEIF(Table1[Satisfaction_Score],Table1[[#This Row],[Satisfaction_Score]],Table1[Time_Saved_Hours_Per_Week]),Table1[[#This Row],[Time_Saved_Hours_Per_Week]])</f>
        <v>4.5999999999999996</v>
      </c>
    </row>
    <row r="550" spans="1:23" x14ac:dyDescent="0.25">
      <c r="A550" t="s">
        <v>696</v>
      </c>
      <c r="B550">
        <v>31</v>
      </c>
      <c r="C550" t="s">
        <v>22</v>
      </c>
      <c r="D550" t="s">
        <v>92</v>
      </c>
      <c r="E550" t="s">
        <v>111</v>
      </c>
      <c r="F550" t="s">
        <v>132</v>
      </c>
      <c r="G550" t="s">
        <v>671</v>
      </c>
      <c r="H550">
        <v>602</v>
      </c>
      <c r="I550" t="s">
        <v>69</v>
      </c>
      <c r="J550" s="6" t="s">
        <v>38</v>
      </c>
      <c r="K550" s="15">
        <v>1.5</v>
      </c>
      <c r="L550" s="5">
        <v>25</v>
      </c>
      <c r="M550" s="15">
        <v>3.6</v>
      </c>
      <c r="N550">
        <v>4</v>
      </c>
      <c r="O550">
        <v>6</v>
      </c>
      <c r="P550">
        <v>5.5</v>
      </c>
      <c r="Q550">
        <v>5.9</v>
      </c>
      <c r="R550" s="2">
        <f>IF(ISBLANK(Table1[[#This Row],[Age]]),AVERAGE(Table1[Age]),Table1[[#This Row],[Age]])</f>
        <v>31</v>
      </c>
      <c r="S550" t="str">
        <f>PROPER(Table1[[#This Row],[Country]])</f>
        <v>Canada</v>
      </c>
      <c r="T550" t="str">
        <f>TRIM(Table1[[#This Row],[Profession]])</f>
        <v>English Literature Student</v>
      </c>
      <c r="U550" s="5">
        <f>IF(ISBLANK(H550),AVERAGEIF(Table1[[#This Row],[Profession imputed]],T550,Table1[Monthly_Income]),H550)</f>
        <v>602</v>
      </c>
      <c r="V550" s="6" t="str">
        <f>PROPER(TRIM(Table1[AI_Tool]))</f>
        <v>Perplexity Ai</v>
      </c>
      <c r="W550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551" spans="1:23" x14ac:dyDescent="0.25">
      <c r="A551" t="s">
        <v>733</v>
      </c>
      <c r="B551">
        <v>19</v>
      </c>
      <c r="C551" t="s">
        <v>29</v>
      </c>
      <c r="D551" t="s">
        <v>692</v>
      </c>
      <c r="E551" t="s">
        <v>111</v>
      </c>
      <c r="F551" t="s">
        <v>132</v>
      </c>
      <c r="G551" t="s">
        <v>671</v>
      </c>
      <c r="H551">
        <v>604</v>
      </c>
      <c r="I551" t="s">
        <v>271</v>
      </c>
      <c r="J551" s="6" t="s">
        <v>38</v>
      </c>
      <c r="K551" s="15">
        <v>3</v>
      </c>
      <c r="L551" s="5">
        <v>0</v>
      </c>
      <c r="M551" s="15">
        <v>4</v>
      </c>
      <c r="N551">
        <v>4</v>
      </c>
      <c r="O551">
        <v>6</v>
      </c>
      <c r="P551">
        <v>7.1</v>
      </c>
      <c r="Q551">
        <v>6.7</v>
      </c>
      <c r="R551" s="2">
        <f>IF(ISBLANK(Table1[[#This Row],[Age]]),AVERAGE(Table1[Age]),Table1[[#This Row],[Age]])</f>
        <v>19</v>
      </c>
      <c r="S551" t="str">
        <f>PROPER(Table1[[#This Row],[Country]])</f>
        <v>Canada</v>
      </c>
      <c r="T551" t="str">
        <f>TRIM(Table1[[#This Row],[Profession]])</f>
        <v>English Literature Student</v>
      </c>
      <c r="U551" s="5">
        <f>IF(ISBLANK(H551),AVERAGEIF(Table1[[#This Row],[Profession imputed]],T551,Table1[Monthly_Income]),H551)</f>
        <v>604</v>
      </c>
      <c r="V551" s="6" t="str">
        <f>PROPER(TRIM(Table1[AI_Tool]))</f>
        <v>Chat Gpt</v>
      </c>
      <c r="W551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552" spans="1:23" x14ac:dyDescent="0.25">
      <c r="A552" t="s">
        <v>151</v>
      </c>
      <c r="B552">
        <v>16</v>
      </c>
      <c r="C552" t="s">
        <v>22</v>
      </c>
      <c r="D552" t="s">
        <v>44</v>
      </c>
      <c r="E552" t="s">
        <v>111</v>
      </c>
      <c r="F552" t="s">
        <v>25</v>
      </c>
      <c r="G552" t="s">
        <v>133</v>
      </c>
      <c r="H552">
        <v>609</v>
      </c>
      <c r="I552" t="s">
        <v>271</v>
      </c>
      <c r="J552" s="6" t="s">
        <v>124</v>
      </c>
      <c r="K552" s="15">
        <v>4.3</v>
      </c>
      <c r="L552" s="5">
        <v>20</v>
      </c>
      <c r="M552" s="15">
        <v>5.8</v>
      </c>
      <c r="N552">
        <v>2</v>
      </c>
      <c r="O552">
        <v>6</v>
      </c>
      <c r="P552">
        <v>8.1</v>
      </c>
      <c r="Q552">
        <v>5.2</v>
      </c>
      <c r="R552" s="2">
        <f>IF(ISBLANK(Table1[[#This Row],[Age]]),AVERAGE(Table1[Age]),Table1[[#This Row],[Age]])</f>
        <v>16</v>
      </c>
      <c r="S552" t="str">
        <f>PROPER(Table1[[#This Row],[Country]])</f>
        <v>United States</v>
      </c>
      <c r="T552" t="str">
        <f>TRIM(Table1[[#This Row],[Profession]])</f>
        <v>Biology Student</v>
      </c>
      <c r="U552" s="5">
        <f>IF(ISBLANK(H552),AVERAGEIF(Table1[[#This Row],[Profession imputed]],T552,Table1[Monthly_Income]),H552)</f>
        <v>609</v>
      </c>
      <c r="V552" s="6" t="str">
        <f>PROPER(TRIM(Table1[AI_Tool]))</f>
        <v>Chat Gpt</v>
      </c>
      <c r="W552" s="8">
        <f>IF(ISBLANK(Table1[[#This Row],[Time_Saved_Hours_Per_Week]]),AVERAGEIF(Table1[Satisfaction_Score],Table1[[#This Row],[Satisfaction_Score]],Table1[Time_Saved_Hours_Per_Week]),Table1[[#This Row],[Time_Saved_Hours_Per_Week]])</f>
        <v>8.1</v>
      </c>
    </row>
    <row r="553" spans="1:23" x14ac:dyDescent="0.25">
      <c r="A553" t="s">
        <v>559</v>
      </c>
      <c r="B553">
        <v>21</v>
      </c>
      <c r="C553" t="s">
        <v>29</v>
      </c>
      <c r="D553" t="s">
        <v>44</v>
      </c>
      <c r="E553" t="s">
        <v>111</v>
      </c>
      <c r="F553" t="s">
        <v>132</v>
      </c>
      <c r="G553" t="s">
        <v>520</v>
      </c>
      <c r="H553">
        <v>609</v>
      </c>
      <c r="I553" t="s">
        <v>271</v>
      </c>
      <c r="J553" s="6" t="s">
        <v>124</v>
      </c>
      <c r="K553" s="15">
        <v>1.4</v>
      </c>
      <c r="L553" s="5">
        <v>25</v>
      </c>
      <c r="M553" s="15">
        <v>2.9</v>
      </c>
      <c r="N553">
        <v>4</v>
      </c>
      <c r="O553">
        <v>4</v>
      </c>
      <c r="P553">
        <v>4.5999999999999996</v>
      </c>
      <c r="Q553">
        <v>4.9000000000000004</v>
      </c>
      <c r="R553" s="2">
        <f>IF(ISBLANK(Table1[[#This Row],[Age]]),AVERAGE(Table1[Age]),Table1[[#This Row],[Age]])</f>
        <v>21</v>
      </c>
      <c r="S553" t="str">
        <f>PROPER(Table1[[#This Row],[Country]])</f>
        <v>United States</v>
      </c>
      <c r="T553" t="str">
        <f>TRIM(Table1[[#This Row],[Profession]])</f>
        <v>Data Science Student</v>
      </c>
      <c r="U553" s="5">
        <f>IF(ISBLANK(H553),AVERAGEIF(Table1[Profession imputed],T553,Table1[Monthly_Income]),H553)</f>
        <v>609</v>
      </c>
      <c r="V553" s="6" t="str">
        <f>PROPER(TRIM(Table1[AI_Tool]))</f>
        <v>Chat Gpt</v>
      </c>
      <c r="W553" s="8">
        <f>IF(ISBLANK(Table1[[#This Row],[Time_Saved_Hours_Per_Week]]),AVERAGEIF(Table1[Satisfaction_Score],Table1[[#This Row],[Satisfaction_Score]],Table1[Time_Saved_Hours_Per_Week]),Table1[[#This Row],[Time_Saved_Hours_Per_Week]])</f>
        <v>4.5999999999999996</v>
      </c>
    </row>
    <row r="554" spans="1:23" x14ac:dyDescent="0.25">
      <c r="A554" t="s">
        <v>858</v>
      </c>
      <c r="B554">
        <v>22</v>
      </c>
      <c r="C554" t="s">
        <v>29</v>
      </c>
      <c r="D554" t="s">
        <v>189</v>
      </c>
      <c r="E554" t="s">
        <v>111</v>
      </c>
      <c r="F554" t="s">
        <v>132</v>
      </c>
      <c r="G554" t="s">
        <v>851</v>
      </c>
      <c r="H554">
        <v>613</v>
      </c>
      <c r="I554" t="s">
        <v>1186</v>
      </c>
      <c r="J554" s="6" t="s">
        <v>124</v>
      </c>
      <c r="K554" s="15">
        <v>1.9</v>
      </c>
      <c r="L554" s="5">
        <v>20</v>
      </c>
      <c r="M554" s="15">
        <v>5.6</v>
      </c>
      <c r="N554">
        <v>2</v>
      </c>
      <c r="O554">
        <v>4</v>
      </c>
      <c r="P554">
        <v>8</v>
      </c>
      <c r="Q554">
        <v>7.4</v>
      </c>
      <c r="R554" s="2">
        <f>IF(ISBLANK(Table1[[#This Row],[Age]]),AVERAGE(Table1[Age]),Table1[[#This Row],[Age]])</f>
        <v>22</v>
      </c>
      <c r="S554" t="str">
        <f>PROPER(Table1[[#This Row],[Country]])</f>
        <v>Australia</v>
      </c>
      <c r="T554" t="str">
        <f>TRIM(Table1[[#This Row],[Profession]])</f>
        <v>Mechanical Engineering Student</v>
      </c>
      <c r="U554" s="5">
        <f>IF(ISBLANK(H554),AVERAGEIF(Table1[[#This Row],[Profession imputed]],T554,Table1[Monthly_Income]),H554)</f>
        <v>613</v>
      </c>
      <c r="V554" s="6" t="str">
        <f>PROPER(TRIM(Table1[AI_Tool]))</f>
        <v>Google Gemini</v>
      </c>
      <c r="W554" s="8">
        <f>IF(ISBLANK(Table1[[#This Row],[Time_Saved_Hours_Per_Week]]),AVERAGEIF(Table1[Satisfaction_Score],Table1[[#This Row],[Satisfaction_Score]],Table1[Time_Saved_Hours_Per_Week]),Table1[[#This Row],[Time_Saved_Hours_Per_Week]])</f>
        <v>8</v>
      </c>
    </row>
    <row r="555" spans="1:23" x14ac:dyDescent="0.25">
      <c r="A555" t="s">
        <v>128</v>
      </c>
      <c r="B555">
        <v>23</v>
      </c>
      <c r="C555" t="s">
        <v>29</v>
      </c>
      <c r="D555" t="s">
        <v>117</v>
      </c>
      <c r="E555" t="s">
        <v>111</v>
      </c>
      <c r="F555" t="s">
        <v>55</v>
      </c>
      <c r="G555" t="s">
        <v>129</v>
      </c>
      <c r="H555">
        <v>614</v>
      </c>
      <c r="I555" t="s">
        <v>58</v>
      </c>
      <c r="J555" s="6" t="s">
        <v>130</v>
      </c>
      <c r="K555" s="15">
        <v>1</v>
      </c>
      <c r="L555" s="5">
        <v>20</v>
      </c>
      <c r="M555" s="15">
        <v>2.5</v>
      </c>
      <c r="N555">
        <v>4</v>
      </c>
      <c r="O555">
        <v>6</v>
      </c>
      <c r="P555">
        <v>0.7</v>
      </c>
      <c r="Q555">
        <v>6.6</v>
      </c>
      <c r="R555" s="2">
        <f>IF(ISBLANK(Table1[[#This Row],[Age]]),AVERAGE(Table1[Age]),Table1[[#This Row],[Age]])</f>
        <v>23</v>
      </c>
      <c r="S555" t="str">
        <f>PROPER(Table1[[#This Row],[Country]])</f>
        <v>United Kingdom</v>
      </c>
      <c r="T555" t="str">
        <f>TRIM(Table1[[#This Row],[Profession]])</f>
        <v>Bioinformatics Student</v>
      </c>
      <c r="U555" s="5">
        <f>IF(ISBLANK(H555),AVERAGEIF(Table1[[#This Row],[Profession imputed]],T555,Table1[Monthly_Income]),H555)</f>
        <v>614</v>
      </c>
      <c r="V555" s="6" t="str">
        <f>PROPER(TRIM(Table1[AI_Tool]))</f>
        <v>Claude</v>
      </c>
      <c r="W555" s="8">
        <f>IF(ISBLANK(Table1[[#This Row],[Time_Saved_Hours_Per_Week]]),AVERAGEIF(Table1[Satisfaction_Score],Table1[[#This Row],[Satisfaction_Score]],Table1[Time_Saved_Hours_Per_Week]),Table1[[#This Row],[Time_Saved_Hours_Per_Week]])</f>
        <v>0.7</v>
      </c>
    </row>
    <row r="556" spans="1:23" x14ac:dyDescent="0.25">
      <c r="A556" t="s">
        <v>708</v>
      </c>
      <c r="B556">
        <v>20</v>
      </c>
      <c r="C556" t="s">
        <v>29</v>
      </c>
      <c r="D556" t="s">
        <v>692</v>
      </c>
      <c r="E556" t="s">
        <v>111</v>
      </c>
      <c r="F556" t="s">
        <v>132</v>
      </c>
      <c r="G556" t="s">
        <v>671</v>
      </c>
      <c r="H556">
        <v>616</v>
      </c>
      <c r="I556" t="s">
        <v>271</v>
      </c>
      <c r="J556" s="6" t="s">
        <v>38</v>
      </c>
      <c r="K556" s="15">
        <v>3</v>
      </c>
      <c r="L556" s="5">
        <v>0</v>
      </c>
      <c r="M556" s="15">
        <v>4</v>
      </c>
      <c r="N556">
        <v>4</v>
      </c>
      <c r="O556">
        <v>6</v>
      </c>
      <c r="P556">
        <v>7.1</v>
      </c>
      <c r="Q556">
        <v>6.7</v>
      </c>
      <c r="R556" s="2">
        <f>IF(ISBLANK(Table1[[#This Row],[Age]]),AVERAGE(Table1[Age]),Table1[[#This Row],[Age]])</f>
        <v>20</v>
      </c>
      <c r="S556" t="str">
        <f>PROPER(Table1[[#This Row],[Country]])</f>
        <v>Canada</v>
      </c>
      <c r="T556" t="str">
        <f>TRIM(Table1[[#This Row],[Profession]])</f>
        <v>English Literature Student</v>
      </c>
      <c r="U556" s="5">
        <f>IF(ISBLANK(H556),AVERAGEIF(Table1[[#This Row],[Profession imputed]],T556,Table1[Monthly_Income]),H556)</f>
        <v>616</v>
      </c>
      <c r="V556" s="6" t="str">
        <f>PROPER(TRIM(Table1[AI_Tool]))</f>
        <v>Chat Gpt</v>
      </c>
      <c r="W556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557" spans="1:23" x14ac:dyDescent="0.25">
      <c r="A557" t="s">
        <v>900</v>
      </c>
      <c r="C557" t="s">
        <v>22</v>
      </c>
      <c r="D557" t="s">
        <v>92</v>
      </c>
      <c r="E557" t="s">
        <v>111</v>
      </c>
      <c r="F557" t="s">
        <v>132</v>
      </c>
      <c r="G557" t="s">
        <v>901</v>
      </c>
      <c r="H557">
        <v>624</v>
      </c>
      <c r="I557" t="s">
        <v>1186</v>
      </c>
      <c r="J557" s="6" t="s">
        <v>130</v>
      </c>
      <c r="K557" s="15">
        <v>0.9</v>
      </c>
      <c r="L557" s="5">
        <v>0</v>
      </c>
      <c r="M557" s="15">
        <v>4.4000000000000004</v>
      </c>
      <c r="N557">
        <v>3</v>
      </c>
      <c r="O557">
        <v>5</v>
      </c>
      <c r="P557">
        <v>0.1</v>
      </c>
      <c r="Q557">
        <v>7.4</v>
      </c>
      <c r="R557" s="2">
        <f>IF(ISBLANK(Table1[[#This Row],[Age]]),AVERAGE(Table1[Age]),Table1[[#This Row],[Age]])</f>
        <v>30.023333333333333</v>
      </c>
      <c r="S557" t="str">
        <f>PROPER(Table1[[#This Row],[Country]])</f>
        <v>Canada</v>
      </c>
      <c r="T557" t="str">
        <f>TRIM(Table1[[#This Row],[Profession]])</f>
        <v>Psychology Student</v>
      </c>
      <c r="U557" s="5">
        <f>IF(ISBLANK(H557),AVERAGEIF(Table1[[#This Row],[Profession imputed]],T557,Table1[Monthly_Income]),H557)</f>
        <v>624</v>
      </c>
      <c r="V557" s="6" t="str">
        <f>PROPER(TRIM(Table1[AI_Tool]))</f>
        <v>Google Gemini</v>
      </c>
      <c r="W557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58" spans="1:23" x14ac:dyDescent="0.25">
      <c r="A558" t="s">
        <v>399</v>
      </c>
      <c r="B558">
        <v>26</v>
      </c>
      <c r="C558" t="s">
        <v>22</v>
      </c>
      <c r="D558" t="s">
        <v>189</v>
      </c>
      <c r="E558" t="s">
        <v>111</v>
      </c>
      <c r="F558" t="s">
        <v>55</v>
      </c>
      <c r="G558" t="s">
        <v>393</v>
      </c>
      <c r="H558">
        <v>627</v>
      </c>
      <c r="I558" t="s">
        <v>271</v>
      </c>
      <c r="J558" s="6" t="s">
        <v>38</v>
      </c>
      <c r="K558" s="15">
        <v>3.5</v>
      </c>
      <c r="L558" s="5">
        <v>0</v>
      </c>
      <c r="M558" s="15">
        <v>4.9000000000000004</v>
      </c>
      <c r="N558">
        <v>3</v>
      </c>
      <c r="O558">
        <v>4</v>
      </c>
      <c r="P558">
        <v>7</v>
      </c>
      <c r="Q558">
        <v>6</v>
      </c>
      <c r="R558" s="2">
        <f>IF(ISBLANK(Table1[[#This Row],[Age]]),AVERAGE(Table1[Age]),Table1[[#This Row],[Age]])</f>
        <v>26</v>
      </c>
      <c r="S558" t="str">
        <f>PROPER(Table1[[#This Row],[Country]])</f>
        <v>Australia</v>
      </c>
      <c r="T558" t="str">
        <f>TRIM(Table1[[#This Row],[Profession]])</f>
        <v>Creative Writing Student</v>
      </c>
      <c r="U558" s="5">
        <f>IF(ISBLANK(H558),AVERAGEIF(Table1[[#This Row],[Profession imputed]],T558,Table1[Monthly_Income]),H558)</f>
        <v>627</v>
      </c>
      <c r="V558" s="6" t="str">
        <f>PROPER(TRIM(Table1[AI_Tool]))</f>
        <v>Chat Gpt</v>
      </c>
      <c r="W558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559" spans="1:23" x14ac:dyDescent="0.25">
      <c r="A559" t="s">
        <v>1141</v>
      </c>
      <c r="B559">
        <v>41</v>
      </c>
      <c r="C559" t="s">
        <v>29</v>
      </c>
      <c r="D559" t="s">
        <v>52</v>
      </c>
      <c r="E559" t="s">
        <v>24</v>
      </c>
      <c r="F559" t="s">
        <v>45</v>
      </c>
      <c r="G559" t="s">
        <v>73</v>
      </c>
      <c r="H559">
        <v>627</v>
      </c>
      <c r="I559" t="s">
        <v>37</v>
      </c>
      <c r="J559" s="6" t="s">
        <v>27</v>
      </c>
      <c r="K559" s="15">
        <v>0.7</v>
      </c>
      <c r="L559" s="5">
        <v>0</v>
      </c>
      <c r="M559" s="15">
        <v>2.2999999999999998</v>
      </c>
      <c r="N559">
        <v>4</v>
      </c>
      <c r="O559">
        <v>5</v>
      </c>
      <c r="P559">
        <v>3</v>
      </c>
      <c r="Q559">
        <v>6.9</v>
      </c>
      <c r="R559" s="2">
        <f>IF(ISBLANK(Table1[[#This Row],[Age]]),AVERAGE(Table1[Age]),Table1[[#This Row],[Age]])</f>
        <v>41</v>
      </c>
      <c r="S559" t="str">
        <f>PROPER(Table1[[#This Row],[Country]])</f>
        <v>India</v>
      </c>
      <c r="T559" t="str">
        <f>TRIM(Table1[[#This Row],[Profession]])</f>
        <v>UNKNOWN</v>
      </c>
      <c r="U559" s="5">
        <f>IF(ISBLANK(H559),AVERAGEIF(Table1[[#This Row],[Profession imputed]],T559,Table1[Monthly_Income]),H559)</f>
        <v>627</v>
      </c>
      <c r="V559" s="6" t="str">
        <f>PROPER(TRIM(Table1[AI_Tool]))</f>
        <v>Grammarly</v>
      </c>
      <c r="W559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560" spans="1:23" x14ac:dyDescent="0.25">
      <c r="A560" t="s">
        <v>402</v>
      </c>
      <c r="B560">
        <v>24</v>
      </c>
      <c r="C560" t="s">
        <v>22</v>
      </c>
      <c r="D560" t="s">
        <v>189</v>
      </c>
      <c r="E560" t="s">
        <v>111</v>
      </c>
      <c r="F560" t="s">
        <v>55</v>
      </c>
      <c r="G560" t="s">
        <v>393</v>
      </c>
      <c r="H560">
        <v>628</v>
      </c>
      <c r="I560" t="s">
        <v>271</v>
      </c>
      <c r="J560" s="6" t="s">
        <v>38</v>
      </c>
      <c r="K560" s="15">
        <v>3.5</v>
      </c>
      <c r="L560" s="5">
        <v>0</v>
      </c>
      <c r="M560" s="15">
        <v>4.9000000000000004</v>
      </c>
      <c r="N560">
        <v>3</v>
      </c>
      <c r="O560">
        <v>4</v>
      </c>
      <c r="P560">
        <v>7</v>
      </c>
      <c r="Q560">
        <v>6</v>
      </c>
      <c r="R560" s="2">
        <f>IF(ISBLANK(Table1[[#This Row],[Age]]),AVERAGE(Table1[Age]),Table1[[#This Row],[Age]])</f>
        <v>24</v>
      </c>
      <c r="S560" t="str">
        <f>PROPER(Table1[[#This Row],[Country]])</f>
        <v>Australia</v>
      </c>
      <c r="T560" t="str">
        <f>TRIM(Table1[[#This Row],[Profession]])</f>
        <v>Creative Writing Student</v>
      </c>
      <c r="U560" s="5">
        <f>IF(ISBLANK(H560),AVERAGEIF(Table1[[#This Row],[Profession imputed]],T560,Table1[Monthly_Income]),H560)</f>
        <v>628</v>
      </c>
      <c r="V560" s="6" t="str">
        <f>PROPER(TRIM(Table1[AI_Tool]))</f>
        <v>Chat Gpt</v>
      </c>
      <c r="W560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561" spans="1:23" x14ac:dyDescent="0.25">
      <c r="A561" t="s">
        <v>604</v>
      </c>
      <c r="B561">
        <v>43</v>
      </c>
      <c r="C561" t="s">
        <v>29</v>
      </c>
      <c r="D561" t="s">
        <v>57</v>
      </c>
      <c r="E561" t="s">
        <v>24</v>
      </c>
      <c r="F561" t="s">
        <v>50</v>
      </c>
      <c r="G561" t="s">
        <v>603</v>
      </c>
      <c r="H561">
        <v>637</v>
      </c>
      <c r="I561" t="s">
        <v>58</v>
      </c>
      <c r="J561" s="6" t="s">
        <v>75</v>
      </c>
      <c r="K561" s="15">
        <v>8.1</v>
      </c>
      <c r="L561" s="5">
        <v>0</v>
      </c>
      <c r="M561" s="15">
        <v>5.6</v>
      </c>
      <c r="N561">
        <v>5</v>
      </c>
      <c r="O561">
        <v>8</v>
      </c>
      <c r="P561">
        <v>16.5</v>
      </c>
      <c r="Q561">
        <v>7.4</v>
      </c>
      <c r="R561" s="2">
        <f>IF(ISBLANK(Table1[[#This Row],[Age]]),AVERAGE(Table1[Age]),Table1[[#This Row],[Age]])</f>
        <v>43</v>
      </c>
      <c r="S561" t="str">
        <f>PROPER(Table1[[#This Row],[Country]])</f>
        <v>Pakistan</v>
      </c>
      <c r="T561" t="str">
        <f>TRIM(Table1[[#This Row],[Profession]])</f>
        <v>Digital Content Writer</v>
      </c>
      <c r="U561" s="5">
        <f>IF(ISBLANK(H561),AVERAGEIF(Table1[Profession imputed],T561,Table1[Monthly_Income]),H561)</f>
        <v>637</v>
      </c>
      <c r="V561" s="6" t="str">
        <f>PROPER(TRIM(Table1[AI_Tool]))</f>
        <v>Claude</v>
      </c>
      <c r="W561" s="8">
        <f>IF(ISBLANK(Table1[[#This Row],[Time_Saved_Hours_Per_Week]]),AVERAGEIF(Table1[Satisfaction_Score],Table1[[#This Row],[Satisfaction_Score]],Table1[Time_Saved_Hours_Per_Week]),Table1[[#This Row],[Time_Saved_Hours_Per_Week]])</f>
        <v>16.5</v>
      </c>
    </row>
    <row r="562" spans="1:23" x14ac:dyDescent="0.25">
      <c r="A562" t="s">
        <v>902</v>
      </c>
      <c r="C562" t="s">
        <v>22</v>
      </c>
      <c r="D562" t="s">
        <v>92</v>
      </c>
      <c r="E562" t="s">
        <v>111</v>
      </c>
      <c r="F562" t="s">
        <v>132</v>
      </c>
      <c r="G562" t="s">
        <v>901</v>
      </c>
      <c r="H562">
        <v>638</v>
      </c>
      <c r="I562" t="s">
        <v>1186</v>
      </c>
      <c r="J562" s="6" t="s">
        <v>130</v>
      </c>
      <c r="K562" s="15">
        <v>0.9</v>
      </c>
      <c r="L562" s="5">
        <v>0</v>
      </c>
      <c r="M562" s="15">
        <v>4.4000000000000004</v>
      </c>
      <c r="N562">
        <v>3</v>
      </c>
      <c r="O562">
        <v>5</v>
      </c>
      <c r="P562">
        <v>0.1</v>
      </c>
      <c r="Q562">
        <v>7.4</v>
      </c>
      <c r="R562" s="2">
        <f>IF(ISBLANK(Table1[[#This Row],[Age]]),AVERAGE(Table1[Age]),Table1[[#This Row],[Age]])</f>
        <v>30.023333333333333</v>
      </c>
      <c r="S562" t="str">
        <f>PROPER(Table1[[#This Row],[Country]])</f>
        <v>Canada</v>
      </c>
      <c r="T562" t="str">
        <f>TRIM(Table1[[#This Row],[Profession]])</f>
        <v>Psychology Student</v>
      </c>
      <c r="U562" s="5">
        <f>IF(ISBLANK(H562),AVERAGEIF(Table1[[#This Row],[Profession imputed]],T562,Table1[Monthly_Income]),H562)</f>
        <v>638</v>
      </c>
      <c r="V562" s="6" t="str">
        <f>PROPER(TRIM(Table1[AI_Tool]))</f>
        <v>Google Gemini</v>
      </c>
      <c r="W562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63" spans="1:23" x14ac:dyDescent="0.25">
      <c r="A563" t="s">
        <v>873</v>
      </c>
      <c r="B563">
        <v>28</v>
      </c>
      <c r="C563" t="s">
        <v>29</v>
      </c>
      <c r="D563" t="s">
        <v>189</v>
      </c>
      <c r="E563" t="s">
        <v>111</v>
      </c>
      <c r="F563" t="s">
        <v>132</v>
      </c>
      <c r="G563" t="s">
        <v>851</v>
      </c>
      <c r="H563">
        <v>644</v>
      </c>
      <c r="I563" t="s">
        <v>271</v>
      </c>
      <c r="J563" s="6" t="s">
        <v>124</v>
      </c>
      <c r="K563" s="15">
        <v>4</v>
      </c>
      <c r="L563" s="5">
        <v>0</v>
      </c>
      <c r="M563" s="15">
        <v>7.5</v>
      </c>
      <c r="N563">
        <v>3</v>
      </c>
      <c r="O563">
        <v>8</v>
      </c>
      <c r="P563">
        <v>7.9</v>
      </c>
      <c r="Q563">
        <v>5.3</v>
      </c>
      <c r="R563" s="2">
        <f>IF(ISBLANK(Table1[[#This Row],[Age]]),AVERAGE(Table1[Age]),Table1[[#This Row],[Age]])</f>
        <v>28</v>
      </c>
      <c r="S563" t="str">
        <f>PROPER(Table1[[#This Row],[Country]])</f>
        <v>Australia</v>
      </c>
      <c r="T563" t="str">
        <f>TRIM(Table1[[#This Row],[Profession]])</f>
        <v>Mechanical Engineering Student</v>
      </c>
      <c r="U563" s="5">
        <f>IF(ISBLANK(H563),AVERAGEIF(Table1[[#This Row],[Profession imputed]],T563,Table1[Monthly_Income]),H563)</f>
        <v>644</v>
      </c>
      <c r="V563" s="6" t="str">
        <f>PROPER(TRIM(Table1[AI_Tool]))</f>
        <v>Chat Gpt</v>
      </c>
      <c r="W563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564" spans="1:23" x14ac:dyDescent="0.25">
      <c r="A564" t="s">
        <v>903</v>
      </c>
      <c r="C564" t="s">
        <v>22</v>
      </c>
      <c r="D564" t="s">
        <v>92</v>
      </c>
      <c r="E564" t="s">
        <v>111</v>
      </c>
      <c r="F564" t="s">
        <v>132</v>
      </c>
      <c r="G564" t="s">
        <v>901</v>
      </c>
      <c r="H564">
        <v>647</v>
      </c>
      <c r="I564" t="s">
        <v>1186</v>
      </c>
      <c r="J564" s="6" t="s">
        <v>130</v>
      </c>
      <c r="K564" s="15">
        <v>0.9</v>
      </c>
      <c r="L564" s="5">
        <v>0</v>
      </c>
      <c r="M564" s="15">
        <v>4.4000000000000004</v>
      </c>
      <c r="N564">
        <v>3</v>
      </c>
      <c r="O564">
        <v>5</v>
      </c>
      <c r="P564">
        <v>0.1</v>
      </c>
      <c r="Q564">
        <v>7.4</v>
      </c>
      <c r="R564" s="2">
        <f>IF(ISBLANK(Table1[[#This Row],[Age]]),AVERAGE(Table1[Age]),Table1[[#This Row],[Age]])</f>
        <v>30.023333333333333</v>
      </c>
      <c r="S564" t="str">
        <f>PROPER(Table1[[#This Row],[Country]])</f>
        <v>Canada</v>
      </c>
      <c r="T564" t="str">
        <f>TRIM(Table1[[#This Row],[Profession]])</f>
        <v>Psychology Student</v>
      </c>
      <c r="U564" s="5">
        <f>IF(ISBLANK(H564),AVERAGEIF(Table1[[#This Row],[Profession imputed]],T564,Table1[Monthly_Income]),H564)</f>
        <v>647</v>
      </c>
      <c r="V564" s="6" t="str">
        <f>PROPER(TRIM(Table1[AI_Tool]))</f>
        <v>Google Gemini</v>
      </c>
      <c r="W564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65" spans="1:23" x14ac:dyDescent="0.25">
      <c r="A565" t="s">
        <v>396</v>
      </c>
      <c r="B565">
        <v>26</v>
      </c>
      <c r="C565" t="s">
        <v>22</v>
      </c>
      <c r="D565" t="s">
        <v>189</v>
      </c>
      <c r="E565" t="s">
        <v>111</v>
      </c>
      <c r="F565" t="s">
        <v>55</v>
      </c>
      <c r="G565" t="s">
        <v>393</v>
      </c>
      <c r="H565">
        <v>653</v>
      </c>
      <c r="I565" t="s">
        <v>271</v>
      </c>
      <c r="J565" s="6" t="s">
        <v>38</v>
      </c>
      <c r="K565" s="15">
        <v>3.5</v>
      </c>
      <c r="L565" s="5">
        <v>0</v>
      </c>
      <c r="M565" s="15">
        <v>4.9000000000000004</v>
      </c>
      <c r="N565">
        <v>3</v>
      </c>
      <c r="O565">
        <v>4</v>
      </c>
      <c r="P565">
        <v>7</v>
      </c>
      <c r="Q565">
        <v>6</v>
      </c>
      <c r="R565" s="2">
        <f>IF(ISBLANK(Table1[[#This Row],[Age]]),AVERAGE(Table1[Age]),Table1[[#This Row],[Age]])</f>
        <v>26</v>
      </c>
      <c r="S565" t="str">
        <f>PROPER(Table1[[#This Row],[Country]])</f>
        <v>Australia</v>
      </c>
      <c r="T565" t="str">
        <f>TRIM(Table1[[#This Row],[Profession]])</f>
        <v>Creative Writing Student</v>
      </c>
      <c r="U565" s="5">
        <f>IF(ISBLANK(H565),AVERAGEIF(Table1[[#This Row],[Profession imputed]],T565,Table1[Monthly_Income]),H565)</f>
        <v>653</v>
      </c>
      <c r="V565" s="6" t="str">
        <f>PROPER(TRIM(Table1[AI_Tool]))</f>
        <v>Chat Gpt</v>
      </c>
      <c r="W565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566" spans="1:23" x14ac:dyDescent="0.25">
      <c r="A566" t="s">
        <v>394</v>
      </c>
      <c r="B566">
        <v>26</v>
      </c>
      <c r="C566" t="s">
        <v>22</v>
      </c>
      <c r="D566" t="s">
        <v>189</v>
      </c>
      <c r="E566" t="s">
        <v>111</v>
      </c>
      <c r="F566" t="s">
        <v>55</v>
      </c>
      <c r="G566" t="s">
        <v>393</v>
      </c>
      <c r="H566">
        <v>661</v>
      </c>
      <c r="I566" t="s">
        <v>271</v>
      </c>
      <c r="J566" s="6" t="s">
        <v>38</v>
      </c>
      <c r="K566" s="15">
        <v>3.5</v>
      </c>
      <c r="L566" s="5">
        <v>0</v>
      </c>
      <c r="M566" s="15">
        <v>4.9000000000000004</v>
      </c>
      <c r="N566">
        <v>3</v>
      </c>
      <c r="O566">
        <v>4</v>
      </c>
      <c r="P566">
        <v>7</v>
      </c>
      <c r="Q566">
        <v>6</v>
      </c>
      <c r="R566" s="2">
        <f>IF(ISBLANK(Table1[[#This Row],[Age]]),AVERAGE(Table1[Age]),Table1[[#This Row],[Age]])</f>
        <v>26</v>
      </c>
      <c r="S566" t="str">
        <f>PROPER(Table1[[#This Row],[Country]])</f>
        <v>Australia</v>
      </c>
      <c r="T566" t="str">
        <f>TRIM(Table1[[#This Row],[Profession]])</f>
        <v>Creative Writing Student</v>
      </c>
      <c r="U566" s="5">
        <f>IF(ISBLANK(H566),AVERAGEIF(Table1[[#This Row],[Profession imputed]],T566,Table1[Monthly_Income]),H566)</f>
        <v>661</v>
      </c>
      <c r="V566" s="6" t="str">
        <f>PROPER(TRIM(Table1[AI_Tool]))</f>
        <v>Chat Gpt</v>
      </c>
      <c r="W566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567" spans="1:23" x14ac:dyDescent="0.25">
      <c r="A567" t="s">
        <v>54</v>
      </c>
      <c r="B567">
        <v>28</v>
      </c>
      <c r="C567" t="s">
        <v>22</v>
      </c>
      <c r="D567" t="s">
        <v>30</v>
      </c>
      <c r="E567" t="s">
        <v>24</v>
      </c>
      <c r="F567" t="s">
        <v>55</v>
      </c>
      <c r="G567" t="s">
        <v>46</v>
      </c>
      <c r="H567">
        <v>666</v>
      </c>
      <c r="I567" t="s">
        <v>271</v>
      </c>
      <c r="J567" s="6" t="s">
        <v>27</v>
      </c>
      <c r="K567" s="15">
        <v>2.2000000000000002</v>
      </c>
      <c r="L567" s="5">
        <v>0</v>
      </c>
      <c r="M567" s="15">
        <v>5.3</v>
      </c>
      <c r="N567">
        <v>4</v>
      </c>
      <c r="O567">
        <v>7</v>
      </c>
      <c r="P567">
        <v>5.2</v>
      </c>
      <c r="Q567">
        <v>8.6</v>
      </c>
      <c r="R567" s="2">
        <f>IF(ISBLANK(Table1[[#This Row],[Age]]),AVERAGE(Table1[Age]),Table1[[#This Row],[Age]])</f>
        <v>28</v>
      </c>
      <c r="S567" t="str">
        <f>PROPER(Table1[[#This Row],[Country]])</f>
        <v>Brazil</v>
      </c>
      <c r="T567" t="str">
        <f>TRIM(Table1[[#This Row],[Profession]])</f>
        <v>Administrative Assistant</v>
      </c>
      <c r="U567" s="5">
        <f>IF(ISBLANK(H567),AVERAGEIF(Table1[Profession imputed],T567,Table1[Monthly_Income]),H567)</f>
        <v>666</v>
      </c>
      <c r="V567" s="6" t="str">
        <f>PROPER(TRIM(Table1[AI_Tool]))</f>
        <v>Chat Gpt</v>
      </c>
      <c r="W567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568" spans="1:23" x14ac:dyDescent="0.25">
      <c r="A568" t="s">
        <v>142</v>
      </c>
      <c r="B568">
        <v>20</v>
      </c>
      <c r="C568" t="s">
        <v>29</v>
      </c>
      <c r="D568" t="s">
        <v>92</v>
      </c>
      <c r="E568" t="s">
        <v>111</v>
      </c>
      <c r="F568" t="s">
        <v>50</v>
      </c>
      <c r="G568" t="s">
        <v>133</v>
      </c>
      <c r="H568">
        <v>670</v>
      </c>
      <c r="I568" t="s">
        <v>271</v>
      </c>
      <c r="J568" s="6" t="s">
        <v>124</v>
      </c>
      <c r="K568" s="15">
        <v>3.7</v>
      </c>
      <c r="L568" s="5">
        <v>30</v>
      </c>
      <c r="M568" s="15">
        <v>7.9</v>
      </c>
      <c r="N568">
        <v>3</v>
      </c>
      <c r="O568">
        <v>9</v>
      </c>
      <c r="P568">
        <v>7.5</v>
      </c>
      <c r="Q568">
        <v>9.4</v>
      </c>
      <c r="R568" s="2">
        <f>IF(ISBLANK(Table1[[#This Row],[Age]]),AVERAGE(Table1[Age]),Table1[[#This Row],[Age]])</f>
        <v>20</v>
      </c>
      <c r="S568" t="str">
        <f>PROPER(Table1[[#This Row],[Country]])</f>
        <v>Canada</v>
      </c>
      <c r="T568" t="str">
        <f>TRIM(Table1[[#This Row],[Profession]])</f>
        <v>Biology Student</v>
      </c>
      <c r="U568" s="5">
        <f>IF(ISBLANK(H568),AVERAGEIF(Table1[[#This Row],[Profession imputed]],T568,Table1[Monthly_Income]),H568)</f>
        <v>670</v>
      </c>
      <c r="V568" s="6" t="str">
        <f>PROPER(TRIM(Table1[AI_Tool]))</f>
        <v>Chat Gpt</v>
      </c>
      <c r="W568" s="8">
        <f>IF(ISBLANK(Table1[[#This Row],[Time_Saved_Hours_Per_Week]]),AVERAGEIF(Table1[Satisfaction_Score],Table1[[#This Row],[Satisfaction_Score]],Table1[Time_Saved_Hours_Per_Week]),Table1[[#This Row],[Time_Saved_Hours_Per_Week]])</f>
        <v>7.5</v>
      </c>
    </row>
    <row r="569" spans="1:23" x14ac:dyDescent="0.25">
      <c r="A569" t="s">
        <v>602</v>
      </c>
      <c r="B569">
        <v>41</v>
      </c>
      <c r="C569" t="s">
        <v>29</v>
      </c>
      <c r="D569" t="s">
        <v>57</v>
      </c>
      <c r="E569" t="s">
        <v>24</v>
      </c>
      <c r="F569" t="s">
        <v>50</v>
      </c>
      <c r="G569" t="s">
        <v>603</v>
      </c>
      <c r="H569">
        <v>672</v>
      </c>
      <c r="I569" t="s">
        <v>58</v>
      </c>
      <c r="J569" s="6" t="s">
        <v>75</v>
      </c>
      <c r="K569" s="15">
        <v>8.1</v>
      </c>
      <c r="L569" s="5">
        <v>0</v>
      </c>
      <c r="M569" s="15">
        <v>5.6</v>
      </c>
      <c r="N569">
        <v>5</v>
      </c>
      <c r="O569">
        <v>8</v>
      </c>
      <c r="P569">
        <v>16.5</v>
      </c>
      <c r="Q569">
        <v>7.4</v>
      </c>
      <c r="R569" s="2">
        <f>IF(ISBLANK(Table1[[#This Row],[Age]]),AVERAGE(Table1[Age]),Table1[[#This Row],[Age]])</f>
        <v>41</v>
      </c>
      <c r="S569" t="str">
        <f>PROPER(Table1[[#This Row],[Country]])</f>
        <v>Pakistan</v>
      </c>
      <c r="T569" t="str">
        <f>TRIM(Table1[[#This Row],[Profession]])</f>
        <v>Digital Content Writer</v>
      </c>
      <c r="U569" s="5">
        <f>IF(ISBLANK(H569),AVERAGEIF(Table1[Profession imputed],T569,Table1[Monthly_Income]),H569)</f>
        <v>672</v>
      </c>
      <c r="V569" s="6" t="str">
        <f>PROPER(TRIM(Table1[AI_Tool]))</f>
        <v>Claude</v>
      </c>
      <c r="W569" s="8">
        <f>IF(ISBLANK(Table1[[#This Row],[Time_Saved_Hours_Per_Week]]),AVERAGEIF(Table1[Satisfaction_Score],Table1[[#This Row],[Satisfaction_Score]],Table1[Time_Saved_Hours_Per_Week]),Table1[[#This Row],[Time_Saved_Hours_Per_Week]])</f>
        <v>16.5</v>
      </c>
    </row>
    <row r="570" spans="1:23" x14ac:dyDescent="0.25">
      <c r="A570" t="s">
        <v>904</v>
      </c>
      <c r="C570" t="s">
        <v>22</v>
      </c>
      <c r="D570" t="s">
        <v>92</v>
      </c>
      <c r="E570" t="s">
        <v>111</v>
      </c>
      <c r="F570" t="s">
        <v>132</v>
      </c>
      <c r="G570" t="s">
        <v>901</v>
      </c>
      <c r="H570">
        <v>674</v>
      </c>
      <c r="I570" t="s">
        <v>1186</v>
      </c>
      <c r="J570" s="6" t="s">
        <v>130</v>
      </c>
      <c r="K570" s="15">
        <v>0.9</v>
      </c>
      <c r="L570" s="5">
        <v>0</v>
      </c>
      <c r="M570" s="15">
        <v>4.4000000000000004</v>
      </c>
      <c r="N570">
        <v>3</v>
      </c>
      <c r="O570">
        <v>5</v>
      </c>
      <c r="P570">
        <v>0.1</v>
      </c>
      <c r="Q570">
        <v>7.4</v>
      </c>
      <c r="R570" s="2">
        <f>IF(ISBLANK(Table1[[#This Row],[Age]]),AVERAGE(Table1[Age]),Table1[[#This Row],[Age]])</f>
        <v>30.023333333333333</v>
      </c>
      <c r="S570" t="str">
        <f>PROPER(Table1[[#This Row],[Country]])</f>
        <v>Canada</v>
      </c>
      <c r="T570" t="str">
        <f>TRIM(Table1[[#This Row],[Profession]])</f>
        <v>Psychology Student</v>
      </c>
      <c r="U570" s="5">
        <f>IF(ISBLANK(H570),AVERAGEIF(Table1[[#This Row],[Profession imputed]],T570,Table1[Monthly_Income]),H570)</f>
        <v>674</v>
      </c>
      <c r="V570" s="6" t="str">
        <f>PROPER(TRIM(Table1[AI_Tool]))</f>
        <v>Google Gemini</v>
      </c>
      <c r="W570" s="8">
        <f>IF(ISBLANK(Table1[[#This Row],[Time_Saved_Hours_Per_Week]]),AVERAGEIF(Table1[Satisfaction_Score],Table1[[#This Row],[Satisfaction_Score]],Table1[Time_Saved_Hours_Per_Week]),Table1[[#This Row],[Time_Saved_Hours_Per_Week]])</f>
        <v>0.1</v>
      </c>
    </row>
    <row r="571" spans="1:23" x14ac:dyDescent="0.25">
      <c r="A571" t="s">
        <v>640</v>
      </c>
      <c r="B571">
        <v>27</v>
      </c>
      <c r="C571" t="s">
        <v>29</v>
      </c>
      <c r="D571" t="s">
        <v>92</v>
      </c>
      <c r="E571" t="s">
        <v>111</v>
      </c>
      <c r="F571" t="s">
        <v>132</v>
      </c>
      <c r="G571" t="s">
        <v>638</v>
      </c>
      <c r="H571">
        <v>675</v>
      </c>
      <c r="I571" t="s">
        <v>58</v>
      </c>
      <c r="J571" s="6" t="s">
        <v>75</v>
      </c>
      <c r="K571" s="15">
        <v>1.2</v>
      </c>
      <c r="L571" s="5">
        <v>20</v>
      </c>
      <c r="M571" s="15">
        <v>4.0999999999999996</v>
      </c>
      <c r="N571">
        <v>3</v>
      </c>
      <c r="O571">
        <v>6</v>
      </c>
      <c r="P571">
        <v>1.1000000000000001</v>
      </c>
      <c r="Q571">
        <v>7.6</v>
      </c>
      <c r="R571" s="2">
        <f>IF(ISBLANK(Table1[[#This Row],[Age]]),AVERAGE(Table1[Age]),Table1[[#This Row],[Age]])</f>
        <v>27</v>
      </c>
      <c r="S571" t="str">
        <f>PROPER(Table1[[#This Row],[Country]])</f>
        <v>Canada</v>
      </c>
      <c r="T571" t="str">
        <f>TRIM(Table1[[#This Row],[Profession]])</f>
        <v>Digital Media Production Student</v>
      </c>
      <c r="U571" s="5">
        <f>IF(ISBLANK(H571),AVERAGEIF(Table1[Profession imputed],T571,Table1[Monthly_Income]),H571)</f>
        <v>675</v>
      </c>
      <c r="V571" s="6" t="str">
        <f>PROPER(TRIM(Table1[AI_Tool]))</f>
        <v>Claude</v>
      </c>
      <c r="W571" s="8">
        <f>IF(ISBLANK(Table1[[#This Row],[Time_Saved_Hours_Per_Week]]),AVERAGEIF(Table1[Satisfaction_Score],Table1[[#This Row],[Satisfaction_Score]],Table1[Time_Saved_Hours_Per_Week]),Table1[[#This Row],[Time_Saved_Hours_Per_Week]])</f>
        <v>1.1000000000000001</v>
      </c>
    </row>
    <row r="572" spans="1:23" x14ac:dyDescent="0.25">
      <c r="A572" t="s">
        <v>691</v>
      </c>
      <c r="B572">
        <v>21</v>
      </c>
      <c r="C572" t="s">
        <v>29</v>
      </c>
      <c r="D572" t="s">
        <v>692</v>
      </c>
      <c r="E572" t="s">
        <v>111</v>
      </c>
      <c r="F572" t="s">
        <v>132</v>
      </c>
      <c r="G572" t="s">
        <v>671</v>
      </c>
      <c r="H572">
        <v>678</v>
      </c>
      <c r="I572" t="s">
        <v>271</v>
      </c>
      <c r="J572" s="6" t="s">
        <v>38</v>
      </c>
      <c r="K572" s="15">
        <v>3</v>
      </c>
      <c r="L572" s="5">
        <v>0</v>
      </c>
      <c r="M572" s="15">
        <v>4</v>
      </c>
      <c r="N572">
        <v>4</v>
      </c>
      <c r="O572">
        <v>6</v>
      </c>
      <c r="P572">
        <v>7.1</v>
      </c>
      <c r="Q572">
        <v>6.7</v>
      </c>
      <c r="R572" s="2">
        <f>IF(ISBLANK(Table1[[#This Row],[Age]]),AVERAGE(Table1[Age]),Table1[[#This Row],[Age]])</f>
        <v>21</v>
      </c>
      <c r="S572" t="str">
        <f>PROPER(Table1[[#This Row],[Country]])</f>
        <v>Canada</v>
      </c>
      <c r="T572" t="str">
        <f>TRIM(Table1[[#This Row],[Profession]])</f>
        <v>English Literature Student</v>
      </c>
      <c r="U572" s="5">
        <f>IF(ISBLANK(H572),AVERAGEIF(Table1[[#This Row],[Profession imputed]],T572,Table1[Monthly_Income]),H572)</f>
        <v>678</v>
      </c>
      <c r="V572" s="6" t="str">
        <f>PROPER(TRIM(Table1[AI_Tool]))</f>
        <v>Chat Gpt</v>
      </c>
      <c r="W572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573" spans="1:23" x14ac:dyDescent="0.25">
      <c r="A573" t="s">
        <v>645</v>
      </c>
      <c r="B573">
        <v>25</v>
      </c>
      <c r="C573" t="s">
        <v>29</v>
      </c>
      <c r="D573" t="s">
        <v>92</v>
      </c>
      <c r="E573" t="s">
        <v>111</v>
      </c>
      <c r="F573" t="s">
        <v>132</v>
      </c>
      <c r="G573" t="s">
        <v>638</v>
      </c>
      <c r="H573">
        <v>680</v>
      </c>
      <c r="I573" t="s">
        <v>58</v>
      </c>
      <c r="J573" s="6" t="s">
        <v>75</v>
      </c>
      <c r="K573" s="15">
        <v>1.2</v>
      </c>
      <c r="L573" s="5">
        <v>20</v>
      </c>
      <c r="M573" s="15">
        <v>4.0999999999999996</v>
      </c>
      <c r="N573">
        <v>3</v>
      </c>
      <c r="O573">
        <v>6</v>
      </c>
      <c r="P573">
        <v>1.1000000000000001</v>
      </c>
      <c r="Q573">
        <v>7.6</v>
      </c>
      <c r="R573" s="2">
        <f>IF(ISBLANK(Table1[[#This Row],[Age]]),AVERAGE(Table1[Age]),Table1[[#This Row],[Age]])</f>
        <v>25</v>
      </c>
      <c r="S573" t="str">
        <f>PROPER(Table1[[#This Row],[Country]])</f>
        <v>Canada</v>
      </c>
      <c r="T573" t="str">
        <f>TRIM(Table1[[#This Row],[Profession]])</f>
        <v>Digital Media Production Student</v>
      </c>
      <c r="U573" s="5">
        <f>IF(ISBLANK(H573),AVERAGEIF(Table1[Profession imputed],T573,Table1[Monthly_Income]),H573)</f>
        <v>680</v>
      </c>
      <c r="V573" s="6" t="str">
        <f>PROPER(TRIM(Table1[AI_Tool]))</f>
        <v>Claude</v>
      </c>
      <c r="W573" s="8">
        <f>IF(ISBLANK(Table1[[#This Row],[Time_Saved_Hours_Per_Week]]),AVERAGEIF(Table1[Satisfaction_Score],Table1[[#This Row],[Satisfaction_Score]],Table1[Time_Saved_Hours_Per_Week]),Table1[[#This Row],[Time_Saved_Hours_Per_Week]])</f>
        <v>1.1000000000000001</v>
      </c>
    </row>
    <row r="574" spans="1:23" x14ac:dyDescent="0.25">
      <c r="A574" t="s">
        <v>431</v>
      </c>
      <c r="B574">
        <v>27</v>
      </c>
      <c r="C574" t="s">
        <v>22</v>
      </c>
      <c r="D574" t="s">
        <v>30</v>
      </c>
      <c r="E574" t="s">
        <v>24</v>
      </c>
      <c r="F574" t="s">
        <v>55</v>
      </c>
      <c r="G574" t="s">
        <v>422</v>
      </c>
      <c r="H574">
        <v>686</v>
      </c>
      <c r="I574" t="s">
        <v>271</v>
      </c>
      <c r="J574" s="6" t="s">
        <v>27</v>
      </c>
      <c r="K574" s="15">
        <v>2.2000000000000002</v>
      </c>
      <c r="L574" s="5">
        <v>0</v>
      </c>
      <c r="M574" s="15">
        <v>5.3</v>
      </c>
      <c r="N574">
        <v>4</v>
      </c>
      <c r="O574">
        <v>7</v>
      </c>
      <c r="P574">
        <v>5.2</v>
      </c>
      <c r="Q574">
        <v>8.6</v>
      </c>
      <c r="R574" s="2">
        <f>IF(ISBLANK(Table1[[#This Row],[Age]]),AVERAGE(Table1[Age]),Table1[[#This Row],[Age]])</f>
        <v>27</v>
      </c>
      <c r="S574" t="str">
        <f>PROPER(Table1[[#This Row],[Country]])</f>
        <v>Brazil</v>
      </c>
      <c r="T574" t="str">
        <f>TRIM(Table1[[#This Row],[Profession]])</f>
        <v>Customer Service Specialist</v>
      </c>
      <c r="U574" s="5">
        <f>IF(ISBLANK(H574),AVERAGEIF(Table1[[#This Row],[Profession imputed]],T574,Table1[Monthly_Income]),H574)</f>
        <v>686</v>
      </c>
      <c r="V574" s="6" t="str">
        <f>PROPER(TRIM(Table1[AI_Tool]))</f>
        <v>Chat Gpt</v>
      </c>
      <c r="W574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575" spans="1:23" x14ac:dyDescent="0.25">
      <c r="A575" t="s">
        <v>522</v>
      </c>
      <c r="B575">
        <v>20</v>
      </c>
      <c r="C575" t="s">
        <v>29</v>
      </c>
      <c r="D575" t="s">
        <v>44</v>
      </c>
      <c r="E575" t="s">
        <v>111</v>
      </c>
      <c r="F575" t="s">
        <v>132</v>
      </c>
      <c r="G575" t="s">
        <v>520</v>
      </c>
      <c r="H575">
        <v>698</v>
      </c>
      <c r="I575" t="s">
        <v>1186</v>
      </c>
      <c r="J575" s="6" t="s">
        <v>130</v>
      </c>
      <c r="K575" s="15">
        <v>1.2</v>
      </c>
      <c r="L575" s="5">
        <v>0</v>
      </c>
      <c r="M575" s="15">
        <v>3.7</v>
      </c>
      <c r="N575">
        <v>3</v>
      </c>
      <c r="O575">
        <v>4</v>
      </c>
      <c r="P575">
        <v>1.7</v>
      </c>
      <c r="Q575">
        <v>4.7</v>
      </c>
      <c r="R575" s="2">
        <f>IF(ISBLANK(Table1[[#This Row],[Age]]),AVERAGE(Table1[Age]),Table1[[#This Row],[Age]])</f>
        <v>20</v>
      </c>
      <c r="S575" t="str">
        <f>PROPER(Table1[[#This Row],[Country]])</f>
        <v>United States</v>
      </c>
      <c r="T575" t="str">
        <f>TRIM(Table1[[#This Row],[Profession]])</f>
        <v>Data Science Student</v>
      </c>
      <c r="U575" s="5">
        <f>IF(ISBLANK(H575),AVERAGEIF(Table1[Profession imputed],T575,Table1[Monthly_Income]),H575)</f>
        <v>698</v>
      </c>
      <c r="V575" s="6" t="str">
        <f>PROPER(TRIM(Table1[AI_Tool]))</f>
        <v>Google Gemini</v>
      </c>
      <c r="W575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576" spans="1:23" x14ac:dyDescent="0.25">
      <c r="A576" t="s">
        <v>1143</v>
      </c>
      <c r="B576">
        <v>16</v>
      </c>
      <c r="C576" t="s">
        <v>22</v>
      </c>
      <c r="D576" t="s">
        <v>44</v>
      </c>
      <c r="E576" t="s">
        <v>111</v>
      </c>
      <c r="F576" t="s">
        <v>31</v>
      </c>
      <c r="G576" t="s">
        <v>73</v>
      </c>
      <c r="H576">
        <v>707</v>
      </c>
      <c r="I576" t="s">
        <v>271</v>
      </c>
      <c r="J576" s="6" t="s">
        <v>106</v>
      </c>
      <c r="K576" s="15">
        <v>1.1000000000000001</v>
      </c>
      <c r="L576" s="5">
        <v>0</v>
      </c>
      <c r="M576" s="15">
        <v>5.0999999999999996</v>
      </c>
      <c r="N576">
        <v>3</v>
      </c>
      <c r="O576">
        <v>7</v>
      </c>
      <c r="P576">
        <v>5.0999999999999996</v>
      </c>
      <c r="Q576">
        <v>4.9000000000000004</v>
      </c>
      <c r="R576" s="2">
        <f>IF(ISBLANK(Table1[[#This Row],[Age]]),AVERAGE(Table1[Age]),Table1[[#This Row],[Age]])</f>
        <v>16</v>
      </c>
      <c r="S576" t="str">
        <f>PROPER(Table1[[#This Row],[Country]])</f>
        <v>United States</v>
      </c>
      <c r="T576" t="str">
        <f>TRIM(Table1[[#This Row],[Profession]])</f>
        <v>UNKNOWN</v>
      </c>
      <c r="U576" s="5">
        <f>IF(ISBLANK(H576),AVERAGEIF(Table1[[#This Row],[Profession imputed]],T576,Table1[Monthly_Income]),H576)</f>
        <v>707</v>
      </c>
      <c r="V576" s="6" t="str">
        <f>PROPER(TRIM(Table1[AI_Tool]))</f>
        <v>Chat Gpt</v>
      </c>
      <c r="W576" s="8">
        <f>IF(ISBLANK(Table1[[#This Row],[Time_Saved_Hours_Per_Week]]),AVERAGEIF(Table1[Satisfaction_Score],Table1[[#This Row],[Satisfaction_Score]],Table1[Time_Saved_Hours_Per_Week]),Table1[[#This Row],[Time_Saved_Hours_Per_Week]])</f>
        <v>5.0999999999999996</v>
      </c>
    </row>
    <row r="577" spans="1:23" x14ac:dyDescent="0.25">
      <c r="A577" t="s">
        <v>429</v>
      </c>
      <c r="B577">
        <v>28</v>
      </c>
      <c r="C577" t="s">
        <v>22</v>
      </c>
      <c r="D577" t="s">
        <v>30</v>
      </c>
      <c r="E577" t="s">
        <v>24</v>
      </c>
      <c r="F577" t="s">
        <v>55</v>
      </c>
      <c r="G577" t="s">
        <v>422</v>
      </c>
      <c r="H577">
        <v>711</v>
      </c>
      <c r="I577" t="s">
        <v>271</v>
      </c>
      <c r="J577" s="6" t="s">
        <v>27</v>
      </c>
      <c r="K577" s="15">
        <v>2.2000000000000002</v>
      </c>
      <c r="L577" s="5">
        <v>0</v>
      </c>
      <c r="M577" s="15">
        <v>5.3</v>
      </c>
      <c r="N577">
        <v>4</v>
      </c>
      <c r="O577">
        <v>7</v>
      </c>
      <c r="P577">
        <v>5.2</v>
      </c>
      <c r="Q577">
        <v>8.6</v>
      </c>
      <c r="R577" s="2">
        <f>IF(ISBLANK(Table1[[#This Row],[Age]]),AVERAGE(Table1[Age]),Table1[[#This Row],[Age]])</f>
        <v>28</v>
      </c>
      <c r="S577" t="str">
        <f>PROPER(Table1[[#This Row],[Country]])</f>
        <v>Brazil</v>
      </c>
      <c r="T577" t="str">
        <f>TRIM(Table1[[#This Row],[Profession]])</f>
        <v>Customer Service Specialist</v>
      </c>
      <c r="U577" s="5">
        <f>IF(ISBLANK(H577),AVERAGEIF(Table1[[#This Row],[Profession imputed]],T577,Table1[Monthly_Income]),H577)</f>
        <v>711</v>
      </c>
      <c r="V577" s="6" t="str">
        <f>PROPER(TRIM(Table1[AI_Tool]))</f>
        <v>Chat Gpt</v>
      </c>
      <c r="W577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578" spans="1:23" x14ac:dyDescent="0.25">
      <c r="A578" t="s">
        <v>1167</v>
      </c>
      <c r="B578">
        <v>40</v>
      </c>
      <c r="C578" t="s">
        <v>29</v>
      </c>
      <c r="D578" t="s">
        <v>52</v>
      </c>
      <c r="E578" t="s">
        <v>24</v>
      </c>
      <c r="F578" t="s">
        <v>45</v>
      </c>
      <c r="G578" t="s">
        <v>73</v>
      </c>
      <c r="H578">
        <v>711</v>
      </c>
      <c r="I578" t="s">
        <v>37</v>
      </c>
      <c r="J578" s="6" t="s">
        <v>27</v>
      </c>
      <c r="K578" s="15">
        <v>0.7</v>
      </c>
      <c r="L578" s="5">
        <v>0</v>
      </c>
      <c r="M578" s="15">
        <v>2.2999999999999998</v>
      </c>
      <c r="N578">
        <v>4</v>
      </c>
      <c r="O578">
        <v>5</v>
      </c>
      <c r="P578">
        <v>3</v>
      </c>
      <c r="Q578">
        <v>6.9</v>
      </c>
      <c r="R578" s="2">
        <f>IF(ISBLANK(Table1[[#This Row],[Age]]),AVERAGE(Table1[Age]),Table1[[#This Row],[Age]])</f>
        <v>40</v>
      </c>
      <c r="S578" t="str">
        <f>PROPER(Table1[[#This Row],[Country]])</f>
        <v>India</v>
      </c>
      <c r="T578" t="str">
        <f>TRIM(Table1[[#This Row],[Profession]])</f>
        <v>UNKNOWN</v>
      </c>
      <c r="U578" s="5">
        <f>IF(ISBLANK(H578),AVERAGEIF(Table1[[#This Row],[Profession imputed]],T578,Table1[Monthly_Income]),H578)</f>
        <v>711</v>
      </c>
      <c r="V578" s="6" t="str">
        <f>PROPER(TRIM(Table1[AI_Tool]))</f>
        <v>Grammarly</v>
      </c>
      <c r="W578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579" spans="1:23" x14ac:dyDescent="0.25">
      <c r="A579" t="s">
        <v>398</v>
      </c>
      <c r="B579">
        <v>28</v>
      </c>
      <c r="C579" t="s">
        <v>22</v>
      </c>
      <c r="D579" t="s">
        <v>189</v>
      </c>
      <c r="E579" t="s">
        <v>111</v>
      </c>
      <c r="F579" t="s">
        <v>55</v>
      </c>
      <c r="G579" s="4" t="s">
        <v>393</v>
      </c>
      <c r="H579">
        <v>728</v>
      </c>
      <c r="I579" t="s">
        <v>271</v>
      </c>
      <c r="J579" s="6" t="s">
        <v>38</v>
      </c>
      <c r="K579" s="15">
        <v>3.5</v>
      </c>
      <c r="L579" s="5">
        <v>0</v>
      </c>
      <c r="M579" s="15">
        <v>4.9000000000000004</v>
      </c>
      <c r="N579">
        <v>3</v>
      </c>
      <c r="O579">
        <v>4</v>
      </c>
      <c r="P579">
        <v>7</v>
      </c>
      <c r="Q579">
        <v>6</v>
      </c>
      <c r="R579" s="2">
        <f>IF(ISBLANK(Table1[[#This Row],[Age]]),AVERAGE(Table1[Age]),Table1[[#This Row],[Age]])</f>
        <v>28</v>
      </c>
      <c r="S579" t="str">
        <f>PROPER(Table1[[#This Row],[Country]])</f>
        <v>Australia</v>
      </c>
      <c r="T579" t="str">
        <f>TRIM(Table1[[#This Row],[Profession]])</f>
        <v>Creative Writing Student</v>
      </c>
      <c r="U579" s="5">
        <f>IF(ISBLANK(H579),AVERAGEIF(Table1[[#This Row],[Profession imputed]],T579,Table1[Monthly_Income]),H579)</f>
        <v>728</v>
      </c>
      <c r="V579" s="6" t="str">
        <f>PROPER(TRIM(Table1[AI_Tool]))</f>
        <v>Chat Gpt</v>
      </c>
      <c r="W579" s="8">
        <f>IF(ISBLANK(Table1[[#This Row],[Time_Saved_Hours_Per_Week]]),AVERAGEIF(Table1[Satisfaction_Score],Table1[[#This Row],[Satisfaction_Score]],Table1[Time_Saved_Hours_Per_Week]),Table1[[#This Row],[Time_Saved_Hours_Per_Week]])</f>
        <v>7</v>
      </c>
    </row>
    <row r="580" spans="1:23" x14ac:dyDescent="0.25">
      <c r="A580" t="s">
        <v>912</v>
      </c>
      <c r="B580">
        <v>37</v>
      </c>
      <c r="C580" t="s">
        <v>22</v>
      </c>
      <c r="D580" t="s">
        <v>57</v>
      </c>
      <c r="E580" t="s">
        <v>24</v>
      </c>
      <c r="F580" t="s">
        <v>55</v>
      </c>
      <c r="G580" t="s">
        <v>906</v>
      </c>
      <c r="H580">
        <v>729</v>
      </c>
      <c r="I580" t="s">
        <v>271</v>
      </c>
      <c r="J580" s="6" t="s">
        <v>130</v>
      </c>
      <c r="K580" s="15">
        <v>2.7</v>
      </c>
      <c r="L580" s="5">
        <v>0</v>
      </c>
      <c r="M580" s="15">
        <v>0</v>
      </c>
      <c r="N580">
        <v>4</v>
      </c>
      <c r="O580">
        <v>6</v>
      </c>
      <c r="P580">
        <v>5.7</v>
      </c>
      <c r="Q580">
        <v>8.6999999999999993</v>
      </c>
      <c r="R580" s="2">
        <f>IF(ISBLANK(Table1[[#This Row],[Age]]),AVERAGE(Table1[Age]),Table1[[#This Row],[Age]])</f>
        <v>37</v>
      </c>
      <c r="S580" t="str">
        <f>PROPER(Table1[[#This Row],[Country]])</f>
        <v>Pakistan</v>
      </c>
      <c r="T580" t="str">
        <f>TRIM(Table1[[#This Row],[Profession]])</f>
        <v>Research Analyst</v>
      </c>
      <c r="U580" s="5">
        <f>IF(ISBLANK(H580),AVERAGEIF(Table1[[#This Row],[Profession imputed]],T580,Table1[Monthly_Income]),H580)</f>
        <v>729</v>
      </c>
      <c r="V580" s="6" t="str">
        <f>PROPER(TRIM(Table1[AI_Tool]))</f>
        <v>Chat Gpt</v>
      </c>
      <c r="W580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581" spans="1:23" x14ac:dyDescent="0.25">
      <c r="A581" t="s">
        <v>354</v>
      </c>
      <c r="B581">
        <v>43</v>
      </c>
      <c r="C581" t="s">
        <v>22</v>
      </c>
      <c r="D581" t="s">
        <v>57</v>
      </c>
      <c r="E581" t="s">
        <v>24</v>
      </c>
      <c r="F581" t="s">
        <v>55</v>
      </c>
      <c r="G581" t="s">
        <v>355</v>
      </c>
      <c r="H581">
        <v>730</v>
      </c>
      <c r="I581" t="s">
        <v>271</v>
      </c>
      <c r="J581" s="6" t="s">
        <v>38</v>
      </c>
      <c r="K581" s="15">
        <v>1.6</v>
      </c>
      <c r="L581" s="5">
        <v>20</v>
      </c>
      <c r="M581" s="15">
        <v>5.0999999999999996</v>
      </c>
      <c r="N581">
        <v>4</v>
      </c>
      <c r="O581">
        <v>5</v>
      </c>
      <c r="P581">
        <v>4.7</v>
      </c>
      <c r="Q581">
        <v>9.6999999999999993</v>
      </c>
      <c r="R581" s="2">
        <f>IF(ISBLANK(Table1[[#This Row],[Age]]),AVERAGE(Table1[Age]),Table1[[#This Row],[Age]])</f>
        <v>43</v>
      </c>
      <c r="S581" t="str">
        <f>PROPER(Table1[[#This Row],[Country]])</f>
        <v>Pakistan</v>
      </c>
      <c r="T581" t="str">
        <f>TRIM(Table1[[#This Row],[Profession]])</f>
        <v>Content Strategist &amp; Technical Writer</v>
      </c>
      <c r="U581" s="5">
        <f>IF(ISBLANK(H581),AVERAGEIF(Table1[[#This Row],[Profession imputed]],T581,Table1[Monthly_Income]),H581)</f>
        <v>730</v>
      </c>
      <c r="V581" s="6" t="str">
        <f>PROPER(TRIM(Table1[AI_Tool]))</f>
        <v>Chat Gpt</v>
      </c>
      <c r="W581" s="8">
        <f>IF(ISBLANK(Table1[[#This Row],[Time_Saved_Hours_Per_Week]]),AVERAGEIF(Table1[Satisfaction_Score],Table1[[#This Row],[Satisfaction_Score]],Table1[Time_Saved_Hours_Per_Week]),Table1[[#This Row],[Time_Saved_Hours_Per_Week]])</f>
        <v>4.7</v>
      </c>
    </row>
    <row r="582" spans="1:23" x14ac:dyDescent="0.25">
      <c r="A582" t="s">
        <v>556</v>
      </c>
      <c r="B582">
        <v>20</v>
      </c>
      <c r="C582" t="s">
        <v>29</v>
      </c>
      <c r="D582" t="s">
        <v>44</v>
      </c>
      <c r="E582" t="s">
        <v>111</v>
      </c>
      <c r="F582" t="s">
        <v>218</v>
      </c>
      <c r="G582" t="s">
        <v>520</v>
      </c>
      <c r="H582">
        <v>737</v>
      </c>
      <c r="I582" t="s">
        <v>1186</v>
      </c>
      <c r="J582" s="6" t="s">
        <v>130</v>
      </c>
      <c r="K582" s="15">
        <v>1.2</v>
      </c>
      <c r="L582" s="5">
        <v>0</v>
      </c>
      <c r="M582" s="15">
        <v>3.7</v>
      </c>
      <c r="N582">
        <v>3</v>
      </c>
      <c r="O582">
        <v>4</v>
      </c>
      <c r="P582">
        <v>1.7</v>
      </c>
      <c r="Q582">
        <v>4.7</v>
      </c>
      <c r="R582" s="2">
        <f>IF(ISBLANK(Table1[[#This Row],[Age]]),AVERAGE(Table1[Age]),Table1[[#This Row],[Age]])</f>
        <v>20</v>
      </c>
      <c r="S582" t="str">
        <f>PROPER(Table1[[#This Row],[Country]])</f>
        <v>United States</v>
      </c>
      <c r="T582" t="str">
        <f>TRIM(Table1[[#This Row],[Profession]])</f>
        <v>Data Science Student</v>
      </c>
      <c r="U582" s="5">
        <f>IF(ISBLANK(H582),AVERAGEIF(Table1[Profession imputed],T582,Table1[Monthly_Income]),H582)</f>
        <v>737</v>
      </c>
      <c r="V582" s="6" t="str">
        <f>PROPER(TRIM(Table1[AI_Tool]))</f>
        <v>Google Gemini</v>
      </c>
      <c r="W582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583" spans="1:23" x14ac:dyDescent="0.25">
      <c r="A583" t="s">
        <v>707</v>
      </c>
      <c r="B583">
        <v>21</v>
      </c>
      <c r="C583" t="s">
        <v>29</v>
      </c>
      <c r="D583" t="s">
        <v>692</v>
      </c>
      <c r="E583" t="s">
        <v>111</v>
      </c>
      <c r="F583" t="s">
        <v>132</v>
      </c>
      <c r="G583" t="s">
        <v>671</v>
      </c>
      <c r="H583">
        <v>748</v>
      </c>
      <c r="I583" t="s">
        <v>271</v>
      </c>
      <c r="J583" s="6" t="s">
        <v>38</v>
      </c>
      <c r="K583" s="15">
        <v>3</v>
      </c>
      <c r="L583" s="5">
        <v>0</v>
      </c>
      <c r="M583" s="15">
        <v>4</v>
      </c>
      <c r="N583">
        <v>4</v>
      </c>
      <c r="O583">
        <v>6</v>
      </c>
      <c r="P583">
        <v>7.1</v>
      </c>
      <c r="Q583">
        <v>6.7</v>
      </c>
      <c r="R583" s="2">
        <f>IF(ISBLANK(Table1[[#This Row],[Age]]),AVERAGE(Table1[Age]),Table1[[#This Row],[Age]])</f>
        <v>21</v>
      </c>
      <c r="S583" t="str">
        <f>PROPER(Table1[[#This Row],[Country]])</f>
        <v>Canada</v>
      </c>
      <c r="T583" t="str">
        <f>TRIM(Table1[[#This Row],[Profession]])</f>
        <v>English Literature Student</v>
      </c>
      <c r="U583" s="5">
        <f>IF(ISBLANK(H583),AVERAGEIF(Table1[[#This Row],[Profession imputed]],T583,Table1[Monthly_Income]),H583)</f>
        <v>748</v>
      </c>
      <c r="V583" s="6" t="str">
        <f>PROPER(TRIM(Table1[AI_Tool]))</f>
        <v>Chat Gpt</v>
      </c>
      <c r="W583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584" spans="1:23" x14ac:dyDescent="0.25">
      <c r="A584" t="s">
        <v>356</v>
      </c>
      <c r="B584">
        <v>43</v>
      </c>
      <c r="C584" t="s">
        <v>22</v>
      </c>
      <c r="D584" t="s">
        <v>57</v>
      </c>
      <c r="E584" t="s">
        <v>24</v>
      </c>
      <c r="F584" t="s">
        <v>55</v>
      </c>
      <c r="G584" t="s">
        <v>355</v>
      </c>
      <c r="H584">
        <v>754</v>
      </c>
      <c r="I584" t="s">
        <v>271</v>
      </c>
      <c r="J584" s="6" t="s">
        <v>38</v>
      </c>
      <c r="K584" s="15">
        <v>1.6</v>
      </c>
      <c r="L584" s="5">
        <v>20</v>
      </c>
      <c r="M584" s="15">
        <v>5.0999999999999996</v>
      </c>
      <c r="N584">
        <v>4</v>
      </c>
      <c r="O584">
        <v>5</v>
      </c>
      <c r="P584">
        <v>4.7</v>
      </c>
      <c r="Q584">
        <v>9.6999999999999993</v>
      </c>
      <c r="R584" s="2">
        <f>IF(ISBLANK(Table1[[#This Row],[Age]]),AVERAGE(Table1[Age]),Table1[[#This Row],[Age]])</f>
        <v>43</v>
      </c>
      <c r="S584" t="str">
        <f>PROPER(Table1[[#This Row],[Country]])</f>
        <v>Pakistan</v>
      </c>
      <c r="T584" t="str">
        <f>TRIM(Table1[[#This Row],[Profession]])</f>
        <v>Content Strategist &amp; Technical Writer</v>
      </c>
      <c r="U584" s="5">
        <f>IF(ISBLANK(H584),AVERAGEIF(Table1[[#This Row],[Profession imputed]],T584,Table1[Monthly_Income]),H584)</f>
        <v>754</v>
      </c>
      <c r="V584" s="6" t="str">
        <f>PROPER(TRIM(Table1[AI_Tool]))</f>
        <v>Chat Gpt</v>
      </c>
      <c r="W584" s="8">
        <f>IF(ISBLANK(Table1[[#This Row],[Time_Saved_Hours_Per_Week]]),AVERAGEIF(Table1[Satisfaction_Score],Table1[[#This Row],[Satisfaction_Score]],Table1[Time_Saved_Hours_Per_Week]),Table1[[#This Row],[Time_Saved_Hours_Per_Week]])</f>
        <v>4.7</v>
      </c>
    </row>
    <row r="585" spans="1:23" x14ac:dyDescent="0.25">
      <c r="A585" t="s">
        <v>261</v>
      </c>
      <c r="B585">
        <v>29</v>
      </c>
      <c r="C585" t="s">
        <v>29</v>
      </c>
      <c r="D585" t="s">
        <v>260</v>
      </c>
      <c r="E585" t="s">
        <v>24</v>
      </c>
      <c r="F585" t="s">
        <v>25</v>
      </c>
      <c r="G585" t="s">
        <v>258</v>
      </c>
      <c r="H585">
        <v>762</v>
      </c>
      <c r="I585" t="s">
        <v>139</v>
      </c>
      <c r="J585" s="6" t="s">
        <v>106</v>
      </c>
      <c r="K585" s="15">
        <v>2.8</v>
      </c>
      <c r="L585" s="5">
        <v>0</v>
      </c>
      <c r="M585" s="15">
        <v>6.6</v>
      </c>
      <c r="N585">
        <v>4</v>
      </c>
      <c r="O585">
        <v>9</v>
      </c>
      <c r="P585">
        <v>9.4</v>
      </c>
      <c r="Q585">
        <v>11.3</v>
      </c>
      <c r="R585" s="2">
        <f>IF(ISBLANK(Table1[[#This Row],[Age]]),AVERAGE(Table1[Age]),Table1[[#This Row],[Age]])</f>
        <v>29</v>
      </c>
      <c r="S585" t="str">
        <f>PROPER(Table1[[#This Row],[Country]])</f>
        <v>Philippines</v>
      </c>
      <c r="T585" t="str">
        <f>TRIM(Table1[[#This Row],[Profession]])</f>
        <v>Business Intelligence Analyst</v>
      </c>
      <c r="U585" s="5">
        <f>IF(ISBLANK(H585),AVERAGEIF(Table1[Profession imputed],T585,Table1[Monthly_Income]),H585)</f>
        <v>762</v>
      </c>
      <c r="V585" s="6" t="str">
        <f>PROPER(TRIM(Table1[AI_Tool]))</f>
        <v>Microsoft Copilot</v>
      </c>
      <c r="W585" s="8">
        <f>IF(ISBLANK(Table1[[#This Row],[Time_Saved_Hours_Per_Week]]),AVERAGEIF(Table1[Satisfaction_Score],Table1[[#This Row],[Satisfaction_Score]],Table1[Time_Saved_Hours_Per_Week]),Table1[[#This Row],[Time_Saved_Hours_Per_Week]])</f>
        <v>9.4</v>
      </c>
    </row>
    <row r="586" spans="1:23" x14ac:dyDescent="0.25">
      <c r="A586" t="s">
        <v>259</v>
      </c>
      <c r="B586">
        <v>29</v>
      </c>
      <c r="C586" t="s">
        <v>29</v>
      </c>
      <c r="D586" t="s">
        <v>260</v>
      </c>
      <c r="E586" t="s">
        <v>24</v>
      </c>
      <c r="F586" t="s">
        <v>25</v>
      </c>
      <c r="G586" t="s">
        <v>258</v>
      </c>
      <c r="H586">
        <v>765</v>
      </c>
      <c r="I586" t="s">
        <v>139</v>
      </c>
      <c r="J586" s="6" t="s">
        <v>106</v>
      </c>
      <c r="K586" s="15">
        <v>2.8</v>
      </c>
      <c r="L586" s="5">
        <v>0</v>
      </c>
      <c r="M586" s="15">
        <v>6.6</v>
      </c>
      <c r="N586">
        <v>4</v>
      </c>
      <c r="O586">
        <v>9</v>
      </c>
      <c r="P586">
        <v>9.4</v>
      </c>
      <c r="Q586">
        <v>11.3</v>
      </c>
      <c r="R586" s="2">
        <f>IF(ISBLANK(Table1[[#This Row],[Age]]),AVERAGE(Table1[Age]),Table1[[#This Row],[Age]])</f>
        <v>29</v>
      </c>
      <c r="S586" t="str">
        <f>PROPER(Table1[[#This Row],[Country]])</f>
        <v>Philippines</v>
      </c>
      <c r="T586" t="str">
        <f>TRIM(Table1[[#This Row],[Profession]])</f>
        <v>Business Intelligence Analyst</v>
      </c>
      <c r="U586" s="5">
        <f>IF(ISBLANK(H586),AVERAGEIF(Table1[Profession imputed],T586,Table1[Monthly_Income]),H586)</f>
        <v>765</v>
      </c>
      <c r="V586" s="6" t="str">
        <f>PROPER(TRIM(Table1[AI_Tool]))</f>
        <v>Microsoft Copilot</v>
      </c>
      <c r="W586" s="8">
        <f>IF(ISBLANK(Table1[[#This Row],[Time_Saved_Hours_Per_Week]]),AVERAGEIF(Table1[Satisfaction_Score],Table1[[#This Row],[Satisfaction_Score]],Table1[Time_Saved_Hours_Per_Week]),Table1[[#This Row],[Time_Saved_Hours_Per_Week]])</f>
        <v>9.4</v>
      </c>
    </row>
    <row r="587" spans="1:23" x14ac:dyDescent="0.25">
      <c r="A587" t="s">
        <v>554</v>
      </c>
      <c r="B587">
        <v>20</v>
      </c>
      <c r="C587" t="s">
        <v>29</v>
      </c>
      <c r="D587" t="s">
        <v>44</v>
      </c>
      <c r="E587" t="s">
        <v>111</v>
      </c>
      <c r="F587" t="s">
        <v>218</v>
      </c>
      <c r="G587" t="s">
        <v>520</v>
      </c>
      <c r="H587">
        <v>768</v>
      </c>
      <c r="I587" t="s">
        <v>1186</v>
      </c>
      <c r="J587" s="6" t="s">
        <v>130</v>
      </c>
      <c r="K587" s="15">
        <v>1.2</v>
      </c>
      <c r="L587" s="5">
        <v>0</v>
      </c>
      <c r="M587" s="15">
        <v>3.7</v>
      </c>
      <c r="N587">
        <v>3</v>
      </c>
      <c r="O587">
        <v>4</v>
      </c>
      <c r="P587">
        <v>1.7</v>
      </c>
      <c r="Q587">
        <v>4.7</v>
      </c>
      <c r="R587" s="2">
        <f>IF(ISBLANK(Table1[[#This Row],[Age]]),AVERAGE(Table1[Age]),Table1[[#This Row],[Age]])</f>
        <v>20</v>
      </c>
      <c r="S587" t="str">
        <f>PROPER(Table1[[#This Row],[Country]])</f>
        <v>United States</v>
      </c>
      <c r="T587" t="str">
        <f>TRIM(Table1[[#This Row],[Profession]])</f>
        <v>Data Science Student</v>
      </c>
      <c r="U587" s="5">
        <f>IF(ISBLANK(H587),AVERAGEIF(Table1[Profession imputed],T587,Table1[Monthly_Income]),H587)</f>
        <v>768</v>
      </c>
      <c r="V587" s="6" t="str">
        <f>PROPER(TRIM(Table1[AI_Tool]))</f>
        <v>Google Gemini</v>
      </c>
      <c r="W587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588" spans="1:23" x14ac:dyDescent="0.25">
      <c r="A588" t="s">
        <v>251</v>
      </c>
      <c r="B588">
        <v>19</v>
      </c>
      <c r="C588" t="s">
        <v>22</v>
      </c>
      <c r="D588" t="s">
        <v>44</v>
      </c>
      <c r="E588" t="s">
        <v>111</v>
      </c>
      <c r="F588" t="s">
        <v>132</v>
      </c>
      <c r="G588" t="s">
        <v>252</v>
      </c>
      <c r="H588">
        <v>774</v>
      </c>
      <c r="I588" t="s">
        <v>253</v>
      </c>
      <c r="J588" s="6" t="s">
        <v>106</v>
      </c>
      <c r="K588" s="15">
        <v>1.5</v>
      </c>
      <c r="L588" s="5">
        <v>0</v>
      </c>
      <c r="M588" s="15">
        <v>5</v>
      </c>
      <c r="N588">
        <v>3</v>
      </c>
      <c r="O588">
        <v>6</v>
      </c>
      <c r="P588">
        <v>2.9</v>
      </c>
      <c r="Q588">
        <v>7.4</v>
      </c>
      <c r="R588" s="2">
        <f>IF(ISBLANK(Table1[[#This Row],[Age]]),AVERAGE(Table1[Age]),Table1[[#This Row],[Age]])</f>
        <v>19</v>
      </c>
      <c r="S588" t="str">
        <f>PROPER(Table1[[#This Row],[Country]])</f>
        <v>United States</v>
      </c>
      <c r="T588" t="str">
        <f>TRIM(Table1[[#This Row],[Profession]])</f>
        <v>Business Analytics Student</v>
      </c>
      <c r="U588" s="5">
        <f>IF(ISBLANK(H588),AVERAGEIF(Table1[Profession imputed],T588,Table1[Monthly_Income]),H588)</f>
        <v>774</v>
      </c>
      <c r="V588" s="6" t="str">
        <f>PROPER(TRIM(Table1[AI_Tool]))</f>
        <v>Meta Ai</v>
      </c>
      <c r="W588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589" spans="1:23" x14ac:dyDescent="0.25">
      <c r="A589" t="s">
        <v>414</v>
      </c>
      <c r="B589">
        <v>41</v>
      </c>
      <c r="C589" t="s">
        <v>22</v>
      </c>
      <c r="D589" t="s">
        <v>57</v>
      </c>
      <c r="E589" t="s">
        <v>24</v>
      </c>
      <c r="F589" t="s">
        <v>25</v>
      </c>
      <c r="G589" t="s">
        <v>412</v>
      </c>
      <c r="H589">
        <v>782</v>
      </c>
      <c r="I589" t="s">
        <v>271</v>
      </c>
      <c r="J589" s="6" t="s">
        <v>27</v>
      </c>
      <c r="K589" s="15">
        <v>6</v>
      </c>
      <c r="L589" s="5">
        <v>0</v>
      </c>
      <c r="M589" s="15">
        <v>10</v>
      </c>
      <c r="N589">
        <v>2</v>
      </c>
      <c r="O589">
        <v>8</v>
      </c>
      <c r="Q589">
        <v>6.6</v>
      </c>
      <c r="R589" s="2">
        <f>IF(ISBLANK(Table1[[#This Row],[Age]]),AVERAGE(Table1[Age]),Table1[[#This Row],[Age]])</f>
        <v>41</v>
      </c>
      <c r="S589" t="str">
        <f>PROPER(Table1[[#This Row],[Country]])</f>
        <v>Pakistan</v>
      </c>
      <c r="T589" t="str">
        <f>TRIM(Table1[[#This Row],[Profession]])</f>
        <v>Customer Service Executive</v>
      </c>
      <c r="U589" s="5">
        <f>IF(ISBLANK(H589),AVERAGEIF(Table1[[#This Row],[Profession imputed]],T589,Table1[Monthly_Income]),H589)</f>
        <v>782</v>
      </c>
      <c r="V589" s="6" t="str">
        <f>PROPER(TRIM(Table1[AI_Tool]))</f>
        <v>Chat Gpt</v>
      </c>
      <c r="W589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590" spans="1:23" x14ac:dyDescent="0.25">
      <c r="A590" t="s">
        <v>558</v>
      </c>
      <c r="B590">
        <v>21</v>
      </c>
      <c r="C590" t="s">
        <v>29</v>
      </c>
      <c r="D590" t="s">
        <v>44</v>
      </c>
      <c r="E590" t="s">
        <v>111</v>
      </c>
      <c r="F590" t="s">
        <v>218</v>
      </c>
      <c r="G590" t="s">
        <v>520</v>
      </c>
      <c r="H590">
        <v>788</v>
      </c>
      <c r="I590" t="s">
        <v>1186</v>
      </c>
      <c r="J590" s="6" t="s">
        <v>130</v>
      </c>
      <c r="K590" s="15">
        <v>1.2</v>
      </c>
      <c r="L590" s="5">
        <v>0</v>
      </c>
      <c r="M590" s="15">
        <v>3.7</v>
      </c>
      <c r="N590">
        <v>3</v>
      </c>
      <c r="O590">
        <v>4</v>
      </c>
      <c r="P590">
        <v>1.7</v>
      </c>
      <c r="Q590">
        <v>4.7</v>
      </c>
      <c r="R590" s="2">
        <f>IF(ISBLANK(Table1[[#This Row],[Age]]),AVERAGE(Table1[Age]),Table1[[#This Row],[Age]])</f>
        <v>21</v>
      </c>
      <c r="S590" t="str">
        <f>PROPER(Table1[[#This Row],[Country]])</f>
        <v>United States</v>
      </c>
      <c r="T590" t="str">
        <f>TRIM(Table1[[#This Row],[Profession]])</f>
        <v>Data Science Student</v>
      </c>
      <c r="U590" s="5">
        <f>IF(ISBLANK(H590),AVERAGEIF(Table1[Profession imputed],T590,Table1[Monthly_Income]),H590)</f>
        <v>788</v>
      </c>
      <c r="V590" s="6" t="str">
        <f>PROPER(TRIM(Table1[AI_Tool]))</f>
        <v>Google Gemini</v>
      </c>
      <c r="W590" s="8">
        <f>IF(ISBLANK(Table1[[#This Row],[Time_Saved_Hours_Per_Week]]),AVERAGEIF(Table1[Satisfaction_Score],Table1[[#This Row],[Satisfaction_Score]],Table1[Time_Saved_Hours_Per_Week]),Table1[[#This Row],[Time_Saved_Hours_Per_Week]])</f>
        <v>1.7</v>
      </c>
    </row>
    <row r="591" spans="1:23" x14ac:dyDescent="0.25">
      <c r="A591" t="s">
        <v>262</v>
      </c>
      <c r="B591">
        <v>31</v>
      </c>
      <c r="C591" t="s">
        <v>29</v>
      </c>
      <c r="D591" t="s">
        <v>260</v>
      </c>
      <c r="E591" t="s">
        <v>24</v>
      </c>
      <c r="F591" t="s">
        <v>25</v>
      </c>
      <c r="G591" t="s">
        <v>258</v>
      </c>
      <c r="H591">
        <v>791</v>
      </c>
      <c r="I591" t="s">
        <v>139</v>
      </c>
      <c r="J591" s="6" t="s">
        <v>106</v>
      </c>
      <c r="K591" s="15">
        <v>2.8</v>
      </c>
      <c r="L591" s="5">
        <v>0</v>
      </c>
      <c r="M591" s="15">
        <v>6.6</v>
      </c>
      <c r="N591">
        <v>4</v>
      </c>
      <c r="O591">
        <v>9</v>
      </c>
      <c r="P591">
        <v>9.4</v>
      </c>
      <c r="Q591">
        <v>11.3</v>
      </c>
      <c r="R591" s="2">
        <f>IF(ISBLANK(Table1[[#This Row],[Age]]),AVERAGE(Table1[Age]),Table1[[#This Row],[Age]])</f>
        <v>31</v>
      </c>
      <c r="S591" t="str">
        <f>PROPER(Table1[[#This Row],[Country]])</f>
        <v>Philippines</v>
      </c>
      <c r="T591" t="str">
        <f>TRIM(Table1[[#This Row],[Profession]])</f>
        <v>Business Intelligence Analyst</v>
      </c>
      <c r="U591" s="5">
        <f>IF(ISBLANK(H591),AVERAGEIF(Table1[Profession imputed],T591,Table1[Monthly_Income]),H591)</f>
        <v>791</v>
      </c>
      <c r="V591" s="6" t="str">
        <f>PROPER(TRIM(Table1[AI_Tool]))</f>
        <v>Microsoft Copilot</v>
      </c>
      <c r="W591" s="8">
        <f>IF(ISBLANK(Table1[[#This Row],[Time_Saved_Hours_Per_Week]]),AVERAGEIF(Table1[Satisfaction_Score],Table1[[#This Row],[Satisfaction_Score]],Table1[Time_Saved_Hours_Per_Week]),Table1[[#This Row],[Time_Saved_Hours_Per_Week]])</f>
        <v>9.4</v>
      </c>
    </row>
    <row r="592" spans="1:23" x14ac:dyDescent="0.25">
      <c r="A592" t="s">
        <v>490</v>
      </c>
      <c r="B592">
        <v>27</v>
      </c>
      <c r="C592" t="s">
        <v>29</v>
      </c>
      <c r="D592" t="s">
        <v>49</v>
      </c>
      <c r="E592" t="s">
        <v>24</v>
      </c>
      <c r="F592" t="s">
        <v>45</v>
      </c>
      <c r="G592" t="s">
        <v>476</v>
      </c>
      <c r="H592">
        <v>791</v>
      </c>
      <c r="I592" t="s">
        <v>271</v>
      </c>
      <c r="J592" s="6" t="s">
        <v>106</v>
      </c>
      <c r="K592" s="15">
        <v>2.2999999999999998</v>
      </c>
      <c r="L592" s="5">
        <v>0</v>
      </c>
      <c r="M592" s="15">
        <v>4.5</v>
      </c>
      <c r="N592">
        <v>4</v>
      </c>
      <c r="O592">
        <v>5</v>
      </c>
      <c r="P592">
        <v>4.9000000000000004</v>
      </c>
      <c r="Q592">
        <v>6.4</v>
      </c>
      <c r="R592" s="2">
        <f>IF(ISBLANK(Table1[[#This Row],[Age]]),AVERAGE(Table1[Age]),Table1[[#This Row],[Age]])</f>
        <v>27</v>
      </c>
      <c r="S592" t="str">
        <f>PROPER(Table1[[#This Row],[Country]])</f>
        <v>Kenya</v>
      </c>
      <c r="T592" t="str">
        <f>TRIM(Table1[[#This Row],[Profession]])</f>
        <v>Data Analyst</v>
      </c>
      <c r="U592" s="5">
        <f>IF(ISBLANK(H592),AVERAGEIF(Table1[Profession imputed],T592,Table1[Monthly_Income]),H592)</f>
        <v>791</v>
      </c>
      <c r="V592" s="6" t="str">
        <f>PROPER(TRIM(Table1[AI_Tool]))</f>
        <v>Chat Gpt</v>
      </c>
      <c r="W592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593" spans="1:23" x14ac:dyDescent="0.25">
      <c r="A593" t="s">
        <v>909</v>
      </c>
      <c r="B593">
        <v>35</v>
      </c>
      <c r="C593" t="s">
        <v>22</v>
      </c>
      <c r="D593" t="s">
        <v>57</v>
      </c>
      <c r="E593" t="s">
        <v>24</v>
      </c>
      <c r="F593" t="s">
        <v>55</v>
      </c>
      <c r="G593" t="s">
        <v>906</v>
      </c>
      <c r="H593">
        <v>800</v>
      </c>
      <c r="I593" t="s">
        <v>271</v>
      </c>
      <c r="J593" s="6" t="s">
        <v>130</v>
      </c>
      <c r="K593" s="15">
        <v>2.7</v>
      </c>
      <c r="L593" s="5">
        <v>0</v>
      </c>
      <c r="M593" s="15">
        <v>0</v>
      </c>
      <c r="N593">
        <v>4</v>
      </c>
      <c r="O593">
        <v>6</v>
      </c>
      <c r="P593">
        <v>5.7</v>
      </c>
      <c r="Q593">
        <v>8.6999999999999993</v>
      </c>
      <c r="R593" s="2">
        <f>IF(ISBLANK(Table1[[#This Row],[Age]]),AVERAGE(Table1[Age]),Table1[[#This Row],[Age]])</f>
        <v>35</v>
      </c>
      <c r="S593" t="str">
        <f>PROPER(Table1[[#This Row],[Country]])</f>
        <v>Pakistan</v>
      </c>
      <c r="T593" t="str">
        <f>TRIM(Table1[[#This Row],[Profession]])</f>
        <v>Research Analyst</v>
      </c>
      <c r="U593" s="5">
        <f>IF(ISBLANK(H593),AVERAGEIF(Table1[[#This Row],[Profession imputed]],T593,Table1[Monthly_Income]),H593)</f>
        <v>800</v>
      </c>
      <c r="V593" s="6" t="str">
        <f>PROPER(TRIM(Table1[AI_Tool]))</f>
        <v>Chat Gpt</v>
      </c>
      <c r="W593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594" spans="1:23" x14ac:dyDescent="0.25">
      <c r="A594" t="s">
        <v>410</v>
      </c>
      <c r="B594">
        <v>39</v>
      </c>
      <c r="C594" t="s">
        <v>22</v>
      </c>
      <c r="D594" t="s">
        <v>89</v>
      </c>
      <c r="E594" t="s">
        <v>24</v>
      </c>
      <c r="F594" t="s">
        <v>55</v>
      </c>
      <c r="G594" t="s">
        <v>404</v>
      </c>
      <c r="H594">
        <v>806</v>
      </c>
      <c r="I594" t="s">
        <v>69</v>
      </c>
      <c r="J594" s="6" t="s">
        <v>27</v>
      </c>
      <c r="K594" s="15">
        <v>1.3</v>
      </c>
      <c r="L594" s="5">
        <v>25</v>
      </c>
      <c r="M594" s="15">
        <v>2.4</v>
      </c>
      <c r="N594">
        <v>5</v>
      </c>
      <c r="O594">
        <v>5</v>
      </c>
      <c r="P594">
        <v>4.9000000000000004</v>
      </c>
      <c r="Q594">
        <v>9.6999999999999993</v>
      </c>
      <c r="R594" s="2">
        <f>IF(ISBLANK(Table1[[#This Row],[Age]]),AVERAGE(Table1[Age]),Table1[[#This Row],[Age]])</f>
        <v>39</v>
      </c>
      <c r="S594" t="str">
        <f>PROPER(Table1[[#This Row],[Country]])</f>
        <v>Nigeria</v>
      </c>
      <c r="T594" t="str">
        <f>TRIM(Table1[[#This Row],[Profession]])</f>
        <v>Customer Experience Manager</v>
      </c>
      <c r="U594" s="5">
        <f>IF(ISBLANK(H594),AVERAGEIF(Table1[[#This Row],[Profession imputed]],T594,Table1[Monthly_Income]),H594)</f>
        <v>806</v>
      </c>
      <c r="V594" s="6" t="str">
        <f>PROPER(TRIM(Table1[AI_Tool]))</f>
        <v>Perplexity Ai</v>
      </c>
      <c r="W594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595" spans="1:23" x14ac:dyDescent="0.25">
      <c r="A595" t="s">
        <v>1150</v>
      </c>
      <c r="B595">
        <v>16</v>
      </c>
      <c r="C595" t="s">
        <v>22</v>
      </c>
      <c r="D595" t="s">
        <v>44</v>
      </c>
      <c r="E595" t="s">
        <v>111</v>
      </c>
      <c r="F595" t="s">
        <v>31</v>
      </c>
      <c r="G595" t="s">
        <v>73</v>
      </c>
      <c r="H595">
        <v>808</v>
      </c>
      <c r="I595" t="s">
        <v>271</v>
      </c>
      <c r="J595" s="6" t="s">
        <v>106</v>
      </c>
      <c r="K595" s="15">
        <v>1.1000000000000001</v>
      </c>
      <c r="L595" s="5">
        <v>0</v>
      </c>
      <c r="M595" s="15">
        <v>5.0999999999999996</v>
      </c>
      <c r="N595">
        <v>3</v>
      </c>
      <c r="O595">
        <v>7</v>
      </c>
      <c r="P595">
        <v>5.0999999999999996</v>
      </c>
      <c r="Q595">
        <v>4.9000000000000004</v>
      </c>
      <c r="R595" s="2">
        <f>IF(ISBLANK(Table1[[#This Row],[Age]]),AVERAGE(Table1[Age]),Table1[[#This Row],[Age]])</f>
        <v>16</v>
      </c>
      <c r="S595" t="str">
        <f>PROPER(Table1[[#This Row],[Country]])</f>
        <v>United States</v>
      </c>
      <c r="T595" t="str">
        <f>TRIM(Table1[[#This Row],[Profession]])</f>
        <v>UNKNOWN</v>
      </c>
      <c r="U595" s="5">
        <f>IF(ISBLANK(H595),AVERAGEIF(Table1[[#This Row],[Profession imputed]],T595,Table1[Monthly_Income]),H595)</f>
        <v>808</v>
      </c>
      <c r="V595" s="6" t="str">
        <f>PROPER(TRIM(Table1[AI_Tool]))</f>
        <v>Chat Gpt</v>
      </c>
      <c r="W595" s="8">
        <f>IF(ISBLANK(Table1[[#This Row],[Time_Saved_Hours_Per_Week]]),AVERAGEIF(Table1[Satisfaction_Score],Table1[[#This Row],[Satisfaction_Score]],Table1[Time_Saved_Hours_Per_Week]),Table1[[#This Row],[Time_Saved_Hours_Per_Week]])</f>
        <v>5.0999999999999996</v>
      </c>
    </row>
    <row r="596" spans="1:23" x14ac:dyDescent="0.25">
      <c r="A596" t="s">
        <v>492</v>
      </c>
      <c r="B596">
        <v>30</v>
      </c>
      <c r="C596" t="s">
        <v>29</v>
      </c>
      <c r="D596" t="s">
        <v>49</v>
      </c>
      <c r="E596" t="s">
        <v>24</v>
      </c>
      <c r="F596" t="s">
        <v>45</v>
      </c>
      <c r="G596" t="s">
        <v>476</v>
      </c>
      <c r="H596">
        <v>819</v>
      </c>
      <c r="I596" t="s">
        <v>271</v>
      </c>
      <c r="J596" s="6" t="s">
        <v>106</v>
      </c>
      <c r="K596" s="15">
        <v>2.2999999999999998</v>
      </c>
      <c r="L596" s="5">
        <v>0</v>
      </c>
      <c r="M596" s="15">
        <v>4.5</v>
      </c>
      <c r="N596">
        <v>4</v>
      </c>
      <c r="O596">
        <v>5</v>
      </c>
      <c r="P596">
        <v>4.9000000000000004</v>
      </c>
      <c r="Q596">
        <v>6.4</v>
      </c>
      <c r="R596" s="2">
        <f>IF(ISBLANK(Table1[[#This Row],[Age]]),AVERAGE(Table1[Age]),Table1[[#This Row],[Age]])</f>
        <v>30</v>
      </c>
      <c r="S596" t="str">
        <f>PROPER(Table1[[#This Row],[Country]])</f>
        <v>Kenya</v>
      </c>
      <c r="T596" t="str">
        <f>TRIM(Table1[[#This Row],[Profession]])</f>
        <v>Data Analyst</v>
      </c>
      <c r="U596" s="5">
        <f>IF(ISBLANK(H596),AVERAGEIF(Table1[Profession imputed],T596,Table1[Monthly_Income]),H596)</f>
        <v>819</v>
      </c>
      <c r="V596" s="6" t="str">
        <f>PROPER(TRIM(Table1[AI_Tool]))</f>
        <v>Chat Gpt</v>
      </c>
      <c r="W596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597" spans="1:23" x14ac:dyDescent="0.25">
      <c r="A597" t="s">
        <v>377</v>
      </c>
      <c r="B597">
        <v>26</v>
      </c>
      <c r="C597" t="s">
        <v>22</v>
      </c>
      <c r="D597" t="s">
        <v>57</v>
      </c>
      <c r="E597" t="s">
        <v>24</v>
      </c>
      <c r="F597" t="s">
        <v>25</v>
      </c>
      <c r="G597" t="s">
        <v>367</v>
      </c>
      <c r="H597">
        <v>821</v>
      </c>
      <c r="I597" t="s">
        <v>37</v>
      </c>
      <c r="J597" s="6" t="s">
        <v>38</v>
      </c>
      <c r="K597" s="15">
        <v>1.8</v>
      </c>
      <c r="L597" s="5">
        <v>0</v>
      </c>
      <c r="M597" s="15">
        <v>5.0999999999999996</v>
      </c>
      <c r="N597">
        <v>4</v>
      </c>
      <c r="O597">
        <v>6</v>
      </c>
      <c r="P597">
        <v>2.7</v>
      </c>
      <c r="Q597">
        <v>10.3</v>
      </c>
      <c r="R597" s="2">
        <f>IF(ISBLANK(Table1[[#This Row],[Age]]),AVERAGE(Table1[Age]),Table1[[#This Row],[Age]])</f>
        <v>26</v>
      </c>
      <c r="S597" t="str">
        <f>PROPER(Table1[[#This Row],[Country]])</f>
        <v>Pakistan</v>
      </c>
      <c r="T597" t="str">
        <f>TRIM(Table1[[#This Row],[Profession]])</f>
        <v>Content Writer</v>
      </c>
      <c r="U597" s="5">
        <f>IF(ISBLANK(H597),AVERAGEIF(Table1[[#This Row],[Profession imputed]],T597,Table1[Monthly_Income]),H597)</f>
        <v>821</v>
      </c>
      <c r="V597" s="6" t="str">
        <f>PROPER(TRIM(Table1[AI_Tool]))</f>
        <v>Grammarly</v>
      </c>
      <c r="W597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598" spans="1:23" x14ac:dyDescent="0.25">
      <c r="A598" t="s">
        <v>255</v>
      </c>
      <c r="B598">
        <v>18</v>
      </c>
      <c r="C598" t="s">
        <v>22</v>
      </c>
      <c r="D598" t="s">
        <v>44</v>
      </c>
      <c r="E598" t="s">
        <v>111</v>
      </c>
      <c r="F598" t="s">
        <v>132</v>
      </c>
      <c r="G598" t="s">
        <v>252</v>
      </c>
      <c r="H598">
        <v>825</v>
      </c>
      <c r="I598" t="s">
        <v>253</v>
      </c>
      <c r="J598" s="6" t="s">
        <v>106</v>
      </c>
      <c r="K598" s="15">
        <v>1.5</v>
      </c>
      <c r="L598" s="5">
        <v>0</v>
      </c>
      <c r="M598" s="15">
        <v>5</v>
      </c>
      <c r="N598">
        <v>3</v>
      </c>
      <c r="O598">
        <v>6</v>
      </c>
      <c r="P598">
        <v>2.9</v>
      </c>
      <c r="Q598">
        <v>7.4</v>
      </c>
      <c r="R598" s="2">
        <f>IF(ISBLANK(Table1[[#This Row],[Age]]),AVERAGE(Table1[Age]),Table1[[#This Row],[Age]])</f>
        <v>18</v>
      </c>
      <c r="S598" t="str">
        <f>PROPER(Table1[[#This Row],[Country]])</f>
        <v>United States</v>
      </c>
      <c r="T598" t="str">
        <f>TRIM(Table1[[#This Row],[Profession]])</f>
        <v>Business Analytics Student</v>
      </c>
      <c r="U598" s="5">
        <f>IF(ISBLANK(H598),AVERAGEIF(Table1[Profession imputed],T598,Table1[Monthly_Income]),H598)</f>
        <v>825</v>
      </c>
      <c r="V598" s="6" t="str">
        <f>PROPER(TRIM(Table1[AI_Tool]))</f>
        <v>Meta Ai</v>
      </c>
      <c r="W598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599" spans="1:23" x14ac:dyDescent="0.25">
      <c r="A599" t="s">
        <v>409</v>
      </c>
      <c r="B599">
        <v>38</v>
      </c>
      <c r="C599" t="s">
        <v>22</v>
      </c>
      <c r="D599" t="s">
        <v>89</v>
      </c>
      <c r="E599" t="s">
        <v>24</v>
      </c>
      <c r="F599" t="s">
        <v>55</v>
      </c>
      <c r="G599" t="s">
        <v>404</v>
      </c>
      <c r="H599">
        <v>837</v>
      </c>
      <c r="I599" t="s">
        <v>69</v>
      </c>
      <c r="J599" s="6" t="s">
        <v>27</v>
      </c>
      <c r="K599" s="15">
        <v>1.3</v>
      </c>
      <c r="L599" s="5">
        <v>25</v>
      </c>
      <c r="M599" s="15">
        <v>2.4</v>
      </c>
      <c r="N599">
        <v>5</v>
      </c>
      <c r="O599">
        <v>5</v>
      </c>
      <c r="P599">
        <v>4.9000000000000004</v>
      </c>
      <c r="Q599">
        <v>9.6999999999999993</v>
      </c>
      <c r="R599" s="2">
        <f>IF(ISBLANK(Table1[[#This Row],[Age]]),AVERAGE(Table1[Age]),Table1[[#This Row],[Age]])</f>
        <v>38</v>
      </c>
      <c r="S599" t="str">
        <f>PROPER(Table1[[#This Row],[Country]])</f>
        <v>Nigeria</v>
      </c>
      <c r="T599" t="str">
        <f>TRIM(Table1[[#This Row],[Profession]])</f>
        <v>Customer Experience Manager</v>
      </c>
      <c r="U599" s="5">
        <f>IF(ISBLANK(H599),AVERAGEIF(Table1[[#This Row],[Profession imputed]],T599,Table1[Monthly_Income]),H599)</f>
        <v>837</v>
      </c>
      <c r="V599" s="6" t="str">
        <f>PROPER(TRIM(Table1[AI_Tool]))</f>
        <v>Perplexity Ai</v>
      </c>
      <c r="W599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00" spans="1:23" x14ac:dyDescent="0.25">
      <c r="A600" t="s">
        <v>405</v>
      </c>
      <c r="B600">
        <v>40</v>
      </c>
      <c r="C600" t="s">
        <v>22</v>
      </c>
      <c r="D600" t="s">
        <v>89</v>
      </c>
      <c r="E600" t="s">
        <v>24</v>
      </c>
      <c r="F600" t="s">
        <v>55</v>
      </c>
      <c r="G600" t="s">
        <v>404</v>
      </c>
      <c r="H600">
        <v>841</v>
      </c>
      <c r="I600" t="s">
        <v>69</v>
      </c>
      <c r="J600" s="6" t="s">
        <v>27</v>
      </c>
      <c r="K600" s="15">
        <v>1.3</v>
      </c>
      <c r="L600" s="5">
        <v>25</v>
      </c>
      <c r="M600" s="15">
        <v>2.4</v>
      </c>
      <c r="N600">
        <v>5</v>
      </c>
      <c r="O600">
        <v>5</v>
      </c>
      <c r="P600">
        <v>4.9000000000000004</v>
      </c>
      <c r="Q600">
        <v>9.6999999999999993</v>
      </c>
      <c r="R600" s="2">
        <f>IF(ISBLANK(Table1[[#This Row],[Age]]),AVERAGE(Table1[Age]),Table1[[#This Row],[Age]])</f>
        <v>40</v>
      </c>
      <c r="S600" t="str">
        <f>PROPER(Table1[[#This Row],[Country]])</f>
        <v>Nigeria</v>
      </c>
      <c r="T600" t="str">
        <f>TRIM(Table1[[#This Row],[Profession]])</f>
        <v>Customer Experience Manager</v>
      </c>
      <c r="U600" s="5">
        <f>IF(ISBLANK(H600),AVERAGEIF(Table1[[#This Row],[Profession imputed]],T600,Table1[Monthly_Income]),H600)</f>
        <v>841</v>
      </c>
      <c r="V600" s="6" t="str">
        <f>PROPER(TRIM(Table1[AI_Tool]))</f>
        <v>Perplexity Ai</v>
      </c>
      <c r="W600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01" spans="1:23" x14ac:dyDescent="0.25">
      <c r="A601" t="s">
        <v>816</v>
      </c>
      <c r="B601">
        <v>32</v>
      </c>
      <c r="C601" t="s">
        <v>22</v>
      </c>
      <c r="D601" t="s">
        <v>35</v>
      </c>
      <c r="E601" t="s">
        <v>24</v>
      </c>
      <c r="F601" t="s">
        <v>45</v>
      </c>
      <c r="G601" t="s">
        <v>814</v>
      </c>
      <c r="H601">
        <v>843</v>
      </c>
      <c r="I601" t="s">
        <v>271</v>
      </c>
      <c r="J601" s="6" t="s">
        <v>33</v>
      </c>
      <c r="K601" s="15">
        <v>1.9</v>
      </c>
      <c r="L601" s="5">
        <v>0</v>
      </c>
      <c r="M601" s="15">
        <v>5.0999999999999996</v>
      </c>
      <c r="N601">
        <v>4</v>
      </c>
      <c r="O601">
        <v>7</v>
      </c>
      <c r="P601">
        <v>4.9000000000000004</v>
      </c>
      <c r="Q601">
        <v>8.3000000000000007</v>
      </c>
      <c r="R601" s="2">
        <f>IF(ISBLANK(Table1[[#This Row],[Age]]),AVERAGE(Table1[Age]),Table1[[#This Row],[Age]])</f>
        <v>32</v>
      </c>
      <c r="S601" t="str">
        <f>PROPER(Table1[[#This Row],[Country]])</f>
        <v>Philippines</v>
      </c>
      <c r="T601" t="str">
        <f>TRIM(Table1[[#This Row],[Profession]])</f>
        <v>Junior Web Developer</v>
      </c>
      <c r="U601" s="5">
        <f>IF(ISBLANK(H601),AVERAGEIF(Table1[[#This Row],[Profession imputed]],T601,Table1[Monthly_Income]),H601)</f>
        <v>843</v>
      </c>
      <c r="V601" s="6" t="str">
        <f>PROPER(TRIM(Table1[AI_Tool]))</f>
        <v>Chat Gpt</v>
      </c>
      <c r="W601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02" spans="1:23" x14ac:dyDescent="0.25">
      <c r="A602" t="s">
        <v>378</v>
      </c>
      <c r="B602">
        <v>22</v>
      </c>
      <c r="C602" t="s">
        <v>22</v>
      </c>
      <c r="D602" t="s">
        <v>57</v>
      </c>
      <c r="E602" t="s">
        <v>24</v>
      </c>
      <c r="F602" t="s">
        <v>25</v>
      </c>
      <c r="G602" t="s">
        <v>367</v>
      </c>
      <c r="H602">
        <v>853</v>
      </c>
      <c r="I602" t="s">
        <v>37</v>
      </c>
      <c r="J602" s="6" t="s">
        <v>38</v>
      </c>
      <c r="K602" s="15">
        <v>3.3</v>
      </c>
      <c r="L602" s="5">
        <v>0</v>
      </c>
      <c r="M602" s="15">
        <v>6.6</v>
      </c>
      <c r="N602">
        <v>4</v>
      </c>
      <c r="O602">
        <v>6</v>
      </c>
      <c r="P602">
        <v>7.7</v>
      </c>
      <c r="Q602">
        <v>9.6</v>
      </c>
      <c r="R602" s="2">
        <f>IF(ISBLANK(Table1[[#This Row],[Age]]),AVERAGE(Table1[Age]),Table1[[#This Row],[Age]])</f>
        <v>22</v>
      </c>
      <c r="S602" t="str">
        <f>PROPER(Table1[[#This Row],[Country]])</f>
        <v>Pakistan</v>
      </c>
      <c r="T602" t="str">
        <f>TRIM(Table1[[#This Row],[Profession]])</f>
        <v>Content Writer</v>
      </c>
      <c r="U602" s="5">
        <f>IF(ISBLANK(H602),AVERAGEIF(Table1[[#This Row],[Profession imputed]],T602,Table1[Monthly_Income]),H602)</f>
        <v>853</v>
      </c>
      <c r="V602" s="6" t="str">
        <f>PROPER(TRIM(Table1[AI_Tool]))</f>
        <v>Grammarly</v>
      </c>
      <c r="W602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03" spans="1:23" x14ac:dyDescent="0.25">
      <c r="A603" t="s">
        <v>387</v>
      </c>
      <c r="B603">
        <v>39</v>
      </c>
      <c r="C603" t="s">
        <v>22</v>
      </c>
      <c r="D603" t="s">
        <v>89</v>
      </c>
      <c r="E603" t="s">
        <v>24</v>
      </c>
      <c r="F603" t="s">
        <v>371</v>
      </c>
      <c r="G603" t="s">
        <v>367</v>
      </c>
      <c r="H603">
        <v>855</v>
      </c>
      <c r="I603" t="s">
        <v>271</v>
      </c>
      <c r="J603" s="6" t="s">
        <v>38</v>
      </c>
      <c r="K603" s="15">
        <v>3.3</v>
      </c>
      <c r="L603" s="5">
        <v>0</v>
      </c>
      <c r="M603" s="15">
        <v>7.8</v>
      </c>
      <c r="N603">
        <v>4</v>
      </c>
      <c r="O603">
        <v>7</v>
      </c>
      <c r="P603">
        <v>6.5</v>
      </c>
      <c r="Q603">
        <v>8.9</v>
      </c>
      <c r="R603" s="2">
        <f>IF(ISBLANK(Table1[[#This Row],[Age]]),AVERAGE(Table1[Age]),Table1[[#This Row],[Age]])</f>
        <v>39</v>
      </c>
      <c r="S603" t="str">
        <f>PROPER(Table1[[#This Row],[Country]])</f>
        <v>Nigeria</v>
      </c>
      <c r="T603" t="str">
        <f>TRIM(Table1[[#This Row],[Profession]])</f>
        <v>Content Writer</v>
      </c>
      <c r="U603" s="5">
        <f>IF(ISBLANK(H603),AVERAGEIF(Table1[[#This Row],[Profession imputed]],T603,Table1[Monthly_Income]),H603)</f>
        <v>855</v>
      </c>
      <c r="V603" s="6" t="str">
        <f>PROPER(TRIM(Table1[AI_Tool]))</f>
        <v>Chat Gpt</v>
      </c>
      <c r="W603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604" spans="1:23" x14ac:dyDescent="0.25">
      <c r="A604" t="s">
        <v>905</v>
      </c>
      <c r="B604">
        <v>36</v>
      </c>
      <c r="C604" t="s">
        <v>22</v>
      </c>
      <c r="D604" t="s">
        <v>57</v>
      </c>
      <c r="E604" t="s">
        <v>24</v>
      </c>
      <c r="F604" t="s">
        <v>55</v>
      </c>
      <c r="G604" t="s">
        <v>906</v>
      </c>
      <c r="H604">
        <v>856</v>
      </c>
      <c r="I604" t="s">
        <v>271</v>
      </c>
      <c r="J604" s="6" t="s">
        <v>130</v>
      </c>
      <c r="K604" s="15">
        <v>2.7</v>
      </c>
      <c r="L604" s="5">
        <v>0</v>
      </c>
      <c r="M604" s="15">
        <v>0</v>
      </c>
      <c r="N604">
        <v>4</v>
      </c>
      <c r="O604">
        <v>6</v>
      </c>
      <c r="P604">
        <v>5.7</v>
      </c>
      <c r="Q604">
        <v>8.6999999999999993</v>
      </c>
      <c r="R604" s="2">
        <f>IF(ISBLANK(Table1[[#This Row],[Age]]),AVERAGE(Table1[Age]),Table1[[#This Row],[Age]])</f>
        <v>36</v>
      </c>
      <c r="S604" t="str">
        <f>PROPER(Table1[[#This Row],[Country]])</f>
        <v>Pakistan</v>
      </c>
      <c r="T604" t="str">
        <f>TRIM(Table1[[#This Row],[Profession]])</f>
        <v>Research Analyst</v>
      </c>
      <c r="U604" s="5">
        <f>IF(ISBLANK(H604),AVERAGEIF(Table1[[#This Row],[Profession imputed]],T604,Table1[Monthly_Income]),H604)</f>
        <v>856</v>
      </c>
      <c r="V604" s="6" t="str">
        <f>PROPER(TRIM(Table1[AI_Tool]))</f>
        <v>Chat Gpt</v>
      </c>
      <c r="W604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605" spans="1:23" x14ac:dyDescent="0.25">
      <c r="A605" t="s">
        <v>374</v>
      </c>
      <c r="B605">
        <v>25</v>
      </c>
      <c r="C605" t="s">
        <v>22</v>
      </c>
      <c r="D605" t="s">
        <v>57</v>
      </c>
      <c r="E605" t="s">
        <v>24</v>
      </c>
      <c r="F605" t="s">
        <v>25</v>
      </c>
      <c r="G605" t="s">
        <v>367</v>
      </c>
      <c r="H605">
        <v>863</v>
      </c>
      <c r="I605" t="s">
        <v>37</v>
      </c>
      <c r="J605" s="6" t="s">
        <v>38</v>
      </c>
      <c r="K605" s="15">
        <v>1.8</v>
      </c>
      <c r="L605" s="5">
        <v>0</v>
      </c>
      <c r="M605" s="15">
        <v>5.0999999999999996</v>
      </c>
      <c r="N605">
        <v>4</v>
      </c>
      <c r="O605">
        <v>6</v>
      </c>
      <c r="P605">
        <v>2.7</v>
      </c>
      <c r="Q605">
        <v>10.3</v>
      </c>
      <c r="R605" s="2">
        <f>IF(ISBLANK(Table1[[#This Row],[Age]]),AVERAGE(Table1[Age]),Table1[[#This Row],[Age]])</f>
        <v>25</v>
      </c>
      <c r="S605" t="str">
        <f>PROPER(Table1[[#This Row],[Country]])</f>
        <v>Pakistan</v>
      </c>
      <c r="T605" t="str">
        <f>TRIM(Table1[[#This Row],[Profession]])</f>
        <v>Content Writer</v>
      </c>
      <c r="U605" s="5">
        <f>IF(ISBLANK(H605),AVERAGEIF(Table1[[#This Row],[Profession imputed]],T605,Table1[Monthly_Income]),H605)</f>
        <v>863</v>
      </c>
      <c r="V605" s="6" t="str">
        <f>PROPER(TRIM(Table1[AI_Tool]))</f>
        <v>Grammarly</v>
      </c>
      <c r="W605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606" spans="1:23" x14ac:dyDescent="0.25">
      <c r="A606" t="s">
        <v>413</v>
      </c>
      <c r="B606">
        <v>41</v>
      </c>
      <c r="C606" t="s">
        <v>22</v>
      </c>
      <c r="D606" t="s">
        <v>57</v>
      </c>
      <c r="E606" t="s">
        <v>24</v>
      </c>
      <c r="F606" t="s">
        <v>25</v>
      </c>
      <c r="G606" t="s">
        <v>412</v>
      </c>
      <c r="H606">
        <v>874</v>
      </c>
      <c r="I606" t="s">
        <v>271</v>
      </c>
      <c r="J606" s="6" t="s">
        <v>27</v>
      </c>
      <c r="K606" s="15">
        <v>6</v>
      </c>
      <c r="L606" s="5">
        <v>0</v>
      </c>
      <c r="M606" s="15">
        <v>10</v>
      </c>
      <c r="N606">
        <v>2</v>
      </c>
      <c r="O606">
        <v>8</v>
      </c>
      <c r="Q606">
        <v>6.6</v>
      </c>
      <c r="R606" s="2">
        <f>IF(ISBLANK(Table1[[#This Row],[Age]]),AVERAGE(Table1[Age]),Table1[[#This Row],[Age]])</f>
        <v>41</v>
      </c>
      <c r="S606" t="str">
        <f>PROPER(Table1[[#This Row],[Country]])</f>
        <v>Pakistan</v>
      </c>
      <c r="T606" t="str">
        <f>TRIM(Table1[[#This Row],[Profession]])</f>
        <v>Customer Service Executive</v>
      </c>
      <c r="U606" s="5">
        <f>IF(ISBLANK(H606),AVERAGEIF(Table1[[#This Row],[Profession imputed]],T606,Table1[Monthly_Income]),H606)</f>
        <v>874</v>
      </c>
      <c r="V606" s="6" t="str">
        <f>PROPER(TRIM(Table1[AI_Tool]))</f>
        <v>Chat Gpt</v>
      </c>
      <c r="W606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607" spans="1:23" x14ac:dyDescent="0.25">
      <c r="A607" t="s">
        <v>813</v>
      </c>
      <c r="B607">
        <v>34</v>
      </c>
      <c r="C607" t="s">
        <v>22</v>
      </c>
      <c r="D607" t="s">
        <v>35</v>
      </c>
      <c r="E607" t="s">
        <v>24</v>
      </c>
      <c r="F607" t="s">
        <v>45</v>
      </c>
      <c r="G607" t="s">
        <v>814</v>
      </c>
      <c r="H607" s="1">
        <v>874</v>
      </c>
      <c r="I607" t="s">
        <v>271</v>
      </c>
      <c r="J607" s="6" t="s">
        <v>33</v>
      </c>
      <c r="K607" s="15">
        <v>1.9</v>
      </c>
      <c r="L607" s="5">
        <v>0</v>
      </c>
      <c r="M607" s="15">
        <v>5.0999999999999996</v>
      </c>
      <c r="N607">
        <v>4</v>
      </c>
      <c r="O607">
        <v>7</v>
      </c>
      <c r="P607">
        <v>4.9000000000000004</v>
      </c>
      <c r="Q607">
        <v>8.3000000000000007</v>
      </c>
      <c r="R607" s="2">
        <f>IF(ISBLANK(Table1[[#This Row],[Age]]),AVERAGE(Table1[Age]),Table1[[#This Row],[Age]])</f>
        <v>34</v>
      </c>
      <c r="S607" t="str">
        <f>PROPER(Table1[[#This Row],[Country]])</f>
        <v>Philippines</v>
      </c>
      <c r="T607" t="str">
        <f>TRIM(Table1[[#This Row],[Profession]])</f>
        <v>Junior Web Developer</v>
      </c>
      <c r="U607" s="5">
        <f>IF(ISBLANK(H607),AVERAGEIF(Table1[[#This Row],[Profession imputed]],T607,Table1[Monthly_Income]),H607)</f>
        <v>874</v>
      </c>
      <c r="V607" s="6" t="str">
        <f>PROPER(TRIM(Table1[AI_Tool]))</f>
        <v>Chat Gpt</v>
      </c>
      <c r="W607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08" spans="1:23" x14ac:dyDescent="0.25">
      <c r="A608" t="s">
        <v>756</v>
      </c>
      <c r="B608">
        <v>17</v>
      </c>
      <c r="C608" t="s">
        <v>29</v>
      </c>
      <c r="D608" t="s">
        <v>44</v>
      </c>
      <c r="E608" t="s">
        <v>111</v>
      </c>
      <c r="F608" t="s">
        <v>50</v>
      </c>
      <c r="G608" t="s">
        <v>757</v>
      </c>
      <c r="H608">
        <v>884</v>
      </c>
      <c r="I608" t="s">
        <v>280</v>
      </c>
      <c r="J608" s="6" t="s">
        <v>130</v>
      </c>
      <c r="K608" s="15">
        <v>7</v>
      </c>
      <c r="L608" s="5">
        <v>20</v>
      </c>
      <c r="M608" s="15">
        <v>9.6999999999999993</v>
      </c>
      <c r="N608">
        <v>4</v>
      </c>
      <c r="O608">
        <v>10</v>
      </c>
      <c r="P608">
        <v>12.8</v>
      </c>
      <c r="Q608">
        <v>5.8</v>
      </c>
      <c r="R608" s="2">
        <f>IF(ISBLANK(Table1[[#This Row],[Age]]),AVERAGE(Table1[Age]),Table1[[#This Row],[Age]])</f>
        <v>17</v>
      </c>
      <c r="S608" t="str">
        <f>PROPER(Table1[[#This Row],[Country]])</f>
        <v>United States</v>
      </c>
      <c r="T608" t="str">
        <f>TRIM(Table1[[#This Row],[Profession]])</f>
        <v>Environmental Science Student</v>
      </c>
      <c r="U608" s="5">
        <f>IF(ISBLANK(H608),AVERAGEIF(Table1[[#This Row],[Profession imputed]],T608,Table1[Monthly_Income]),H608)</f>
        <v>884</v>
      </c>
      <c r="V608" s="6" t="str">
        <f>PROPER(TRIM(Table1[AI_Tool]))</f>
        <v>Unknown</v>
      </c>
      <c r="W608" s="8">
        <f>IF(ISBLANK(Table1[[#This Row],[Time_Saved_Hours_Per_Week]]),AVERAGEIF(Table1[Satisfaction_Score],Table1[[#This Row],[Satisfaction_Score]],Table1[Time_Saved_Hours_Per_Week]),Table1[[#This Row],[Time_Saved_Hours_Per_Week]])</f>
        <v>12.8</v>
      </c>
    </row>
    <row r="609" spans="1:23" x14ac:dyDescent="0.25">
      <c r="A609" t="s">
        <v>995</v>
      </c>
      <c r="B609">
        <v>45</v>
      </c>
      <c r="C609" t="s">
        <v>29</v>
      </c>
      <c r="D609" t="s">
        <v>57</v>
      </c>
      <c r="E609" t="s">
        <v>24</v>
      </c>
      <c r="F609" t="s">
        <v>55</v>
      </c>
      <c r="G609" t="s">
        <v>996</v>
      </c>
      <c r="H609">
        <v>887</v>
      </c>
      <c r="I609" t="s">
        <v>280</v>
      </c>
      <c r="J609" s="6" t="s">
        <v>33</v>
      </c>
      <c r="K609" s="15">
        <v>1.5</v>
      </c>
      <c r="L609" s="5">
        <v>0</v>
      </c>
      <c r="M609" s="15">
        <v>5.3</v>
      </c>
      <c r="N609">
        <v>3</v>
      </c>
      <c r="O609">
        <v>5</v>
      </c>
      <c r="P609">
        <v>5.3</v>
      </c>
      <c r="Q609">
        <v>6.4</v>
      </c>
      <c r="R609" s="2">
        <f>IF(ISBLANK(Table1[[#This Row],[Age]]),AVERAGE(Table1[Age]),Table1[[#This Row],[Age]])</f>
        <v>45</v>
      </c>
      <c r="S609" t="str">
        <f>PROPER(Table1[[#This Row],[Country]])</f>
        <v>Pakistan</v>
      </c>
      <c r="T609" t="str">
        <f>TRIM(Table1[[#This Row],[Profession]])</f>
        <v>Senior Software Engineer</v>
      </c>
      <c r="U609" s="5">
        <f>IF(ISBLANK(H609),AVERAGEIF(Table1[[#This Row],[Profession imputed]],T609,Table1[Monthly_Income]),H609)</f>
        <v>887</v>
      </c>
      <c r="V609" s="6" t="str">
        <f>PROPER(TRIM(Table1[AI_Tool]))</f>
        <v>Unknown</v>
      </c>
      <c r="W609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610" spans="1:23" x14ac:dyDescent="0.25">
      <c r="A610" t="s">
        <v>370</v>
      </c>
      <c r="B610">
        <v>37</v>
      </c>
      <c r="C610" t="s">
        <v>22</v>
      </c>
      <c r="D610" t="s">
        <v>89</v>
      </c>
      <c r="E610" t="s">
        <v>24</v>
      </c>
      <c r="F610" t="s">
        <v>371</v>
      </c>
      <c r="G610" t="s">
        <v>367</v>
      </c>
      <c r="H610">
        <v>889</v>
      </c>
      <c r="I610" t="s">
        <v>271</v>
      </c>
      <c r="J610" s="6" t="s">
        <v>38</v>
      </c>
      <c r="K610" s="15">
        <v>3.3</v>
      </c>
      <c r="L610" s="5">
        <v>0</v>
      </c>
      <c r="M610" s="15">
        <v>7.8</v>
      </c>
      <c r="N610">
        <v>4</v>
      </c>
      <c r="O610">
        <v>7</v>
      </c>
      <c r="P610">
        <v>6.5</v>
      </c>
      <c r="Q610">
        <v>8.9</v>
      </c>
      <c r="R610" s="2">
        <f>IF(ISBLANK(Table1[[#This Row],[Age]]),AVERAGE(Table1[Age]),Table1[[#This Row],[Age]])</f>
        <v>37</v>
      </c>
      <c r="S610" t="str">
        <f>PROPER(Table1[[#This Row],[Country]])</f>
        <v>Nigeria</v>
      </c>
      <c r="T610" t="str">
        <f>TRIM(Table1[[#This Row],[Profession]])</f>
        <v>Content Writer</v>
      </c>
      <c r="U610" s="5">
        <f>IF(ISBLANK(H610),AVERAGEIF(Table1[[#This Row],[Profession imputed]],T610,Table1[Monthly_Income]),H610)</f>
        <v>889</v>
      </c>
      <c r="V610" s="6" t="str">
        <f>PROPER(TRIM(Table1[AI_Tool]))</f>
        <v>Chat Gpt</v>
      </c>
      <c r="W610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611" spans="1:23" x14ac:dyDescent="0.25">
      <c r="A611" t="s">
        <v>482</v>
      </c>
      <c r="B611">
        <v>39</v>
      </c>
      <c r="C611" t="s">
        <v>29</v>
      </c>
      <c r="D611" t="s">
        <v>483</v>
      </c>
      <c r="E611" t="s">
        <v>24</v>
      </c>
      <c r="F611" t="s">
        <v>45</v>
      </c>
      <c r="G611" s="3" t="s">
        <v>476</v>
      </c>
      <c r="H611">
        <v>894</v>
      </c>
      <c r="I611" t="s">
        <v>271</v>
      </c>
      <c r="J611" s="6" t="s">
        <v>106</v>
      </c>
      <c r="K611" s="15">
        <v>2.8</v>
      </c>
      <c r="L611" s="5">
        <v>20</v>
      </c>
      <c r="M611" s="15">
        <v>7.9</v>
      </c>
      <c r="N611">
        <v>4</v>
      </c>
      <c r="O611">
        <v>9</v>
      </c>
      <c r="P611">
        <v>3.9</v>
      </c>
      <c r="Q611">
        <v>9.1999999999999993</v>
      </c>
      <c r="R611" s="2">
        <f>IF(ISBLANK(Table1[[#This Row],[Age]]),AVERAGE(Table1[Age]),Table1[[#This Row],[Age]])</f>
        <v>39</v>
      </c>
      <c r="S611" t="str">
        <f>PROPER(Table1[[#This Row],[Country]])</f>
        <v>Brazil</v>
      </c>
      <c r="T611" t="str">
        <f>TRIM(Table1[[#This Row],[Profession]])</f>
        <v>Data Analyst</v>
      </c>
      <c r="U611" s="5">
        <f>IF(ISBLANK(H611),AVERAGEIF(Table1[Profession imputed],T611,Table1[Monthly_Income]),H611)</f>
        <v>894</v>
      </c>
      <c r="V611" s="6" t="str">
        <f>PROPER(TRIM(Table1[AI_Tool]))</f>
        <v>Chat Gpt</v>
      </c>
      <c r="W611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612" spans="1:23" x14ac:dyDescent="0.25">
      <c r="A612" t="s">
        <v>479</v>
      </c>
      <c r="B612">
        <v>29</v>
      </c>
      <c r="C612" t="s">
        <v>29</v>
      </c>
      <c r="D612" t="s">
        <v>49</v>
      </c>
      <c r="E612" t="s">
        <v>24</v>
      </c>
      <c r="F612" t="s">
        <v>45</v>
      </c>
      <c r="G612" t="s">
        <v>476</v>
      </c>
      <c r="H612">
        <v>898</v>
      </c>
      <c r="I612" t="s">
        <v>271</v>
      </c>
      <c r="J612" s="6" t="s">
        <v>106</v>
      </c>
      <c r="K612" s="15">
        <v>2.2999999999999998</v>
      </c>
      <c r="L612" s="5">
        <v>0</v>
      </c>
      <c r="M612" s="15">
        <v>4.5</v>
      </c>
      <c r="N612">
        <v>4</v>
      </c>
      <c r="O612">
        <v>5</v>
      </c>
      <c r="P612">
        <v>4.9000000000000004</v>
      </c>
      <c r="Q612">
        <v>6.4</v>
      </c>
      <c r="R612" s="2">
        <f>IF(ISBLANK(Table1[[#This Row],[Age]]),AVERAGE(Table1[Age]),Table1[[#This Row],[Age]])</f>
        <v>29</v>
      </c>
      <c r="S612" t="str">
        <f>PROPER(Table1[[#This Row],[Country]])</f>
        <v>Kenya</v>
      </c>
      <c r="T612" t="str">
        <f>TRIM(Table1[[#This Row],[Profession]])</f>
        <v>Data Analyst</v>
      </c>
      <c r="U612" s="5">
        <f>IF(ISBLANK(H612),AVERAGEIF(Table1[Profession imputed],T612,Table1[Monthly_Income]),H612)</f>
        <v>898</v>
      </c>
      <c r="V612" s="6" t="str">
        <f>PROPER(TRIM(Table1[AI_Tool]))</f>
        <v>Chat Gpt</v>
      </c>
      <c r="W612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13" spans="1:23" x14ac:dyDescent="0.25">
      <c r="A613" t="s">
        <v>438</v>
      </c>
      <c r="B613">
        <v>52</v>
      </c>
      <c r="C613" t="s">
        <v>29</v>
      </c>
      <c r="D613" t="s">
        <v>52</v>
      </c>
      <c r="E613" t="s">
        <v>24</v>
      </c>
      <c r="F613" t="s">
        <v>25</v>
      </c>
      <c r="G613" t="s">
        <v>434</v>
      </c>
      <c r="H613">
        <v>903</v>
      </c>
      <c r="I613" t="s">
        <v>58</v>
      </c>
      <c r="J613" s="6" t="s">
        <v>27</v>
      </c>
      <c r="K613" s="15">
        <v>5</v>
      </c>
      <c r="L613" s="5">
        <v>20</v>
      </c>
      <c r="M613" s="15">
        <v>7</v>
      </c>
      <c r="N613">
        <v>3</v>
      </c>
      <c r="O613">
        <v>5</v>
      </c>
      <c r="Q613">
        <v>9.9</v>
      </c>
      <c r="R613" s="2">
        <f>IF(ISBLANK(Table1[[#This Row],[Age]]),AVERAGE(Table1[Age]),Table1[[#This Row],[Age]])</f>
        <v>52</v>
      </c>
      <c r="S613" t="str">
        <f>PROPER(Table1[[#This Row],[Country]])</f>
        <v>India</v>
      </c>
      <c r="T613" t="str">
        <f>TRIM(Table1[[#This Row],[Profession]])</f>
        <v>Customer Support Executive</v>
      </c>
      <c r="U613" s="5">
        <f>IF(ISBLANK(H613),AVERAGEIF(Table1[Profession imputed],T613,Table1[Monthly_Income]),H613)</f>
        <v>903</v>
      </c>
      <c r="V613" s="6" t="str">
        <f>PROPER(TRIM(Table1[AI_Tool]))</f>
        <v>Claude</v>
      </c>
      <c r="W613" s="8">
        <f>IF(ISBLANK(Table1[[#This Row],[Time_Saved_Hours_Per_Week]]),AVERAGEIF(Table1[Satisfaction_Score],Table1[[#This Row],[Satisfaction_Score]],Table1[Time_Saved_Hours_Per_Week]),Table1[[#This Row],[Time_Saved_Hours_Per_Week]])</f>
        <v>4.1465346534653476</v>
      </c>
    </row>
    <row r="614" spans="1:23" x14ac:dyDescent="0.25">
      <c r="A614" t="s">
        <v>497</v>
      </c>
      <c r="B614">
        <v>28</v>
      </c>
      <c r="C614" t="s">
        <v>29</v>
      </c>
      <c r="D614" t="s">
        <v>49</v>
      </c>
      <c r="E614" t="s">
        <v>24</v>
      </c>
      <c r="F614" t="s">
        <v>45</v>
      </c>
      <c r="G614" t="s">
        <v>476</v>
      </c>
      <c r="H614">
        <v>910</v>
      </c>
      <c r="I614" t="s">
        <v>271</v>
      </c>
      <c r="J614" s="6" t="s">
        <v>106</v>
      </c>
      <c r="K614" s="15">
        <v>2.2999999999999998</v>
      </c>
      <c r="L614" s="5">
        <v>0</v>
      </c>
      <c r="M614" s="15">
        <v>4.5</v>
      </c>
      <c r="N614">
        <v>4</v>
      </c>
      <c r="O614">
        <v>5</v>
      </c>
      <c r="P614">
        <v>4.9000000000000004</v>
      </c>
      <c r="Q614">
        <v>6.4</v>
      </c>
      <c r="R614" s="2">
        <f>IF(ISBLANK(Table1[[#This Row],[Age]]),AVERAGE(Table1[Age]),Table1[[#This Row],[Age]])</f>
        <v>28</v>
      </c>
      <c r="S614" t="str">
        <f>PROPER(Table1[[#This Row],[Country]])</f>
        <v>Kenya</v>
      </c>
      <c r="T614" t="str">
        <f>TRIM(Table1[[#This Row],[Profession]])</f>
        <v>Data Analyst</v>
      </c>
      <c r="U614" s="5">
        <f>IF(ISBLANK(H614),AVERAGEIF(Table1[Profession imputed],T614,Table1[Monthly_Income]),H614)</f>
        <v>910</v>
      </c>
      <c r="V614" s="6" t="str">
        <f>PROPER(TRIM(Table1[AI_Tool]))</f>
        <v>Chat Gpt</v>
      </c>
      <c r="W614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15" spans="1:23" x14ac:dyDescent="0.25">
      <c r="A615" t="s">
        <v>411</v>
      </c>
      <c r="B615">
        <v>39</v>
      </c>
      <c r="C615" t="s">
        <v>22</v>
      </c>
      <c r="D615" t="s">
        <v>57</v>
      </c>
      <c r="E615" t="s">
        <v>24</v>
      </c>
      <c r="F615" t="s">
        <v>25</v>
      </c>
      <c r="G615" t="s">
        <v>412</v>
      </c>
      <c r="H615">
        <v>915</v>
      </c>
      <c r="I615" t="s">
        <v>271</v>
      </c>
      <c r="J615" s="6" t="s">
        <v>27</v>
      </c>
      <c r="K615" s="15">
        <v>6</v>
      </c>
      <c r="L615" s="5">
        <v>0</v>
      </c>
      <c r="M615" s="15">
        <v>10</v>
      </c>
      <c r="N615">
        <v>2</v>
      </c>
      <c r="O615">
        <v>8</v>
      </c>
      <c r="Q615">
        <v>6.6</v>
      </c>
      <c r="R615" s="2">
        <f>IF(ISBLANK(Table1[[#This Row],[Age]]),AVERAGE(Table1[Age]),Table1[[#This Row],[Age]])</f>
        <v>39</v>
      </c>
      <c r="S615" t="str">
        <f>PROPER(Table1[[#This Row],[Country]])</f>
        <v>Pakistan</v>
      </c>
      <c r="T615" t="str">
        <f>TRIM(Table1[[#This Row],[Profession]])</f>
        <v>Customer Service Executive</v>
      </c>
      <c r="U615" s="5">
        <f>IF(ISBLANK(H615),AVERAGEIF(Table1[[#This Row],[Profession imputed]],T615,Table1[Monthly_Income]),H615)</f>
        <v>915</v>
      </c>
      <c r="V615" s="6" t="str">
        <f>PROPER(TRIM(Table1[AI_Tool]))</f>
        <v>Chat Gpt</v>
      </c>
      <c r="W615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616" spans="1:23" x14ac:dyDescent="0.25">
      <c r="A616" t="s">
        <v>407</v>
      </c>
      <c r="B616">
        <v>40</v>
      </c>
      <c r="C616" t="s">
        <v>22</v>
      </c>
      <c r="D616" t="s">
        <v>89</v>
      </c>
      <c r="E616" t="s">
        <v>24</v>
      </c>
      <c r="F616" t="s">
        <v>55</v>
      </c>
      <c r="G616" t="s">
        <v>404</v>
      </c>
      <c r="H616">
        <v>935</v>
      </c>
      <c r="I616" t="s">
        <v>69</v>
      </c>
      <c r="J616" s="6" t="s">
        <v>27</v>
      </c>
      <c r="K616" s="15">
        <v>1.3</v>
      </c>
      <c r="L616" s="5">
        <v>25</v>
      </c>
      <c r="M616" s="15">
        <v>2.4</v>
      </c>
      <c r="N616">
        <v>5</v>
      </c>
      <c r="O616">
        <v>5</v>
      </c>
      <c r="P616">
        <v>4.9000000000000004</v>
      </c>
      <c r="Q616">
        <v>9.6999999999999993</v>
      </c>
      <c r="R616" s="2">
        <f>IF(ISBLANK(Table1[[#This Row],[Age]]),AVERAGE(Table1[Age]),Table1[[#This Row],[Age]])</f>
        <v>40</v>
      </c>
      <c r="S616" t="str">
        <f>PROPER(Table1[[#This Row],[Country]])</f>
        <v>Nigeria</v>
      </c>
      <c r="T616" t="str">
        <f>TRIM(Table1[[#This Row],[Profession]])</f>
        <v>Customer Experience Manager</v>
      </c>
      <c r="U616" s="5">
        <f>IF(ISBLANK(H616),AVERAGEIF(Table1[[#This Row],[Profession imputed]],T616,Table1[Monthly_Income]),H616)</f>
        <v>935</v>
      </c>
      <c r="V616" s="6" t="str">
        <f>PROPER(TRIM(Table1[AI_Tool]))</f>
        <v>Perplexity Ai</v>
      </c>
      <c r="W616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17" spans="1:23" x14ac:dyDescent="0.25">
      <c r="A617" t="s">
        <v>571</v>
      </c>
      <c r="B617">
        <v>40</v>
      </c>
      <c r="C617" t="s">
        <v>22</v>
      </c>
      <c r="D617" t="s">
        <v>30</v>
      </c>
      <c r="E617" t="s">
        <v>24</v>
      </c>
      <c r="F617" t="s">
        <v>50</v>
      </c>
      <c r="G617" t="s">
        <v>520</v>
      </c>
      <c r="H617">
        <v>941</v>
      </c>
      <c r="I617" t="s">
        <v>253</v>
      </c>
      <c r="J617" s="6" t="s">
        <v>33</v>
      </c>
      <c r="K617" s="15">
        <v>4.5999999999999996</v>
      </c>
      <c r="L617" s="5">
        <v>0</v>
      </c>
      <c r="M617" s="15">
        <v>7.4</v>
      </c>
      <c r="N617">
        <v>4</v>
      </c>
      <c r="O617">
        <v>7</v>
      </c>
      <c r="P617">
        <v>7.9</v>
      </c>
      <c r="Q617">
        <v>8.8000000000000007</v>
      </c>
      <c r="R617" s="2">
        <f>IF(ISBLANK(Table1[[#This Row],[Age]]),AVERAGE(Table1[Age]),Table1[[#This Row],[Age]])</f>
        <v>40</v>
      </c>
      <c r="S617" t="str">
        <f>PROPER(Table1[[#This Row],[Country]])</f>
        <v>Brazil</v>
      </c>
      <c r="T617" t="str">
        <f>TRIM(Table1[[#This Row],[Profession]])</f>
        <v>Data Science Student</v>
      </c>
      <c r="U617" s="5">
        <f>IF(ISBLANK(H617),AVERAGEIF(Table1[Profession imputed],T617,Table1[Monthly_Income]),H617)</f>
        <v>941</v>
      </c>
      <c r="V617" s="6" t="str">
        <f>PROPER(TRIM(Table1[AI_Tool]))</f>
        <v>Meta Ai</v>
      </c>
      <c r="W617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618" spans="1:23" x14ac:dyDescent="0.25">
      <c r="A618" t="s">
        <v>403</v>
      </c>
      <c r="B618">
        <v>40</v>
      </c>
      <c r="C618" t="s">
        <v>22</v>
      </c>
      <c r="D618" t="s">
        <v>89</v>
      </c>
      <c r="E618" t="s">
        <v>24</v>
      </c>
      <c r="F618" t="s">
        <v>55</v>
      </c>
      <c r="G618" t="s">
        <v>404</v>
      </c>
      <c r="H618">
        <v>942</v>
      </c>
      <c r="I618" t="s">
        <v>69</v>
      </c>
      <c r="J618" s="6" t="s">
        <v>27</v>
      </c>
      <c r="K618" s="15">
        <v>1.3</v>
      </c>
      <c r="L618" s="5">
        <v>25</v>
      </c>
      <c r="M618" s="15">
        <v>2.4</v>
      </c>
      <c r="N618">
        <v>5</v>
      </c>
      <c r="O618">
        <v>5</v>
      </c>
      <c r="P618">
        <v>4.9000000000000004</v>
      </c>
      <c r="Q618">
        <v>9.6999999999999993</v>
      </c>
      <c r="R618" s="2">
        <f>IF(ISBLANK(Table1[[#This Row],[Age]]),AVERAGE(Table1[Age]),Table1[[#This Row],[Age]])</f>
        <v>40</v>
      </c>
      <c r="S618" t="str">
        <f>PROPER(Table1[[#This Row],[Country]])</f>
        <v>Nigeria</v>
      </c>
      <c r="T618" t="str">
        <f>TRIM(Table1[[#This Row],[Profession]])</f>
        <v>Customer Experience Manager</v>
      </c>
      <c r="U618" s="5">
        <f>IF(ISBLANK(H618),AVERAGEIF(Table1[[#This Row],[Profession imputed]],T618,Table1[Monthly_Income]),H618)</f>
        <v>942</v>
      </c>
      <c r="V618" s="6" t="str">
        <f>PROPER(TRIM(Table1[AI_Tool]))</f>
        <v>Perplexity Ai</v>
      </c>
      <c r="W618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19" spans="1:23" x14ac:dyDescent="0.25">
      <c r="A619" t="s">
        <v>369</v>
      </c>
      <c r="B619">
        <v>23</v>
      </c>
      <c r="C619" t="s">
        <v>22</v>
      </c>
      <c r="D619" t="s">
        <v>57</v>
      </c>
      <c r="E619" t="s">
        <v>24</v>
      </c>
      <c r="F619" t="s">
        <v>25</v>
      </c>
      <c r="G619" t="s">
        <v>367</v>
      </c>
      <c r="H619">
        <v>965</v>
      </c>
      <c r="I619" t="s">
        <v>37</v>
      </c>
      <c r="J619" s="6" t="s">
        <v>38</v>
      </c>
      <c r="K619" s="15">
        <v>3.3</v>
      </c>
      <c r="L619" s="5">
        <v>0</v>
      </c>
      <c r="M619" s="15">
        <v>6.6</v>
      </c>
      <c r="N619">
        <v>4</v>
      </c>
      <c r="O619">
        <v>6</v>
      </c>
      <c r="P619">
        <v>7.7</v>
      </c>
      <c r="Q619">
        <v>9.6</v>
      </c>
      <c r="R619" s="2">
        <f>IF(ISBLANK(Table1[[#This Row],[Age]]),AVERAGE(Table1[Age]),Table1[[#This Row],[Age]])</f>
        <v>23</v>
      </c>
      <c r="S619" t="str">
        <f>PROPER(Table1[[#This Row],[Country]])</f>
        <v>Pakistan</v>
      </c>
      <c r="T619" t="str">
        <f>TRIM(Table1[[#This Row],[Profession]])</f>
        <v>Content Writer</v>
      </c>
      <c r="U619" s="5">
        <f>IF(ISBLANK(H619),AVERAGEIF(Table1[[#This Row],[Profession imputed]],T619,Table1[Monthly_Income]),H619)</f>
        <v>965</v>
      </c>
      <c r="V619" s="6" t="str">
        <f>PROPER(TRIM(Table1[AI_Tool]))</f>
        <v>Grammarly</v>
      </c>
      <c r="W619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20" spans="1:23" x14ac:dyDescent="0.25">
      <c r="A620" t="s">
        <v>406</v>
      </c>
      <c r="B620">
        <v>41</v>
      </c>
      <c r="C620" t="s">
        <v>22</v>
      </c>
      <c r="D620" t="s">
        <v>89</v>
      </c>
      <c r="E620" t="s">
        <v>24</v>
      </c>
      <c r="F620" t="s">
        <v>55</v>
      </c>
      <c r="G620" t="s">
        <v>404</v>
      </c>
      <c r="H620">
        <v>966</v>
      </c>
      <c r="I620" t="s">
        <v>69</v>
      </c>
      <c r="J620" s="6" t="s">
        <v>27</v>
      </c>
      <c r="K620" s="15">
        <v>1.3</v>
      </c>
      <c r="L620" s="5">
        <v>25</v>
      </c>
      <c r="M620" s="15">
        <v>2.4</v>
      </c>
      <c r="N620">
        <v>5</v>
      </c>
      <c r="O620">
        <v>5</v>
      </c>
      <c r="P620">
        <v>4.9000000000000004</v>
      </c>
      <c r="Q620">
        <v>9.6999999999999993</v>
      </c>
      <c r="R620" s="2">
        <f>IF(ISBLANK(Table1[[#This Row],[Age]]),AVERAGE(Table1[Age]),Table1[[#This Row],[Age]])</f>
        <v>41</v>
      </c>
      <c r="S620" t="str">
        <f>PROPER(Table1[[#This Row],[Country]])</f>
        <v>Nigeria</v>
      </c>
      <c r="T620" t="str">
        <f>TRIM(Table1[[#This Row],[Profession]])</f>
        <v>Customer Experience Manager</v>
      </c>
      <c r="U620" s="5">
        <f>IF(ISBLANK(H620),AVERAGEIF(Table1[[#This Row],[Profession imputed]],T620,Table1[Monthly_Income]),H620)</f>
        <v>966</v>
      </c>
      <c r="V620" s="6" t="str">
        <f>PROPER(TRIM(Table1[AI_Tool]))</f>
        <v>Perplexity Ai</v>
      </c>
      <c r="W620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21" spans="1:23" x14ac:dyDescent="0.25">
      <c r="A621" t="s">
        <v>372</v>
      </c>
      <c r="B621">
        <v>31</v>
      </c>
      <c r="C621" t="s">
        <v>22</v>
      </c>
      <c r="D621" t="s">
        <v>57</v>
      </c>
      <c r="E621" t="s">
        <v>24</v>
      </c>
      <c r="F621" t="s">
        <v>25</v>
      </c>
      <c r="G621" t="s">
        <v>367</v>
      </c>
      <c r="H621">
        <v>969</v>
      </c>
      <c r="I621" t="s">
        <v>271</v>
      </c>
      <c r="J621" s="6" t="s">
        <v>38</v>
      </c>
      <c r="K621" s="15">
        <v>4.9000000000000004</v>
      </c>
      <c r="L621" s="5">
        <v>0</v>
      </c>
      <c r="M621" s="15">
        <v>5.4</v>
      </c>
      <c r="N621">
        <v>3</v>
      </c>
      <c r="O621">
        <v>7</v>
      </c>
      <c r="P621">
        <v>6.5</v>
      </c>
      <c r="Q621">
        <v>9.3000000000000007</v>
      </c>
      <c r="R621" s="2">
        <f>IF(ISBLANK(Table1[[#This Row],[Age]]),AVERAGE(Table1[Age]),Table1[[#This Row],[Age]])</f>
        <v>31</v>
      </c>
      <c r="S621" t="str">
        <f>PROPER(Table1[[#This Row],[Country]])</f>
        <v>Pakistan</v>
      </c>
      <c r="T621" t="str">
        <f>TRIM(Table1[[#This Row],[Profession]])</f>
        <v>Content Writer</v>
      </c>
      <c r="U621" s="5">
        <f>IF(ISBLANK(H621),AVERAGEIF(Table1[[#This Row],[Profession imputed]],T621,Table1[Monthly_Income]),H621)</f>
        <v>969</v>
      </c>
      <c r="V621" s="6" t="str">
        <f>PROPER(TRIM(Table1[AI_Tool]))</f>
        <v>Chat Gpt</v>
      </c>
      <c r="W621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622" spans="1:23" x14ac:dyDescent="0.25">
      <c r="A622" t="s">
        <v>572</v>
      </c>
      <c r="B622">
        <v>43</v>
      </c>
      <c r="C622" t="s">
        <v>22</v>
      </c>
      <c r="D622" t="s">
        <v>30</v>
      </c>
      <c r="E622" t="s">
        <v>24</v>
      </c>
      <c r="F622" t="s">
        <v>50</v>
      </c>
      <c r="G622" t="s">
        <v>520</v>
      </c>
      <c r="H622">
        <v>975</v>
      </c>
      <c r="I622" t="s">
        <v>253</v>
      </c>
      <c r="J622" s="6" t="s">
        <v>33</v>
      </c>
      <c r="K622" s="15">
        <v>4.5999999999999996</v>
      </c>
      <c r="L622" s="5">
        <v>0</v>
      </c>
      <c r="M622" s="15">
        <v>7.4</v>
      </c>
      <c r="N622">
        <v>4</v>
      </c>
      <c r="O622">
        <v>7</v>
      </c>
      <c r="P622">
        <v>7.9</v>
      </c>
      <c r="Q622">
        <v>8.8000000000000007</v>
      </c>
      <c r="R622" s="2">
        <f>IF(ISBLANK(Table1[[#This Row],[Age]]),AVERAGE(Table1[Age]),Table1[[#This Row],[Age]])</f>
        <v>43</v>
      </c>
      <c r="S622" t="str">
        <f>PROPER(Table1[[#This Row],[Country]])</f>
        <v>Brazil</v>
      </c>
      <c r="T622" t="str">
        <f>TRIM(Table1[[#This Row],[Profession]])</f>
        <v>Data Science Student</v>
      </c>
      <c r="U622" s="5">
        <f>IF(ISBLANK(H622),AVERAGEIF(Table1[Profession imputed],T622,Table1[Monthly_Income]),H622)</f>
        <v>975</v>
      </c>
      <c r="V622" s="6" t="str">
        <f>PROPER(TRIM(Table1[AI_Tool]))</f>
        <v>Meta Ai</v>
      </c>
      <c r="W622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623" spans="1:23" x14ac:dyDescent="0.25">
      <c r="A623" t="s">
        <v>415</v>
      </c>
      <c r="B623">
        <v>40</v>
      </c>
      <c r="C623" t="s">
        <v>22</v>
      </c>
      <c r="D623" t="s">
        <v>57</v>
      </c>
      <c r="E623" t="s">
        <v>24</v>
      </c>
      <c r="F623" t="s">
        <v>25</v>
      </c>
      <c r="G623" t="s">
        <v>412</v>
      </c>
      <c r="H623">
        <v>976</v>
      </c>
      <c r="I623" t="s">
        <v>271</v>
      </c>
      <c r="J623" s="6" t="s">
        <v>27</v>
      </c>
      <c r="K623" s="15">
        <v>6</v>
      </c>
      <c r="L623" s="5">
        <v>0</v>
      </c>
      <c r="M623" s="15">
        <v>10</v>
      </c>
      <c r="N623">
        <v>2</v>
      </c>
      <c r="O623">
        <v>8</v>
      </c>
      <c r="Q623">
        <v>6.6</v>
      </c>
      <c r="R623" s="2">
        <f>IF(ISBLANK(Table1[[#This Row],[Age]]),AVERAGE(Table1[Age]),Table1[[#This Row],[Age]])</f>
        <v>40</v>
      </c>
      <c r="S623" t="str">
        <f>PROPER(Table1[[#This Row],[Country]])</f>
        <v>Pakistan</v>
      </c>
      <c r="T623" t="str">
        <f>TRIM(Table1[[#This Row],[Profession]])</f>
        <v>Customer Service Executive</v>
      </c>
      <c r="U623" s="5">
        <f>IF(ISBLANK(H623),AVERAGEIF(Table1[[#This Row],[Profession imputed]],T623,Table1[Monthly_Income]),H623)</f>
        <v>976</v>
      </c>
      <c r="V623" s="6" t="str">
        <f>PROPER(TRIM(Table1[AI_Tool]))</f>
        <v>Chat Gpt</v>
      </c>
      <c r="W623" s="8">
        <f>IF(ISBLANK(Table1[[#This Row],[Time_Saved_Hours_Per_Week]]),AVERAGEIF(Table1[Satisfaction_Score],Table1[[#This Row],[Satisfaction_Score]],Table1[Time_Saved_Hours_Per_Week]),Table1[[#This Row],[Time_Saved_Hours_Per_Week]])</f>
        <v>9.2619469026548717</v>
      </c>
    </row>
    <row r="624" spans="1:23" x14ac:dyDescent="0.25">
      <c r="A624" t="s">
        <v>985</v>
      </c>
      <c r="B624">
        <v>41</v>
      </c>
      <c r="C624" t="s">
        <v>22</v>
      </c>
      <c r="D624" t="s">
        <v>52</v>
      </c>
      <c r="E624" t="s">
        <v>24</v>
      </c>
      <c r="F624" t="s">
        <v>55</v>
      </c>
      <c r="G624" t="s">
        <v>979</v>
      </c>
      <c r="H624">
        <v>978</v>
      </c>
      <c r="I624" t="s">
        <v>139</v>
      </c>
      <c r="J624" s="6" t="s">
        <v>33</v>
      </c>
      <c r="K624" s="15">
        <v>4.4000000000000004</v>
      </c>
      <c r="L624" s="5">
        <v>0</v>
      </c>
      <c r="M624" s="15">
        <v>6.1</v>
      </c>
      <c r="N624">
        <v>4</v>
      </c>
      <c r="O624">
        <v>8</v>
      </c>
      <c r="P624">
        <v>7.7</v>
      </c>
      <c r="Q624">
        <v>6.4</v>
      </c>
      <c r="R624" s="2">
        <f>IF(ISBLANK(Table1[[#This Row],[Age]]),AVERAGE(Table1[Age]),Table1[[#This Row],[Age]])</f>
        <v>41</v>
      </c>
      <c r="S624" t="str">
        <f>PROPER(Table1[[#This Row],[Country]])</f>
        <v>India</v>
      </c>
      <c r="T624" t="str">
        <f>TRIM(Table1[[#This Row],[Profession]])</f>
        <v>Senior Software Developer</v>
      </c>
      <c r="U624" s="5">
        <f>IF(ISBLANK(H624),AVERAGEIF(Table1[[#This Row],[Profession imputed]],T624,Table1[Monthly_Income]),H624)</f>
        <v>978</v>
      </c>
      <c r="V624" s="6" t="str">
        <f>PROPER(TRIM(Table1[AI_Tool]))</f>
        <v>Microsoft Copilot</v>
      </c>
      <c r="W624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25" spans="1:23" x14ac:dyDescent="0.25">
      <c r="A625" t="s">
        <v>385</v>
      </c>
      <c r="B625">
        <v>27</v>
      </c>
      <c r="C625" t="s">
        <v>22</v>
      </c>
      <c r="D625" t="s">
        <v>57</v>
      </c>
      <c r="E625" t="s">
        <v>24</v>
      </c>
      <c r="F625" t="s">
        <v>25</v>
      </c>
      <c r="G625" t="s">
        <v>367</v>
      </c>
      <c r="H625">
        <v>979</v>
      </c>
      <c r="I625" t="s">
        <v>37</v>
      </c>
      <c r="J625" s="6" t="s">
        <v>38</v>
      </c>
      <c r="K625" s="15">
        <v>1.8</v>
      </c>
      <c r="L625" s="5">
        <v>0</v>
      </c>
      <c r="M625" s="15">
        <v>5.0999999999999996</v>
      </c>
      <c r="N625">
        <v>4</v>
      </c>
      <c r="O625">
        <v>6</v>
      </c>
      <c r="P625">
        <v>2.7</v>
      </c>
      <c r="Q625">
        <v>10.3</v>
      </c>
      <c r="R625" s="2">
        <f>IF(ISBLANK(Table1[[#This Row],[Age]]),AVERAGE(Table1[Age]),Table1[[#This Row],[Age]])</f>
        <v>27</v>
      </c>
      <c r="S625" t="str">
        <f>PROPER(Table1[[#This Row],[Country]])</f>
        <v>Pakistan</v>
      </c>
      <c r="T625" t="str">
        <f>TRIM(Table1[[#This Row],[Profession]])</f>
        <v>Content Writer</v>
      </c>
      <c r="U625" s="5">
        <f>IF(ISBLANK(H625),AVERAGEIF(Table1[[#This Row],[Profession imputed]],T625,Table1[Monthly_Income]),H625)</f>
        <v>979</v>
      </c>
      <c r="V625" s="6" t="str">
        <f>PROPER(TRIM(Table1[AI_Tool]))</f>
        <v>Grammarly</v>
      </c>
      <c r="W625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626" spans="1:23" x14ac:dyDescent="0.25">
      <c r="A626" t="s">
        <v>435</v>
      </c>
      <c r="B626">
        <v>54</v>
      </c>
      <c r="C626" t="s">
        <v>29</v>
      </c>
      <c r="D626" t="s">
        <v>52</v>
      </c>
      <c r="E626" t="s">
        <v>24</v>
      </c>
      <c r="F626" t="s">
        <v>25</v>
      </c>
      <c r="G626" t="s">
        <v>434</v>
      </c>
      <c r="H626">
        <v>983</v>
      </c>
      <c r="I626" t="s">
        <v>58</v>
      </c>
      <c r="J626" s="6" t="s">
        <v>27</v>
      </c>
      <c r="K626" s="15">
        <v>5</v>
      </c>
      <c r="L626" s="5">
        <v>20</v>
      </c>
      <c r="M626" s="15">
        <v>7</v>
      </c>
      <c r="N626">
        <v>3</v>
      </c>
      <c r="O626">
        <v>5</v>
      </c>
      <c r="Q626">
        <v>9.9</v>
      </c>
      <c r="R626" s="2">
        <f>IF(ISBLANK(Table1[[#This Row],[Age]]),AVERAGE(Table1[Age]),Table1[[#This Row],[Age]])</f>
        <v>54</v>
      </c>
      <c r="S626" t="str">
        <f>PROPER(Table1[[#This Row],[Country]])</f>
        <v>India</v>
      </c>
      <c r="T626" t="str">
        <f>TRIM(Table1[[#This Row],[Profession]])</f>
        <v>Customer Support Executive</v>
      </c>
      <c r="U626" s="5">
        <f>IF(ISBLANK(H626),AVERAGEIF(Table1[Profession imputed],T626,Table1[Monthly_Income]),H626)</f>
        <v>983</v>
      </c>
      <c r="V626" s="6" t="str">
        <f>PROPER(TRIM(Table1[AI_Tool]))</f>
        <v>Claude</v>
      </c>
      <c r="W626" s="8">
        <f>IF(ISBLANK(Table1[[#This Row],[Time_Saved_Hours_Per_Week]]),AVERAGEIF(Table1[Satisfaction_Score],Table1[[#This Row],[Satisfaction_Score]],Table1[Time_Saved_Hours_Per_Week]),Table1[[#This Row],[Time_Saved_Hours_Per_Week]])</f>
        <v>4.1465346534653476</v>
      </c>
    </row>
    <row r="627" spans="1:23" x14ac:dyDescent="0.25">
      <c r="A627" t="s">
        <v>980</v>
      </c>
      <c r="B627">
        <v>36</v>
      </c>
      <c r="C627" t="s">
        <v>29</v>
      </c>
      <c r="D627" t="s">
        <v>52</v>
      </c>
      <c r="E627" t="s">
        <v>24</v>
      </c>
      <c r="F627" t="s">
        <v>25</v>
      </c>
      <c r="G627" t="s">
        <v>979</v>
      </c>
      <c r="H627">
        <v>987</v>
      </c>
      <c r="I627" t="s">
        <v>271</v>
      </c>
      <c r="J627" s="6" t="s">
        <v>33</v>
      </c>
      <c r="K627" s="15">
        <v>1.5</v>
      </c>
      <c r="L627" s="5">
        <v>0</v>
      </c>
      <c r="M627" s="15">
        <v>4.2</v>
      </c>
      <c r="N627">
        <v>3</v>
      </c>
      <c r="O627">
        <v>6</v>
      </c>
      <c r="P627">
        <v>1.8</v>
      </c>
      <c r="Q627">
        <v>7.6</v>
      </c>
      <c r="R627" s="2">
        <f>IF(ISBLANK(Table1[[#This Row],[Age]]),AVERAGE(Table1[Age]),Table1[[#This Row],[Age]])</f>
        <v>36</v>
      </c>
      <c r="S627" t="str">
        <f>PROPER(Table1[[#This Row],[Country]])</f>
        <v>India</v>
      </c>
      <c r="T627" t="str">
        <f>TRIM(Table1[[#This Row],[Profession]])</f>
        <v>Senior Software Developer</v>
      </c>
      <c r="U627" s="5">
        <f>IF(ISBLANK(H627),AVERAGEIF(Table1[[#This Row],[Profession imputed]],T627,Table1[Monthly_Income]),H627)</f>
        <v>987</v>
      </c>
      <c r="V627" s="6" t="str">
        <f>PROPER(TRIM(Table1[AI_Tool]))</f>
        <v>Chat Gpt</v>
      </c>
      <c r="W627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628" spans="1:23" x14ac:dyDescent="0.25">
      <c r="A628" t="s">
        <v>379</v>
      </c>
      <c r="B628">
        <v>32</v>
      </c>
      <c r="C628" t="s">
        <v>22</v>
      </c>
      <c r="D628" t="s">
        <v>57</v>
      </c>
      <c r="E628" t="s">
        <v>24</v>
      </c>
      <c r="F628" t="s">
        <v>25</v>
      </c>
      <c r="G628" t="s">
        <v>367</v>
      </c>
      <c r="H628">
        <v>996</v>
      </c>
      <c r="I628" t="s">
        <v>271</v>
      </c>
      <c r="J628" s="6" t="s">
        <v>38</v>
      </c>
      <c r="K628" s="15">
        <v>4.9000000000000004</v>
      </c>
      <c r="L628" s="5">
        <v>0</v>
      </c>
      <c r="M628" s="15">
        <v>5.4</v>
      </c>
      <c r="N628">
        <v>3</v>
      </c>
      <c r="O628">
        <v>7</v>
      </c>
      <c r="P628">
        <v>6.5</v>
      </c>
      <c r="Q628">
        <v>9.3000000000000007</v>
      </c>
      <c r="R628" s="2">
        <f>IF(ISBLANK(Table1[[#This Row],[Age]]),AVERAGE(Table1[Age]),Table1[[#This Row],[Age]])</f>
        <v>32</v>
      </c>
      <c r="S628" t="str">
        <f>PROPER(Table1[[#This Row],[Country]])</f>
        <v>Pakistan</v>
      </c>
      <c r="T628" t="str">
        <f>TRIM(Table1[[#This Row],[Profession]])</f>
        <v>Content Writer</v>
      </c>
      <c r="U628" s="5">
        <f>IF(ISBLANK(H628),AVERAGEIF(Table1[[#This Row],[Profession imputed]],T628,Table1[Monthly_Income]),H628)</f>
        <v>996</v>
      </c>
      <c r="V628" s="6" t="str">
        <f>PROPER(TRIM(Table1[AI_Tool]))</f>
        <v>Chat Gpt</v>
      </c>
      <c r="W628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629" spans="1:23" x14ac:dyDescent="0.25">
      <c r="A629" t="s">
        <v>570</v>
      </c>
      <c r="B629">
        <v>41</v>
      </c>
      <c r="C629" t="s">
        <v>22</v>
      </c>
      <c r="D629" t="s">
        <v>30</v>
      </c>
      <c r="E629" t="s">
        <v>24</v>
      </c>
      <c r="F629" t="s">
        <v>50</v>
      </c>
      <c r="G629" t="s">
        <v>520</v>
      </c>
      <c r="H629">
        <v>1002</v>
      </c>
      <c r="I629" t="s">
        <v>253</v>
      </c>
      <c r="J629" s="6" t="s">
        <v>33</v>
      </c>
      <c r="K629" s="15">
        <v>4.5999999999999996</v>
      </c>
      <c r="L629" s="5">
        <v>0</v>
      </c>
      <c r="M629" s="15">
        <v>7.4</v>
      </c>
      <c r="N629">
        <v>4</v>
      </c>
      <c r="O629">
        <v>7</v>
      </c>
      <c r="P629">
        <v>7.9</v>
      </c>
      <c r="Q629">
        <v>8.8000000000000007</v>
      </c>
      <c r="R629" s="2">
        <f>IF(ISBLANK(Table1[[#This Row],[Age]]),AVERAGE(Table1[Age]),Table1[[#This Row],[Age]])</f>
        <v>41</v>
      </c>
      <c r="S629" t="str">
        <f>PROPER(Table1[[#This Row],[Country]])</f>
        <v>Brazil</v>
      </c>
      <c r="T629" t="str">
        <f>TRIM(Table1[[#This Row],[Profession]])</f>
        <v>Data Science Student</v>
      </c>
      <c r="U629" s="5">
        <f>IF(ISBLANK(H629),AVERAGEIF(Table1[Profession imputed],T629,Table1[Monthly_Income]),H629)</f>
        <v>1002</v>
      </c>
      <c r="V629" s="6" t="str">
        <f>PROPER(TRIM(Table1[AI_Tool]))</f>
        <v>Meta Ai</v>
      </c>
      <c r="W629" s="8">
        <f>IF(ISBLANK(Table1[[#This Row],[Time_Saved_Hours_Per_Week]]),AVERAGEIF(Table1[Satisfaction_Score],Table1[[#This Row],[Satisfaction_Score]],Table1[Time_Saved_Hours_Per_Week]),Table1[[#This Row],[Time_Saved_Hours_Per_Week]])</f>
        <v>7.9</v>
      </c>
    </row>
    <row r="630" spans="1:23" x14ac:dyDescent="0.25">
      <c r="A630" t="s">
        <v>494</v>
      </c>
      <c r="B630">
        <v>28</v>
      </c>
      <c r="C630" t="s">
        <v>29</v>
      </c>
      <c r="D630" t="s">
        <v>49</v>
      </c>
      <c r="E630" t="s">
        <v>24</v>
      </c>
      <c r="F630" t="s">
        <v>45</v>
      </c>
      <c r="G630" t="s">
        <v>476</v>
      </c>
      <c r="H630">
        <v>1003</v>
      </c>
      <c r="I630" t="s">
        <v>271</v>
      </c>
      <c r="J630" s="6" t="s">
        <v>106</v>
      </c>
      <c r="K630" s="15">
        <v>2.2999999999999998</v>
      </c>
      <c r="L630" s="5">
        <v>0</v>
      </c>
      <c r="M630" s="15">
        <v>4.5</v>
      </c>
      <c r="N630">
        <v>4</v>
      </c>
      <c r="O630">
        <v>5</v>
      </c>
      <c r="P630">
        <v>4.9000000000000004</v>
      </c>
      <c r="Q630">
        <v>6.4</v>
      </c>
      <c r="R630" s="2">
        <f>IF(ISBLANK(Table1[[#This Row],[Age]]),AVERAGE(Table1[Age]),Table1[[#This Row],[Age]])</f>
        <v>28</v>
      </c>
      <c r="S630" t="str">
        <f>PROPER(Table1[[#This Row],[Country]])</f>
        <v>Kenya</v>
      </c>
      <c r="T630" t="str">
        <f>TRIM(Table1[[#This Row],[Profession]])</f>
        <v>Data Analyst</v>
      </c>
      <c r="U630" s="5">
        <f>IF(ISBLANK(H630),AVERAGEIF(Table1[Profession imputed],T630,Table1[Monthly_Income]),H630)</f>
        <v>1003</v>
      </c>
      <c r="V630" s="6" t="str">
        <f>PROPER(TRIM(Table1[AI_Tool]))</f>
        <v>Chat Gpt</v>
      </c>
      <c r="W630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31" spans="1:23" x14ac:dyDescent="0.25">
      <c r="A631" t="s">
        <v>1001</v>
      </c>
      <c r="B631">
        <v>43</v>
      </c>
      <c r="C631" t="s">
        <v>29</v>
      </c>
      <c r="D631" t="s">
        <v>57</v>
      </c>
      <c r="E631" t="s">
        <v>24</v>
      </c>
      <c r="F631" t="s">
        <v>55</v>
      </c>
      <c r="G631" t="s">
        <v>996</v>
      </c>
      <c r="H631">
        <v>1011</v>
      </c>
      <c r="I631" t="s">
        <v>280</v>
      </c>
      <c r="J631" s="6" t="s">
        <v>33</v>
      </c>
      <c r="K631" s="15">
        <v>1.5</v>
      </c>
      <c r="L631" s="5">
        <v>0</v>
      </c>
      <c r="M631" s="15">
        <v>5.3</v>
      </c>
      <c r="N631">
        <v>3</v>
      </c>
      <c r="O631">
        <v>5</v>
      </c>
      <c r="P631">
        <v>5.3</v>
      </c>
      <c r="Q631">
        <v>6.4</v>
      </c>
      <c r="R631" s="2">
        <f>IF(ISBLANK(Table1[[#This Row],[Age]]),AVERAGE(Table1[Age]),Table1[[#This Row],[Age]])</f>
        <v>43</v>
      </c>
      <c r="S631" t="str">
        <f>PROPER(Table1[[#This Row],[Country]])</f>
        <v>Pakistan</v>
      </c>
      <c r="T631" t="str">
        <f>TRIM(Table1[[#This Row],[Profession]])</f>
        <v>Senior Software Engineer</v>
      </c>
      <c r="U631" s="5">
        <f>IF(ISBLANK(H631),AVERAGEIF(Table1[[#This Row],[Profession imputed]],T631,Table1[Monthly_Income]),H631)</f>
        <v>1011</v>
      </c>
      <c r="V631" s="6" t="str">
        <f>PROPER(TRIM(Table1[AI_Tool]))</f>
        <v>Unknown</v>
      </c>
      <c r="W631" s="8">
        <f>IF(ISBLANK(Table1[[#This Row],[Time_Saved_Hours_Per_Week]]),AVERAGEIF(Table1[Satisfaction_Score],Table1[[#This Row],[Satisfaction_Score]],Table1[Time_Saved_Hours_Per_Week]),Table1[[#This Row],[Time_Saved_Hours_Per_Week]])</f>
        <v>5.3</v>
      </c>
    </row>
    <row r="632" spans="1:23" x14ac:dyDescent="0.25">
      <c r="A632" t="s">
        <v>988</v>
      </c>
      <c r="B632">
        <v>41</v>
      </c>
      <c r="C632" t="s">
        <v>22</v>
      </c>
      <c r="D632" t="s">
        <v>52</v>
      </c>
      <c r="E632" t="s">
        <v>24</v>
      </c>
      <c r="F632" t="s">
        <v>55</v>
      </c>
      <c r="G632" t="s">
        <v>979</v>
      </c>
      <c r="H632">
        <v>1014</v>
      </c>
      <c r="I632" t="s">
        <v>139</v>
      </c>
      <c r="J632" s="6" t="s">
        <v>33</v>
      </c>
      <c r="K632" s="15">
        <v>4.4000000000000004</v>
      </c>
      <c r="L632" s="5">
        <v>0</v>
      </c>
      <c r="M632" s="15">
        <v>6.1</v>
      </c>
      <c r="N632">
        <v>4</v>
      </c>
      <c r="O632">
        <v>8</v>
      </c>
      <c r="P632">
        <v>7.7</v>
      </c>
      <c r="Q632">
        <v>6.4</v>
      </c>
      <c r="R632" s="2">
        <f>IF(ISBLANK(Table1[[#This Row],[Age]]),AVERAGE(Table1[Age]),Table1[[#This Row],[Age]])</f>
        <v>41</v>
      </c>
      <c r="S632" t="str">
        <f>PROPER(Table1[[#This Row],[Country]])</f>
        <v>India</v>
      </c>
      <c r="T632" t="str">
        <f>TRIM(Table1[[#This Row],[Profession]])</f>
        <v>Senior Software Developer</v>
      </c>
      <c r="U632" s="5">
        <f>IF(ISBLANK(H632),AVERAGEIF(Table1[[#This Row],[Profession imputed]],T632,Table1[Monthly_Income]),H632)</f>
        <v>1014</v>
      </c>
      <c r="V632" s="6" t="str">
        <f>PROPER(TRIM(Table1[AI_Tool]))</f>
        <v>Microsoft Copilot</v>
      </c>
      <c r="W632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33" spans="1:23" x14ac:dyDescent="0.25">
      <c r="A633" t="s">
        <v>949</v>
      </c>
      <c r="B633">
        <v>39</v>
      </c>
      <c r="C633" t="s">
        <v>29</v>
      </c>
      <c r="D633" t="s">
        <v>52</v>
      </c>
      <c r="E633" t="s">
        <v>24</v>
      </c>
      <c r="F633" t="s">
        <v>55</v>
      </c>
      <c r="G633" t="s">
        <v>946</v>
      </c>
      <c r="H633">
        <v>1015</v>
      </c>
      <c r="I633" t="s">
        <v>139</v>
      </c>
      <c r="J633" s="6" t="s">
        <v>38</v>
      </c>
      <c r="K633" s="15">
        <v>0</v>
      </c>
      <c r="L633" s="5">
        <v>30</v>
      </c>
      <c r="M633" s="15">
        <v>3.8</v>
      </c>
      <c r="N633">
        <v>4</v>
      </c>
      <c r="O633">
        <v>7</v>
      </c>
      <c r="P633">
        <v>1.5</v>
      </c>
      <c r="Q633">
        <v>7.9</v>
      </c>
      <c r="R633" s="2">
        <f>IF(ISBLANK(Table1[[#This Row],[Age]]),AVERAGE(Table1[Age]),Table1[[#This Row],[Age]])</f>
        <v>39</v>
      </c>
      <c r="S633" t="str">
        <f>PROPER(Table1[[#This Row],[Country]])</f>
        <v>India</v>
      </c>
      <c r="T633" t="str">
        <f>TRIM(Table1[[#This Row],[Profession]])</f>
        <v>Senior Content Strategist</v>
      </c>
      <c r="U633" s="5">
        <f>IF(ISBLANK(H633),AVERAGEIF(Table1[[#This Row],[Profession imputed]],T633,Table1[Monthly_Income]),H633)</f>
        <v>1015</v>
      </c>
      <c r="V633" s="6" t="str">
        <f>PROPER(TRIM(Table1[AI_Tool]))</f>
        <v>Microsoft Copilot</v>
      </c>
      <c r="W633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634" spans="1:23" x14ac:dyDescent="0.25">
      <c r="A634" t="s">
        <v>977</v>
      </c>
      <c r="B634">
        <v>50</v>
      </c>
      <c r="C634" t="s">
        <v>22</v>
      </c>
      <c r="D634" t="s">
        <v>35</v>
      </c>
      <c r="E634" t="s">
        <v>24</v>
      </c>
      <c r="F634" t="s">
        <v>31</v>
      </c>
      <c r="G634" t="s">
        <v>970</v>
      </c>
      <c r="H634">
        <v>1025</v>
      </c>
      <c r="I634" t="s">
        <v>271</v>
      </c>
      <c r="J634" s="6" t="s">
        <v>106</v>
      </c>
      <c r="K634" s="15">
        <v>5.8</v>
      </c>
      <c r="L634" s="5">
        <v>20</v>
      </c>
      <c r="M634" s="15">
        <v>8.1</v>
      </c>
      <c r="N634">
        <v>2</v>
      </c>
      <c r="O634">
        <v>6</v>
      </c>
      <c r="P634">
        <v>13.5</v>
      </c>
      <c r="Q634">
        <v>7.9</v>
      </c>
      <c r="R634" s="2">
        <f>IF(ISBLANK(Table1[[#This Row],[Age]]),AVERAGE(Table1[Age]),Table1[[#This Row],[Age]])</f>
        <v>50</v>
      </c>
      <c r="S634" t="str">
        <f>PROPER(Table1[[#This Row],[Country]])</f>
        <v>Philippines</v>
      </c>
      <c r="T634" t="str">
        <f>TRIM(Table1[[#This Row],[Profession]])</f>
        <v>Senior Research Scientist</v>
      </c>
      <c r="U634" s="5">
        <f>IF(ISBLANK(H634),AVERAGEIF(Table1[[#This Row],[Profession imputed]],T634,Table1[Monthly_Income]),H634)</f>
        <v>1025</v>
      </c>
      <c r="V634" s="6" t="str">
        <f>PROPER(TRIM(Table1[AI_Tool]))</f>
        <v>Chat Gpt</v>
      </c>
      <c r="W634" s="8">
        <f>IF(ISBLANK(Table1[[#This Row],[Time_Saved_Hours_Per_Week]]),AVERAGEIF(Table1[Satisfaction_Score],Table1[[#This Row],[Satisfaction_Score]],Table1[Time_Saved_Hours_Per_Week]),Table1[[#This Row],[Time_Saved_Hours_Per_Week]])</f>
        <v>13.5</v>
      </c>
    </row>
    <row r="635" spans="1:23" x14ac:dyDescent="0.25">
      <c r="A635" t="s">
        <v>973</v>
      </c>
      <c r="B635">
        <v>50</v>
      </c>
      <c r="C635" t="s">
        <v>22</v>
      </c>
      <c r="D635" t="s">
        <v>52</v>
      </c>
      <c r="E635" t="s">
        <v>24</v>
      </c>
      <c r="F635" t="s">
        <v>55</v>
      </c>
      <c r="G635" t="s">
        <v>970</v>
      </c>
      <c r="H635">
        <v>1042</v>
      </c>
      <c r="I635" t="s">
        <v>271</v>
      </c>
      <c r="J635" s="6" t="s">
        <v>130</v>
      </c>
      <c r="K635" s="15">
        <v>2</v>
      </c>
      <c r="L635" s="5">
        <v>25</v>
      </c>
      <c r="M635" s="15">
        <v>5.2</v>
      </c>
      <c r="N635">
        <v>5</v>
      </c>
      <c r="O635">
        <v>8</v>
      </c>
      <c r="P635">
        <v>5.7</v>
      </c>
      <c r="Q635">
        <v>7.5</v>
      </c>
      <c r="R635" s="2">
        <f>IF(ISBLANK(Table1[[#This Row],[Age]]),AVERAGE(Table1[Age]),Table1[[#This Row],[Age]])</f>
        <v>50</v>
      </c>
      <c r="S635" t="str">
        <f>PROPER(Table1[[#This Row],[Country]])</f>
        <v>India</v>
      </c>
      <c r="T635" t="str">
        <f>TRIM(Table1[[#This Row],[Profession]])</f>
        <v>Senior Research Scientist</v>
      </c>
      <c r="U635" s="5">
        <f>IF(ISBLANK(H635),AVERAGEIF(Table1[[#This Row],[Profession imputed]],T635,Table1[Monthly_Income]),H635)</f>
        <v>1042</v>
      </c>
      <c r="V635" s="6" t="str">
        <f>PROPER(TRIM(Table1[AI_Tool]))</f>
        <v>Chat Gpt</v>
      </c>
      <c r="W635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636" spans="1:23" x14ac:dyDescent="0.25">
      <c r="A636" t="s">
        <v>976</v>
      </c>
      <c r="B636">
        <v>51</v>
      </c>
      <c r="C636" t="s">
        <v>22</v>
      </c>
      <c r="D636" t="s">
        <v>52</v>
      </c>
      <c r="E636" t="s">
        <v>24</v>
      </c>
      <c r="F636" t="s">
        <v>55</v>
      </c>
      <c r="G636" t="s">
        <v>970</v>
      </c>
      <c r="H636">
        <v>1055</v>
      </c>
      <c r="I636" t="s">
        <v>271</v>
      </c>
      <c r="J636" s="6" t="s">
        <v>130</v>
      </c>
      <c r="K636" s="15">
        <v>2</v>
      </c>
      <c r="L636" s="5">
        <v>25</v>
      </c>
      <c r="M636" s="15">
        <v>5.2</v>
      </c>
      <c r="N636">
        <v>5</v>
      </c>
      <c r="O636">
        <v>8</v>
      </c>
      <c r="P636">
        <v>5.7</v>
      </c>
      <c r="Q636">
        <v>7.5</v>
      </c>
      <c r="R636" s="2">
        <f>IF(ISBLANK(Table1[[#This Row],[Age]]),AVERAGE(Table1[Age]),Table1[[#This Row],[Age]])</f>
        <v>51</v>
      </c>
      <c r="S636" t="str">
        <f>PROPER(Table1[[#This Row],[Country]])</f>
        <v>India</v>
      </c>
      <c r="T636" t="str">
        <f>TRIM(Table1[[#This Row],[Profession]])</f>
        <v>Senior Research Scientist</v>
      </c>
      <c r="U636" s="5">
        <f>IF(ISBLANK(H636),AVERAGEIF(Table1[[#This Row],[Profession imputed]],T636,Table1[Monthly_Income]),H636)</f>
        <v>1055</v>
      </c>
      <c r="V636" s="6" t="str">
        <f>PROPER(TRIM(Table1[AI_Tool]))</f>
        <v>Chat Gpt</v>
      </c>
      <c r="W636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637" spans="1:23" x14ac:dyDescent="0.25">
      <c r="A637" t="s">
        <v>969</v>
      </c>
      <c r="B637">
        <v>49</v>
      </c>
      <c r="C637" t="s">
        <v>22</v>
      </c>
      <c r="D637" t="s">
        <v>52</v>
      </c>
      <c r="E637" t="s">
        <v>24</v>
      </c>
      <c r="F637" t="s">
        <v>55</v>
      </c>
      <c r="G637" t="s">
        <v>970</v>
      </c>
      <c r="H637">
        <v>1057</v>
      </c>
      <c r="I637" t="s">
        <v>271</v>
      </c>
      <c r="J637" s="6" t="s">
        <v>130</v>
      </c>
      <c r="K637" s="15">
        <v>2</v>
      </c>
      <c r="L637" s="5">
        <v>25</v>
      </c>
      <c r="M637" s="15">
        <v>5.2</v>
      </c>
      <c r="N637">
        <v>5</v>
      </c>
      <c r="O637">
        <v>8</v>
      </c>
      <c r="P637">
        <v>5.7</v>
      </c>
      <c r="Q637">
        <v>7.5</v>
      </c>
      <c r="R637" s="2">
        <f>IF(ISBLANK(Table1[[#This Row],[Age]]),AVERAGE(Table1[Age]),Table1[[#This Row],[Age]])</f>
        <v>49</v>
      </c>
      <c r="S637" t="str">
        <f>PROPER(Table1[[#This Row],[Country]])</f>
        <v>India</v>
      </c>
      <c r="T637" t="str">
        <f>TRIM(Table1[[#This Row],[Profession]])</f>
        <v>Senior Research Scientist</v>
      </c>
      <c r="U637" s="5">
        <f>IF(ISBLANK(H637),AVERAGEIF(Table1[[#This Row],[Profession imputed]],T637,Table1[Monthly_Income]),H637)</f>
        <v>1057</v>
      </c>
      <c r="V637" s="6" t="str">
        <f>PROPER(TRIM(Table1[AI_Tool]))</f>
        <v>Chat Gpt</v>
      </c>
      <c r="W637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638" spans="1:23" x14ac:dyDescent="0.25">
      <c r="A638" t="s">
        <v>975</v>
      </c>
      <c r="B638">
        <v>51</v>
      </c>
      <c r="C638" t="s">
        <v>22</v>
      </c>
      <c r="D638" t="s">
        <v>52</v>
      </c>
      <c r="E638" t="s">
        <v>24</v>
      </c>
      <c r="F638" t="s">
        <v>55</v>
      </c>
      <c r="G638" t="s">
        <v>970</v>
      </c>
      <c r="H638">
        <v>1061</v>
      </c>
      <c r="I638" t="s">
        <v>271</v>
      </c>
      <c r="J638" s="6" t="s">
        <v>130</v>
      </c>
      <c r="K638" s="15">
        <v>2</v>
      </c>
      <c r="L638" s="5">
        <v>25</v>
      </c>
      <c r="M638" s="15">
        <v>5.2</v>
      </c>
      <c r="N638">
        <v>5</v>
      </c>
      <c r="O638">
        <v>8</v>
      </c>
      <c r="P638">
        <v>5.7</v>
      </c>
      <c r="Q638">
        <v>7.5</v>
      </c>
      <c r="R638" s="2">
        <f>IF(ISBLANK(Table1[[#This Row],[Age]]),AVERAGE(Table1[Age]),Table1[[#This Row],[Age]])</f>
        <v>51</v>
      </c>
      <c r="S638" t="str">
        <f>PROPER(Table1[[#This Row],[Country]])</f>
        <v>India</v>
      </c>
      <c r="T638" t="str">
        <f>TRIM(Table1[[#This Row],[Profession]])</f>
        <v>Senior Research Scientist</v>
      </c>
      <c r="U638" s="5">
        <f>IF(ISBLANK(H638),AVERAGEIF(Table1[[#This Row],[Profession imputed]],T638,Table1[Monthly_Income]),H638)</f>
        <v>1061</v>
      </c>
      <c r="V638" s="6" t="str">
        <f>PROPER(TRIM(Table1[AI_Tool]))</f>
        <v>Chat Gpt</v>
      </c>
      <c r="W638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639" spans="1:23" x14ac:dyDescent="0.25">
      <c r="A639" t="s">
        <v>408</v>
      </c>
      <c r="B639">
        <v>41</v>
      </c>
      <c r="C639" t="s">
        <v>22</v>
      </c>
      <c r="D639" t="s">
        <v>89</v>
      </c>
      <c r="E639" t="s">
        <v>24</v>
      </c>
      <c r="F639" t="s">
        <v>55</v>
      </c>
      <c r="G639" t="s">
        <v>404</v>
      </c>
      <c r="H639">
        <v>1063</v>
      </c>
      <c r="I639" t="s">
        <v>69</v>
      </c>
      <c r="J639" s="6" t="s">
        <v>27</v>
      </c>
      <c r="K639" s="15">
        <v>1.3</v>
      </c>
      <c r="L639" s="5">
        <v>25</v>
      </c>
      <c r="M639" s="15">
        <v>2.4</v>
      </c>
      <c r="N639">
        <v>5</v>
      </c>
      <c r="O639">
        <v>5</v>
      </c>
      <c r="P639">
        <v>4.9000000000000004</v>
      </c>
      <c r="Q639">
        <v>9.6999999999999993</v>
      </c>
      <c r="R639" s="2">
        <f>IF(ISBLANK(Table1[[#This Row],[Age]]),AVERAGE(Table1[Age]),Table1[[#This Row],[Age]])</f>
        <v>41</v>
      </c>
      <c r="S639" t="str">
        <f>PROPER(Table1[[#This Row],[Country]])</f>
        <v>Nigeria</v>
      </c>
      <c r="T639" t="str">
        <f>TRIM(Table1[[#This Row],[Profession]])</f>
        <v>Customer Experience Manager</v>
      </c>
      <c r="U639" s="5">
        <f>IF(ISBLANK(H639),AVERAGEIF(Table1[[#This Row],[Profession imputed]],T639,Table1[Monthly_Income]),H639)</f>
        <v>1063</v>
      </c>
      <c r="V639" s="6" t="str">
        <f>PROPER(TRIM(Table1[AI_Tool]))</f>
        <v>Perplexity Ai</v>
      </c>
      <c r="W639" s="8">
        <f>IF(ISBLANK(Table1[[#This Row],[Time_Saved_Hours_Per_Week]]),AVERAGEIF(Table1[Satisfaction_Score],Table1[[#This Row],[Satisfaction_Score]],Table1[Time_Saved_Hours_Per_Week]),Table1[[#This Row],[Time_Saved_Hours_Per_Week]])</f>
        <v>4.9000000000000004</v>
      </c>
    </row>
    <row r="640" spans="1:23" x14ac:dyDescent="0.25">
      <c r="A640" t="s">
        <v>485</v>
      </c>
      <c r="B640">
        <v>20</v>
      </c>
      <c r="C640" t="s">
        <v>29</v>
      </c>
      <c r="D640" t="s">
        <v>89</v>
      </c>
      <c r="E640" t="s">
        <v>24</v>
      </c>
      <c r="F640" t="s">
        <v>55</v>
      </c>
      <c r="G640" t="s">
        <v>476</v>
      </c>
      <c r="H640">
        <v>1082</v>
      </c>
      <c r="I640" t="s">
        <v>280</v>
      </c>
      <c r="J640" s="6" t="s">
        <v>106</v>
      </c>
      <c r="K640" s="15">
        <v>2.4</v>
      </c>
      <c r="L640" s="5">
        <v>0</v>
      </c>
      <c r="M640" s="15">
        <v>5.4</v>
      </c>
      <c r="N640">
        <v>4</v>
      </c>
      <c r="O640">
        <v>5</v>
      </c>
      <c r="P640">
        <v>2.6</v>
      </c>
      <c r="Q640">
        <v>8</v>
      </c>
      <c r="R640" s="2">
        <f>IF(ISBLANK(Table1[[#This Row],[Age]]),AVERAGE(Table1[Age]),Table1[[#This Row],[Age]])</f>
        <v>20</v>
      </c>
      <c r="S640" t="str">
        <f>PROPER(Table1[[#This Row],[Country]])</f>
        <v>Nigeria</v>
      </c>
      <c r="T640" t="str">
        <f>TRIM(Table1[[#This Row],[Profession]])</f>
        <v>Data Analyst</v>
      </c>
      <c r="U640" s="5">
        <f>IF(ISBLANK(H640),AVERAGEIF(Table1[Profession imputed],T640,Table1[Monthly_Income]),H640)</f>
        <v>1082</v>
      </c>
      <c r="V640" s="6" t="str">
        <f>PROPER(TRIM(Table1[AI_Tool]))</f>
        <v>Unknown</v>
      </c>
      <c r="W640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641" spans="1:23" x14ac:dyDescent="0.25">
      <c r="A641" t="s">
        <v>42</v>
      </c>
      <c r="B641">
        <v>40</v>
      </c>
      <c r="C641" t="s">
        <v>29</v>
      </c>
      <c r="D641" t="s">
        <v>35</v>
      </c>
      <c r="E641" t="s">
        <v>24</v>
      </c>
      <c r="F641" t="s">
        <v>31</v>
      </c>
      <c r="G641" t="s">
        <v>36</v>
      </c>
      <c r="H641">
        <v>1090</v>
      </c>
      <c r="I641" t="s">
        <v>37</v>
      </c>
      <c r="J641" s="6" t="s">
        <v>38</v>
      </c>
      <c r="K641" s="15">
        <v>4.3</v>
      </c>
      <c r="L641" s="5">
        <v>50</v>
      </c>
      <c r="M641" s="15">
        <v>7.2</v>
      </c>
      <c r="N641">
        <v>5</v>
      </c>
      <c r="O641">
        <v>7</v>
      </c>
      <c r="P641">
        <v>4.8</v>
      </c>
      <c r="Q641">
        <v>5.9</v>
      </c>
      <c r="R641" s="2">
        <f>IF(ISBLANK(Table1[[#This Row],[Age]]),AVERAGE(Table1[Age]),Table1[[#This Row],[Age]])</f>
        <v>40</v>
      </c>
      <c r="S641" t="str">
        <f>PROPER(Table1[[#This Row],[Country]])</f>
        <v>Philippines</v>
      </c>
      <c r="T641" t="str">
        <f>TRIM(Table1[[#This Row],[Profession]])</f>
        <v>Academic Research Professor and Technical Writer</v>
      </c>
      <c r="U641" s="5">
        <f>IF(ISBLANK(H641),AVERAGEIF(Table1[Profession imputed],T641,Table1[Monthly_Income]),H641)</f>
        <v>1090</v>
      </c>
      <c r="V641" s="6" t="str">
        <f>PROPER(TRIM(Table1[AI_Tool]))</f>
        <v>Grammarly</v>
      </c>
      <c r="W641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642" spans="1:23" x14ac:dyDescent="0.25">
      <c r="A642" t="s">
        <v>477</v>
      </c>
      <c r="B642">
        <v>22</v>
      </c>
      <c r="C642" t="s">
        <v>29</v>
      </c>
      <c r="D642" t="s">
        <v>89</v>
      </c>
      <c r="E642" t="s">
        <v>24</v>
      </c>
      <c r="F642" t="s">
        <v>55</v>
      </c>
      <c r="G642" t="s">
        <v>476</v>
      </c>
      <c r="H642">
        <v>1091</v>
      </c>
      <c r="I642" t="s">
        <v>280</v>
      </c>
      <c r="J642" s="6" t="s">
        <v>106</v>
      </c>
      <c r="K642" s="15">
        <v>2.4</v>
      </c>
      <c r="L642" s="5">
        <v>0</v>
      </c>
      <c r="M642" s="15">
        <v>5.4</v>
      </c>
      <c r="N642">
        <v>4</v>
      </c>
      <c r="O642">
        <v>5</v>
      </c>
      <c r="P642">
        <v>2.6</v>
      </c>
      <c r="Q642">
        <v>8</v>
      </c>
      <c r="R642" s="2">
        <f>IF(ISBLANK(Table1[[#This Row],[Age]]),AVERAGE(Table1[Age]),Table1[[#This Row],[Age]])</f>
        <v>22</v>
      </c>
      <c r="S642" t="str">
        <f>PROPER(Table1[[#This Row],[Country]])</f>
        <v>Nigeria</v>
      </c>
      <c r="T642" t="str">
        <f>TRIM(Table1[[#This Row],[Profession]])</f>
        <v>Data Analyst</v>
      </c>
      <c r="U642" s="5">
        <f>IF(ISBLANK(H642),AVERAGEIF(Table1[Profession imputed],T642,Table1[Monthly_Income]),H642)</f>
        <v>1091</v>
      </c>
      <c r="V642" s="6" t="str">
        <f>PROPER(TRIM(Table1[AI_Tool]))</f>
        <v>Unknown</v>
      </c>
      <c r="W642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643" spans="1:23" x14ac:dyDescent="0.25">
      <c r="A643" t="s">
        <v>474</v>
      </c>
      <c r="B643">
        <v>32</v>
      </c>
      <c r="C643" t="s">
        <v>29</v>
      </c>
      <c r="D643" t="s">
        <v>35</v>
      </c>
      <c r="E643" t="s">
        <v>24</v>
      </c>
      <c r="F643" t="s">
        <v>55</v>
      </c>
      <c r="G643" t="s">
        <v>473</v>
      </c>
      <c r="H643">
        <v>1101</v>
      </c>
      <c r="I643" t="s">
        <v>253</v>
      </c>
      <c r="J643" s="6" t="s">
        <v>27</v>
      </c>
      <c r="K643" s="15">
        <v>0.5</v>
      </c>
      <c r="L643" s="5">
        <v>10</v>
      </c>
      <c r="M643" s="15">
        <v>5.8</v>
      </c>
      <c r="N643">
        <v>4</v>
      </c>
      <c r="O643">
        <v>8</v>
      </c>
      <c r="P643">
        <v>2.7</v>
      </c>
      <c r="Q643">
        <v>8.6999999999999993</v>
      </c>
      <c r="R643" s="2">
        <f>IF(ISBLANK(Table1[[#This Row],[Age]]),AVERAGE(Table1[Age]),Table1[[#This Row],[Age]])</f>
        <v>32</v>
      </c>
      <c r="S643" t="str">
        <f>PROPER(Table1[[#This Row],[Country]])</f>
        <v>Philippines</v>
      </c>
      <c r="T643" t="str">
        <f>TRIM(Table1[[#This Row],[Profession]])</f>
        <v>Customer Support Specialist / AI Support Operations Manager</v>
      </c>
      <c r="U643" s="5">
        <f>IF(ISBLANK(H643),AVERAGEIF(Table1[Profession imputed],T643,Table1[Monthly_Income]),H643)</f>
        <v>1101</v>
      </c>
      <c r="V643" s="6" t="str">
        <f>PROPER(TRIM(Table1[AI_Tool]))</f>
        <v>Meta Ai</v>
      </c>
      <c r="W643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644" spans="1:23" x14ac:dyDescent="0.25">
      <c r="A644" t="s">
        <v>257</v>
      </c>
      <c r="B644">
        <v>47</v>
      </c>
      <c r="C644" t="s">
        <v>29</v>
      </c>
      <c r="D644" t="s">
        <v>89</v>
      </c>
      <c r="E644" t="s">
        <v>24</v>
      </c>
      <c r="F644" t="s">
        <v>25</v>
      </c>
      <c r="G644" t="s">
        <v>258</v>
      </c>
      <c r="H644">
        <v>1104</v>
      </c>
      <c r="I644" t="s">
        <v>37</v>
      </c>
      <c r="J644" s="6" t="s">
        <v>106</v>
      </c>
      <c r="K644" s="15">
        <v>3.4</v>
      </c>
      <c r="L644" s="5">
        <v>20</v>
      </c>
      <c r="M644" s="15">
        <v>4.9000000000000004</v>
      </c>
      <c r="N644">
        <v>3</v>
      </c>
      <c r="O644">
        <v>5</v>
      </c>
      <c r="P644">
        <v>7.4</v>
      </c>
      <c r="Q644">
        <v>7.3</v>
      </c>
      <c r="R644" s="2">
        <f>IF(ISBLANK(Table1[[#This Row],[Age]]),AVERAGE(Table1[Age]),Table1[[#This Row],[Age]])</f>
        <v>47</v>
      </c>
      <c r="S644" t="str">
        <f>PROPER(Table1[[#This Row],[Country]])</f>
        <v>Nigeria</v>
      </c>
      <c r="T644" t="str">
        <f>TRIM(Table1[[#This Row],[Profession]])</f>
        <v>Business Intelligence Analyst</v>
      </c>
      <c r="U644" s="5">
        <f>IF(ISBLANK(H644),AVERAGEIF(Table1[Profession imputed],T644,Table1[Monthly_Income]),H644)</f>
        <v>1104</v>
      </c>
      <c r="V644" s="6" t="str">
        <f>PROPER(TRIM(Table1[AI_Tool]))</f>
        <v>Grammarly</v>
      </c>
      <c r="W644" s="8">
        <f>IF(ISBLANK(Table1[[#This Row],[Time_Saved_Hours_Per_Week]]),AVERAGEIF(Table1[Satisfaction_Score],Table1[[#This Row],[Satisfaction_Score]],Table1[Time_Saved_Hours_Per_Week]),Table1[[#This Row],[Time_Saved_Hours_Per_Week]])</f>
        <v>7.4</v>
      </c>
    </row>
    <row r="645" spans="1:23" x14ac:dyDescent="0.25">
      <c r="A645" t="s">
        <v>981</v>
      </c>
      <c r="B645">
        <v>39</v>
      </c>
      <c r="C645" t="s">
        <v>22</v>
      </c>
      <c r="D645" t="s">
        <v>52</v>
      </c>
      <c r="E645" t="s">
        <v>24</v>
      </c>
      <c r="F645" t="s">
        <v>55</v>
      </c>
      <c r="G645" t="s">
        <v>979</v>
      </c>
      <c r="H645">
        <v>1106</v>
      </c>
      <c r="I645" t="s">
        <v>139</v>
      </c>
      <c r="J645" s="6" t="s">
        <v>33</v>
      </c>
      <c r="K645" s="15">
        <v>4.4000000000000004</v>
      </c>
      <c r="L645" s="5">
        <v>0</v>
      </c>
      <c r="M645" s="15">
        <v>6.1</v>
      </c>
      <c r="N645">
        <v>4</v>
      </c>
      <c r="O645">
        <v>8</v>
      </c>
      <c r="P645">
        <v>7.7</v>
      </c>
      <c r="Q645">
        <v>6.4</v>
      </c>
      <c r="R645" s="2">
        <f>IF(ISBLANK(Table1[[#This Row],[Age]]),AVERAGE(Table1[Age]),Table1[[#This Row],[Age]])</f>
        <v>39</v>
      </c>
      <c r="S645" t="str">
        <f>PROPER(Table1[[#This Row],[Country]])</f>
        <v>India</v>
      </c>
      <c r="T645" t="str">
        <f>TRIM(Table1[[#This Row],[Profession]])</f>
        <v>Senior Software Developer</v>
      </c>
      <c r="U645" s="5">
        <f>IF(ISBLANK(H645),AVERAGEIF(Table1[[#This Row],[Profession imputed]],T645,Table1[Monthly_Income]),H645)</f>
        <v>1106</v>
      </c>
      <c r="V645" s="6" t="str">
        <f>PROPER(TRIM(Table1[AI_Tool]))</f>
        <v>Microsoft Copilot</v>
      </c>
      <c r="W645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46" spans="1:23" x14ac:dyDescent="0.25">
      <c r="A646" t="s">
        <v>931</v>
      </c>
      <c r="B646">
        <v>29</v>
      </c>
      <c r="C646" t="s">
        <v>29</v>
      </c>
      <c r="D646" t="s">
        <v>73</v>
      </c>
      <c r="E646" t="s">
        <v>24</v>
      </c>
      <c r="F646" t="s">
        <v>31</v>
      </c>
      <c r="G646" t="s">
        <v>929</v>
      </c>
      <c r="H646">
        <v>1107</v>
      </c>
      <c r="I646" t="s">
        <v>69</v>
      </c>
      <c r="J646" s="6" t="s">
        <v>47</v>
      </c>
      <c r="K646" s="15">
        <v>1</v>
      </c>
      <c r="L646" s="5">
        <v>20</v>
      </c>
      <c r="M646" s="15">
        <v>2.6</v>
      </c>
      <c r="N646">
        <v>4</v>
      </c>
      <c r="O646">
        <v>4</v>
      </c>
      <c r="Q646">
        <v>8.3000000000000007</v>
      </c>
      <c r="R646" s="2">
        <f>IF(ISBLANK(Table1[[#This Row],[Age]]),AVERAGE(Table1[Age]),Table1[[#This Row],[Age]])</f>
        <v>29</v>
      </c>
      <c r="S646" t="str">
        <f>PROPER(Table1[[#This Row],[Country]])</f>
        <v>Unknown</v>
      </c>
      <c r="T646" t="str">
        <f>TRIM(Table1[[#This Row],[Profession]])</f>
        <v>Research Scientist / Data Analyst</v>
      </c>
      <c r="U646" s="5">
        <f>IF(ISBLANK(H646),AVERAGEIF(Table1[[#This Row],[Profession imputed]],T646,Table1[Monthly_Income]),H646)</f>
        <v>1107</v>
      </c>
      <c r="V646" s="6" t="str">
        <f>PROPER(TRIM(Table1[AI_Tool]))</f>
        <v>Perplexity Ai</v>
      </c>
      <c r="W646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647" spans="1:23" x14ac:dyDescent="0.25">
      <c r="A647" t="s">
        <v>974</v>
      </c>
      <c r="B647">
        <v>48</v>
      </c>
      <c r="C647" t="s">
        <v>22</v>
      </c>
      <c r="D647" t="s">
        <v>52</v>
      </c>
      <c r="E647" t="s">
        <v>24</v>
      </c>
      <c r="F647" t="s">
        <v>55</v>
      </c>
      <c r="G647" t="s">
        <v>970</v>
      </c>
      <c r="H647">
        <v>1107</v>
      </c>
      <c r="I647" t="s">
        <v>271</v>
      </c>
      <c r="J647" s="6" t="s">
        <v>130</v>
      </c>
      <c r="K647" s="15">
        <v>2</v>
      </c>
      <c r="L647" s="5">
        <v>25</v>
      </c>
      <c r="M647" s="15">
        <v>5.2</v>
      </c>
      <c r="N647">
        <v>5</v>
      </c>
      <c r="O647">
        <v>8</v>
      </c>
      <c r="P647">
        <v>5.7</v>
      </c>
      <c r="Q647">
        <v>7.5</v>
      </c>
      <c r="R647" s="2">
        <f>IF(ISBLANK(Table1[[#This Row],[Age]]),AVERAGE(Table1[Age]),Table1[[#This Row],[Age]])</f>
        <v>48</v>
      </c>
      <c r="S647" t="str">
        <f>PROPER(Table1[[#This Row],[Country]])</f>
        <v>India</v>
      </c>
      <c r="T647" t="str">
        <f>TRIM(Table1[[#This Row],[Profession]])</f>
        <v>Senior Research Scientist</v>
      </c>
      <c r="U647" s="5">
        <f>IF(ISBLANK(H647),AVERAGEIF(Table1[[#This Row],[Profession imputed]],T647,Table1[Monthly_Income]),H647)</f>
        <v>1107</v>
      </c>
      <c r="V647" s="6" t="str">
        <f>PROPER(TRIM(Table1[AI_Tool]))</f>
        <v>Chat Gpt</v>
      </c>
      <c r="W647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648" spans="1:23" x14ac:dyDescent="0.25">
      <c r="A648" t="s">
        <v>947</v>
      </c>
      <c r="B648">
        <v>38</v>
      </c>
      <c r="C648" t="s">
        <v>29</v>
      </c>
      <c r="D648" t="s">
        <v>52</v>
      </c>
      <c r="E648" t="s">
        <v>24</v>
      </c>
      <c r="F648" t="s">
        <v>55</v>
      </c>
      <c r="G648" t="s">
        <v>946</v>
      </c>
      <c r="H648">
        <v>1114</v>
      </c>
      <c r="I648" t="s">
        <v>139</v>
      </c>
      <c r="J648" s="6" t="s">
        <v>38</v>
      </c>
      <c r="K648" s="15">
        <v>0</v>
      </c>
      <c r="L648" s="5">
        <v>30</v>
      </c>
      <c r="M648" s="15">
        <v>3.8</v>
      </c>
      <c r="N648">
        <v>4</v>
      </c>
      <c r="O648">
        <v>7</v>
      </c>
      <c r="P648">
        <v>1.5</v>
      </c>
      <c r="Q648">
        <v>7.9</v>
      </c>
      <c r="R648" s="2">
        <f>IF(ISBLANK(Table1[[#This Row],[Age]]),AVERAGE(Table1[Age]),Table1[[#This Row],[Age]])</f>
        <v>38</v>
      </c>
      <c r="S648" t="str">
        <f>PROPER(Table1[[#This Row],[Country]])</f>
        <v>India</v>
      </c>
      <c r="T648" t="str">
        <f>TRIM(Table1[[#This Row],[Profession]])</f>
        <v>Senior Content Strategist</v>
      </c>
      <c r="U648" s="5">
        <f>IF(ISBLANK(H648),AVERAGEIF(Table1[[#This Row],[Profession imputed]],T648,Table1[Monthly_Income]),H648)</f>
        <v>1114</v>
      </c>
      <c r="V648" s="6" t="str">
        <f>PROPER(TRIM(Table1[AI_Tool]))</f>
        <v>Microsoft Copilot</v>
      </c>
      <c r="W648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649" spans="1:23" x14ac:dyDescent="0.25">
      <c r="A649" t="s">
        <v>1152</v>
      </c>
      <c r="B649">
        <v>65</v>
      </c>
      <c r="C649" t="s">
        <v>22</v>
      </c>
      <c r="D649" t="s">
        <v>52</v>
      </c>
      <c r="E649" t="s">
        <v>24</v>
      </c>
      <c r="F649" t="s">
        <v>50</v>
      </c>
      <c r="G649" t="s">
        <v>73</v>
      </c>
      <c r="H649">
        <v>1131</v>
      </c>
      <c r="I649" t="s">
        <v>58</v>
      </c>
      <c r="J649" s="6" t="s">
        <v>47</v>
      </c>
      <c r="K649" s="15">
        <v>1.7</v>
      </c>
      <c r="L649" s="5">
        <v>0</v>
      </c>
      <c r="M649" s="15">
        <v>5.2</v>
      </c>
      <c r="N649">
        <v>3</v>
      </c>
      <c r="O649">
        <v>6</v>
      </c>
      <c r="P649">
        <v>3.5</v>
      </c>
      <c r="Q649">
        <v>9.4</v>
      </c>
      <c r="R649" s="2">
        <f>IF(ISBLANK(Table1[[#This Row],[Age]]),AVERAGE(Table1[Age]),Table1[[#This Row],[Age]])</f>
        <v>65</v>
      </c>
      <c r="S649" t="str">
        <f>PROPER(Table1[[#This Row],[Country]])</f>
        <v>India</v>
      </c>
      <c r="T649" t="str">
        <f>TRIM(Table1[[#This Row],[Profession]])</f>
        <v>UNKNOWN</v>
      </c>
      <c r="U649" s="5">
        <f>IF(ISBLANK(H649),AVERAGEIF(Table1[[#This Row],[Profession imputed]],T649,Table1[Monthly_Income]),H649)</f>
        <v>1131</v>
      </c>
      <c r="V649" s="6" t="str">
        <f>PROPER(TRIM(Table1[AI_Tool]))</f>
        <v>Claude</v>
      </c>
      <c r="W649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650" spans="1:23" x14ac:dyDescent="0.25">
      <c r="A650" t="s">
        <v>71</v>
      </c>
      <c r="B650">
        <v>35</v>
      </c>
      <c r="C650" t="s">
        <v>29</v>
      </c>
      <c r="D650" t="s">
        <v>52</v>
      </c>
      <c r="E650" t="s">
        <v>24</v>
      </c>
      <c r="F650" t="s">
        <v>45</v>
      </c>
      <c r="G650" t="s">
        <v>68</v>
      </c>
      <c r="H650">
        <v>1133</v>
      </c>
      <c r="I650" t="s">
        <v>69</v>
      </c>
      <c r="J650" s="6" t="s">
        <v>47</v>
      </c>
      <c r="K650" s="15">
        <v>0.7</v>
      </c>
      <c r="L650" s="5">
        <v>0</v>
      </c>
      <c r="M650" s="15">
        <v>4.7</v>
      </c>
      <c r="N650">
        <v>2</v>
      </c>
      <c r="O650">
        <v>5</v>
      </c>
      <c r="P650">
        <v>0.6</v>
      </c>
      <c r="Q650">
        <v>8.5</v>
      </c>
      <c r="R650" s="2">
        <f>IF(ISBLANK(Table1[[#This Row],[Age]]),AVERAGE(Table1[Age]),Table1[[#This Row],[Age]])</f>
        <v>35</v>
      </c>
      <c r="S650" t="str">
        <f>PROPER(Table1[[#This Row],[Country]])</f>
        <v>India</v>
      </c>
      <c r="T650" t="str">
        <f>TRIM(Table1[[#This Row],[Profession]])</f>
        <v>Administrative Executive</v>
      </c>
      <c r="U650" s="5">
        <f>IF(ISBLANK(H650),AVERAGEIF(Table1[[#This Row],[Profession imputed]],T650,Table1[Monthly_Income]),H650)</f>
        <v>1133</v>
      </c>
      <c r="V650" s="6" t="str">
        <f>PROPER(TRIM(Table1[AI_Tool]))</f>
        <v>Perplexity Ai</v>
      </c>
      <c r="W650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651" spans="1:23" x14ac:dyDescent="0.25">
      <c r="A651" t="s">
        <v>472</v>
      </c>
      <c r="B651">
        <v>32</v>
      </c>
      <c r="C651" t="s">
        <v>29</v>
      </c>
      <c r="D651" t="s">
        <v>35</v>
      </c>
      <c r="E651" t="s">
        <v>24</v>
      </c>
      <c r="F651" t="s">
        <v>55</v>
      </c>
      <c r="G651" t="s">
        <v>473</v>
      </c>
      <c r="H651">
        <v>1141</v>
      </c>
      <c r="I651" t="s">
        <v>253</v>
      </c>
      <c r="J651" s="6" t="s">
        <v>27</v>
      </c>
      <c r="K651" s="15">
        <v>0.5</v>
      </c>
      <c r="L651" s="5">
        <v>10</v>
      </c>
      <c r="M651" s="15">
        <v>5.8</v>
      </c>
      <c r="N651">
        <v>4</v>
      </c>
      <c r="O651">
        <v>8</v>
      </c>
      <c r="P651">
        <v>2.7</v>
      </c>
      <c r="Q651">
        <v>8.6999999999999993</v>
      </c>
      <c r="R651" s="2">
        <f>IF(ISBLANK(Table1[[#This Row],[Age]]),AVERAGE(Table1[Age]),Table1[[#This Row],[Age]])</f>
        <v>32</v>
      </c>
      <c r="S651" t="str">
        <f>PROPER(Table1[[#This Row],[Country]])</f>
        <v>Philippines</v>
      </c>
      <c r="T651" t="str">
        <f>TRIM(Table1[[#This Row],[Profession]])</f>
        <v>Customer Support Specialist / AI Support Operations Manager</v>
      </c>
      <c r="U651" s="5">
        <f>IF(ISBLANK(H651),AVERAGEIF(Table1[Profession imputed],T651,Table1[Monthly_Income]),H651)</f>
        <v>1141</v>
      </c>
      <c r="V651" s="6" t="str">
        <f>PROPER(TRIM(Table1[AI_Tool]))</f>
        <v>Meta Ai</v>
      </c>
      <c r="W651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652" spans="1:23" x14ac:dyDescent="0.25">
      <c r="A652" t="s">
        <v>496</v>
      </c>
      <c r="B652">
        <v>20</v>
      </c>
      <c r="C652" t="s">
        <v>29</v>
      </c>
      <c r="D652" t="s">
        <v>89</v>
      </c>
      <c r="E652" t="s">
        <v>24</v>
      </c>
      <c r="F652" t="s">
        <v>55</v>
      </c>
      <c r="G652" t="s">
        <v>476</v>
      </c>
      <c r="H652">
        <v>1147</v>
      </c>
      <c r="I652" t="s">
        <v>280</v>
      </c>
      <c r="J652" s="6" t="s">
        <v>106</v>
      </c>
      <c r="K652" s="15">
        <v>2.4</v>
      </c>
      <c r="L652" s="5">
        <v>0</v>
      </c>
      <c r="M652" s="15">
        <v>5.4</v>
      </c>
      <c r="N652">
        <v>4</v>
      </c>
      <c r="O652">
        <v>5</v>
      </c>
      <c r="P652">
        <v>2.6</v>
      </c>
      <c r="Q652">
        <v>8</v>
      </c>
      <c r="R652" s="2">
        <f>IF(ISBLANK(Table1[[#This Row],[Age]]),AVERAGE(Table1[Age]),Table1[[#This Row],[Age]])</f>
        <v>20</v>
      </c>
      <c r="S652" t="str">
        <f>PROPER(Table1[[#This Row],[Country]])</f>
        <v>Nigeria</v>
      </c>
      <c r="T652" t="str">
        <f>TRIM(Table1[[#This Row],[Profession]])</f>
        <v>Data Analyst</v>
      </c>
      <c r="U652" s="5">
        <f>IF(ISBLANK(H652),AVERAGEIF(Table1[Profession imputed],T652,Table1[Monthly_Income]),H652)</f>
        <v>1147</v>
      </c>
      <c r="V652" s="6" t="str">
        <f>PROPER(TRIM(Table1[AI_Tool]))</f>
        <v>Unknown</v>
      </c>
      <c r="W652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653" spans="1:23" x14ac:dyDescent="0.25">
      <c r="A653" t="s">
        <v>34</v>
      </c>
      <c r="B653">
        <v>38</v>
      </c>
      <c r="C653" t="s">
        <v>29</v>
      </c>
      <c r="D653" t="s">
        <v>35</v>
      </c>
      <c r="E653" t="s">
        <v>24</v>
      </c>
      <c r="F653" t="s">
        <v>31</v>
      </c>
      <c r="G653" t="s">
        <v>36</v>
      </c>
      <c r="H653">
        <v>1148</v>
      </c>
      <c r="I653" t="s">
        <v>37</v>
      </c>
      <c r="J653" s="6" t="s">
        <v>38</v>
      </c>
      <c r="K653" s="15">
        <v>4.3</v>
      </c>
      <c r="L653" s="5">
        <v>50</v>
      </c>
      <c r="M653" s="15">
        <v>7.2</v>
      </c>
      <c r="N653">
        <v>5</v>
      </c>
      <c r="O653">
        <v>7</v>
      </c>
      <c r="P653">
        <v>4.8</v>
      </c>
      <c r="Q653">
        <v>5.9</v>
      </c>
      <c r="R653" s="2">
        <f>IF(ISBLANK(Table1[[#This Row],[Age]]),AVERAGE(Table1[Age]),Table1[[#This Row],[Age]])</f>
        <v>38</v>
      </c>
      <c r="S653" t="str">
        <f>PROPER(Table1[[#This Row],[Country]])</f>
        <v>Philippines</v>
      </c>
      <c r="T653" t="str">
        <f>TRIM(Table1[[#This Row],[Profession]])</f>
        <v>Academic Research Professor and Technical Writer</v>
      </c>
      <c r="U653" s="5">
        <f>IF(ISBLANK(H653),AVERAGEIF(Table1[Profession imputed],T653,Table1[Monthly_Income]),H653)</f>
        <v>1148</v>
      </c>
      <c r="V653" s="6" t="str">
        <f>PROPER(TRIM(Table1[AI_Tool]))</f>
        <v>Grammarly</v>
      </c>
      <c r="W653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654" spans="1:23" x14ac:dyDescent="0.25">
      <c r="A654" t="s">
        <v>99</v>
      </c>
      <c r="B654">
        <v>29</v>
      </c>
      <c r="C654" t="s">
        <v>29</v>
      </c>
      <c r="D654" t="s">
        <v>89</v>
      </c>
      <c r="E654" t="s">
        <v>24</v>
      </c>
      <c r="F654" t="s">
        <v>55</v>
      </c>
      <c r="G654" t="s">
        <v>90</v>
      </c>
      <c r="H654">
        <v>1149</v>
      </c>
      <c r="I654" t="s">
        <v>1186</v>
      </c>
      <c r="J654" s="6" t="s">
        <v>27</v>
      </c>
      <c r="K654" s="15">
        <v>8.5</v>
      </c>
      <c r="L654" s="5">
        <v>20</v>
      </c>
      <c r="M654" s="15">
        <v>8.6999999999999993</v>
      </c>
      <c r="N654">
        <v>5</v>
      </c>
      <c r="O654">
        <v>8</v>
      </c>
      <c r="P654">
        <v>15.6</v>
      </c>
      <c r="Q654">
        <v>0</v>
      </c>
      <c r="R654" s="2">
        <f>IF(ISBLANK(Table1[[#This Row],[Age]]),AVERAGE(Table1[Age]),Table1[[#This Row],[Age]])</f>
        <v>29</v>
      </c>
      <c r="S654" t="str">
        <f>PROPER(Table1[[#This Row],[Country]])</f>
        <v>Nigeria</v>
      </c>
      <c r="T654" t="str">
        <f>TRIM(Table1[[#This Row],[Profession]])</f>
        <v>AI Customer Support Specialist</v>
      </c>
      <c r="U654" s="5">
        <f>IF(ISBLANK(H654),AVERAGEIF(Table1[[#This Row],[Profession imputed]],T654,Table1[Monthly_Income]),H654)</f>
        <v>1149</v>
      </c>
      <c r="V654" s="6" t="str">
        <f>PROPER(TRIM(Table1[AI_Tool]))</f>
        <v>Google Gemini</v>
      </c>
      <c r="W654" s="8">
        <f>IF(ISBLANK(Table1[[#This Row],[Time_Saved_Hours_Per_Week]]),AVERAGEIF(Table1[Satisfaction_Score],Table1[[#This Row],[Satisfaction_Score]],Table1[Time_Saved_Hours_Per_Week]),Table1[[#This Row],[Time_Saved_Hours_Per_Week]])</f>
        <v>15.6</v>
      </c>
    </row>
    <row r="655" spans="1:23" x14ac:dyDescent="0.25">
      <c r="A655" t="s">
        <v>986</v>
      </c>
      <c r="B655">
        <v>37</v>
      </c>
      <c r="C655" t="s">
        <v>22</v>
      </c>
      <c r="D655" t="s">
        <v>52</v>
      </c>
      <c r="E655" t="s">
        <v>24</v>
      </c>
      <c r="F655" t="s">
        <v>55</v>
      </c>
      <c r="G655" t="s">
        <v>979</v>
      </c>
      <c r="H655">
        <v>1164</v>
      </c>
      <c r="I655" t="s">
        <v>139</v>
      </c>
      <c r="J655" s="6" t="s">
        <v>33</v>
      </c>
      <c r="K655" s="15">
        <v>4.4000000000000004</v>
      </c>
      <c r="L655" s="5">
        <v>0</v>
      </c>
      <c r="M655" s="15">
        <v>6.1</v>
      </c>
      <c r="N655">
        <v>4</v>
      </c>
      <c r="O655">
        <v>8</v>
      </c>
      <c r="P655">
        <v>7.7</v>
      </c>
      <c r="Q655">
        <v>6.4</v>
      </c>
      <c r="R655" s="2">
        <f>IF(ISBLANK(Table1[[#This Row],[Age]]),AVERAGE(Table1[Age]),Table1[[#This Row],[Age]])</f>
        <v>37</v>
      </c>
      <c r="S655" t="str">
        <f>PROPER(Table1[[#This Row],[Country]])</f>
        <v>India</v>
      </c>
      <c r="T655" t="str">
        <f>TRIM(Table1[[#This Row],[Profession]])</f>
        <v>Senior Software Developer</v>
      </c>
      <c r="U655" s="5">
        <f>IF(ISBLANK(H655),AVERAGEIF(Table1[[#This Row],[Profession imputed]],T655,Table1[Monthly_Income]),H655)</f>
        <v>1164</v>
      </c>
      <c r="V655" s="6" t="str">
        <f>PROPER(TRIM(Table1[AI_Tool]))</f>
        <v>Microsoft Copilot</v>
      </c>
      <c r="W655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56" spans="1:23" x14ac:dyDescent="0.25">
      <c r="A656" t="s">
        <v>40</v>
      </c>
      <c r="B656">
        <v>38</v>
      </c>
      <c r="C656" t="s">
        <v>29</v>
      </c>
      <c r="D656" t="s">
        <v>35</v>
      </c>
      <c r="E656" t="s">
        <v>24</v>
      </c>
      <c r="F656" t="s">
        <v>31</v>
      </c>
      <c r="G656" t="s">
        <v>36</v>
      </c>
      <c r="H656">
        <v>1165</v>
      </c>
      <c r="I656" t="s">
        <v>37</v>
      </c>
      <c r="J656" s="6" t="s">
        <v>38</v>
      </c>
      <c r="K656" s="15">
        <v>4.3</v>
      </c>
      <c r="L656" s="5">
        <v>50</v>
      </c>
      <c r="M656" s="15">
        <v>7.2</v>
      </c>
      <c r="N656">
        <v>5</v>
      </c>
      <c r="O656">
        <v>7</v>
      </c>
      <c r="P656">
        <v>4.8</v>
      </c>
      <c r="Q656">
        <v>5.9</v>
      </c>
      <c r="R656" s="2">
        <f>IF(ISBLANK(Table1[[#This Row],[Age]]),AVERAGE(Table1[Age]),Table1[[#This Row],[Age]])</f>
        <v>38</v>
      </c>
      <c r="S656" t="str">
        <f>PROPER(Table1[[#This Row],[Country]])</f>
        <v>Philippines</v>
      </c>
      <c r="T656" t="str">
        <f>TRIM(Table1[[#This Row],[Profession]])</f>
        <v>Academic Research Professor and Technical Writer</v>
      </c>
      <c r="U656" s="5">
        <f>IF(ISBLANK(H656),AVERAGEIF(Table1[Profession imputed],T656,Table1[Monthly_Income]),H656)</f>
        <v>1165</v>
      </c>
      <c r="V656" s="6" t="str">
        <f>PROPER(TRIM(Table1[AI_Tool]))</f>
        <v>Grammarly</v>
      </c>
      <c r="W656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657" spans="1:23" x14ac:dyDescent="0.25">
      <c r="A657" t="s">
        <v>70</v>
      </c>
      <c r="B657">
        <v>32</v>
      </c>
      <c r="C657" t="s">
        <v>29</v>
      </c>
      <c r="D657" t="s">
        <v>52</v>
      </c>
      <c r="E657" t="s">
        <v>24</v>
      </c>
      <c r="F657" t="s">
        <v>45</v>
      </c>
      <c r="G657" t="s">
        <v>68</v>
      </c>
      <c r="H657">
        <v>1173</v>
      </c>
      <c r="I657" t="s">
        <v>69</v>
      </c>
      <c r="J657" s="6" t="s">
        <v>47</v>
      </c>
      <c r="K657" s="15">
        <v>0.7</v>
      </c>
      <c r="L657" s="5">
        <v>0</v>
      </c>
      <c r="M657" s="15">
        <v>4.7</v>
      </c>
      <c r="N657">
        <v>2</v>
      </c>
      <c r="O657">
        <v>5</v>
      </c>
      <c r="P657">
        <v>0.6</v>
      </c>
      <c r="Q657">
        <v>8.5</v>
      </c>
      <c r="R657" s="2">
        <f>IF(ISBLANK(Table1[[#This Row],[Age]]),AVERAGE(Table1[Age]),Table1[[#This Row],[Age]])</f>
        <v>32</v>
      </c>
      <c r="S657" t="str">
        <f>PROPER(Table1[[#This Row],[Country]])</f>
        <v>India</v>
      </c>
      <c r="T657" t="str">
        <f>TRIM(Table1[[#This Row],[Profession]])</f>
        <v>Administrative Executive</v>
      </c>
      <c r="U657" s="5">
        <f>IF(ISBLANK(H657),AVERAGEIF(Table1[[#This Row],[Profession imputed]],T657,Table1[Monthly_Income]),H657)</f>
        <v>1173</v>
      </c>
      <c r="V657" s="6" t="str">
        <f>PROPER(TRIM(Table1[AI_Tool]))</f>
        <v>Perplexity Ai</v>
      </c>
      <c r="W657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658" spans="1:23" x14ac:dyDescent="0.25">
      <c r="A658" t="s">
        <v>41</v>
      </c>
      <c r="B658">
        <v>40</v>
      </c>
      <c r="C658" t="s">
        <v>29</v>
      </c>
      <c r="D658" t="s">
        <v>35</v>
      </c>
      <c r="E658" t="s">
        <v>24</v>
      </c>
      <c r="F658" t="s">
        <v>31</v>
      </c>
      <c r="G658" t="s">
        <v>36</v>
      </c>
      <c r="H658">
        <v>1177</v>
      </c>
      <c r="I658" t="s">
        <v>37</v>
      </c>
      <c r="J658" s="6" t="s">
        <v>38</v>
      </c>
      <c r="K658" s="15">
        <v>4.3</v>
      </c>
      <c r="L658" s="5">
        <v>50</v>
      </c>
      <c r="M658" s="15">
        <v>7.2</v>
      </c>
      <c r="N658">
        <v>5</v>
      </c>
      <c r="O658">
        <v>7</v>
      </c>
      <c r="P658">
        <v>4.8</v>
      </c>
      <c r="Q658">
        <v>5.9</v>
      </c>
      <c r="R658" s="2">
        <f>IF(ISBLANK(Table1[[#This Row],[Age]]),AVERAGE(Table1[Age]),Table1[[#This Row],[Age]])</f>
        <v>40</v>
      </c>
      <c r="S658" t="str">
        <f>PROPER(Table1[[#This Row],[Country]])</f>
        <v>Philippines</v>
      </c>
      <c r="T658" t="str">
        <f>TRIM(Table1[[#This Row],[Profession]])</f>
        <v>Academic Research Professor and Technical Writer</v>
      </c>
      <c r="U658" s="5">
        <f>IF(ISBLANK(H658),AVERAGEIF(Table1[Profession imputed],T658,Table1[Monthly_Income]),H658)</f>
        <v>1177</v>
      </c>
      <c r="V658" s="6" t="str">
        <f>PROPER(TRIM(Table1[AI_Tool]))</f>
        <v>Grammarly</v>
      </c>
      <c r="W658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659" spans="1:23" x14ac:dyDescent="0.25">
      <c r="A659" t="s">
        <v>972</v>
      </c>
      <c r="B659">
        <v>51</v>
      </c>
      <c r="C659" t="s">
        <v>22</v>
      </c>
      <c r="D659" t="s">
        <v>35</v>
      </c>
      <c r="E659" t="s">
        <v>24</v>
      </c>
      <c r="F659" t="s">
        <v>31</v>
      </c>
      <c r="G659" t="s">
        <v>970</v>
      </c>
      <c r="H659">
        <v>1180</v>
      </c>
      <c r="I659" t="s">
        <v>271</v>
      </c>
      <c r="J659" s="6" t="s">
        <v>106</v>
      </c>
      <c r="K659" s="15">
        <v>5.8</v>
      </c>
      <c r="L659" s="5">
        <v>20</v>
      </c>
      <c r="M659" s="15">
        <v>8.1</v>
      </c>
      <c r="N659">
        <v>2</v>
      </c>
      <c r="O659">
        <v>6</v>
      </c>
      <c r="P659">
        <v>13.5</v>
      </c>
      <c r="Q659">
        <v>7.9</v>
      </c>
      <c r="R659" s="2">
        <f>IF(ISBLANK(Table1[[#This Row],[Age]]),AVERAGE(Table1[Age]),Table1[[#This Row],[Age]])</f>
        <v>51</v>
      </c>
      <c r="S659" t="str">
        <f>PROPER(Table1[[#This Row],[Country]])</f>
        <v>Philippines</v>
      </c>
      <c r="T659" t="str">
        <f>TRIM(Table1[[#This Row],[Profession]])</f>
        <v>Senior Research Scientist</v>
      </c>
      <c r="U659" s="5">
        <f>IF(ISBLANK(H659),AVERAGEIF(Table1[[#This Row],[Profession imputed]],T659,Table1[Monthly_Income]),H659)</f>
        <v>1180</v>
      </c>
      <c r="V659" s="6" t="str">
        <f>PROPER(TRIM(Table1[AI_Tool]))</f>
        <v>Chat Gpt</v>
      </c>
      <c r="W659" s="8">
        <f>IF(ISBLANK(Table1[[#This Row],[Time_Saved_Hours_Per_Week]]),AVERAGEIF(Table1[Satisfaction_Score],Table1[[#This Row],[Satisfaction_Score]],Table1[Time_Saved_Hours_Per_Week]),Table1[[#This Row],[Time_Saved_Hours_Per_Week]])</f>
        <v>13.5</v>
      </c>
    </row>
    <row r="660" spans="1:23" x14ac:dyDescent="0.25">
      <c r="A660" t="s">
        <v>568</v>
      </c>
      <c r="B660">
        <v>34</v>
      </c>
      <c r="C660" t="s">
        <v>22</v>
      </c>
      <c r="D660" t="s">
        <v>30</v>
      </c>
      <c r="E660" t="s">
        <v>24</v>
      </c>
      <c r="F660" t="s">
        <v>25</v>
      </c>
      <c r="G660" t="s">
        <v>520</v>
      </c>
      <c r="H660">
        <v>1184</v>
      </c>
      <c r="I660" t="s">
        <v>253</v>
      </c>
      <c r="J660" s="6" t="s">
        <v>33</v>
      </c>
      <c r="K660" s="15">
        <v>1.7</v>
      </c>
      <c r="L660" s="5">
        <v>20</v>
      </c>
      <c r="M660" s="15">
        <v>5.6</v>
      </c>
      <c r="N660">
        <v>4</v>
      </c>
      <c r="O660">
        <v>5</v>
      </c>
      <c r="P660">
        <v>6.4</v>
      </c>
      <c r="Q660">
        <v>9.6</v>
      </c>
      <c r="R660" s="2">
        <f>IF(ISBLANK(Table1[[#This Row],[Age]]),AVERAGE(Table1[Age]),Table1[[#This Row],[Age]])</f>
        <v>34</v>
      </c>
      <c r="S660" t="str">
        <f>PROPER(Table1[[#This Row],[Country]])</f>
        <v>Brazil</v>
      </c>
      <c r="T660" t="str">
        <f>TRIM(Table1[[#This Row],[Profession]])</f>
        <v>Data Science Student</v>
      </c>
      <c r="U660" s="5">
        <f>IF(ISBLANK(H660),AVERAGEIF(Table1[Profession imputed],T660,Table1[Monthly_Income]),H660)</f>
        <v>1184</v>
      </c>
      <c r="V660" s="6" t="str">
        <f>PROPER(TRIM(Table1[AI_Tool]))</f>
        <v>Meta Ai</v>
      </c>
      <c r="W660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661" spans="1:23" x14ac:dyDescent="0.25">
      <c r="A661" t="s">
        <v>67</v>
      </c>
      <c r="B661">
        <v>34</v>
      </c>
      <c r="C661" t="s">
        <v>29</v>
      </c>
      <c r="D661" t="s">
        <v>52</v>
      </c>
      <c r="E661" t="s">
        <v>24</v>
      </c>
      <c r="F661" t="s">
        <v>45</v>
      </c>
      <c r="G661" t="s">
        <v>68</v>
      </c>
      <c r="H661">
        <v>1188</v>
      </c>
      <c r="I661" t="s">
        <v>69</v>
      </c>
      <c r="J661" s="6" t="s">
        <v>47</v>
      </c>
      <c r="K661" s="15">
        <v>0.7</v>
      </c>
      <c r="L661" s="5">
        <v>0</v>
      </c>
      <c r="M661" s="15">
        <v>4.7</v>
      </c>
      <c r="N661">
        <v>2</v>
      </c>
      <c r="O661">
        <v>5</v>
      </c>
      <c r="P661">
        <v>0.6</v>
      </c>
      <c r="Q661">
        <v>8.5</v>
      </c>
      <c r="R661" s="2">
        <f>IF(ISBLANK(Table1[[#This Row],[Age]]),AVERAGE(Table1[Age]),Table1[[#This Row],[Age]])</f>
        <v>34</v>
      </c>
      <c r="S661" t="str">
        <f>PROPER(Table1[[#This Row],[Country]])</f>
        <v>India</v>
      </c>
      <c r="T661" t="str">
        <f>TRIM(Table1[[#This Row],[Profession]])</f>
        <v>Administrative Executive</v>
      </c>
      <c r="U661" s="5">
        <f>IF(ISBLANK(H661),AVERAGEIF(Table1[[#This Row],[Profession imputed]],T661,Table1[Monthly_Income]),H661)</f>
        <v>1188</v>
      </c>
      <c r="V661" s="6" t="str">
        <f>PROPER(TRIM(Table1[AI_Tool]))</f>
        <v>Perplexity Ai</v>
      </c>
      <c r="W661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662" spans="1:23" x14ac:dyDescent="0.25">
      <c r="A662" t="s">
        <v>593</v>
      </c>
      <c r="B662">
        <v>39</v>
      </c>
      <c r="C662" t="s">
        <v>22</v>
      </c>
      <c r="D662" t="s">
        <v>35</v>
      </c>
      <c r="E662" t="s">
        <v>24</v>
      </c>
      <c r="F662" t="s">
        <v>594</v>
      </c>
      <c r="G662" t="s">
        <v>595</v>
      </c>
      <c r="H662">
        <v>1192</v>
      </c>
      <c r="I662" t="s">
        <v>271</v>
      </c>
      <c r="J662" s="6" t="s">
        <v>75</v>
      </c>
      <c r="K662" s="15">
        <v>1.4</v>
      </c>
      <c r="L662" s="5">
        <v>30</v>
      </c>
      <c r="M662" s="15">
        <v>3.5</v>
      </c>
      <c r="N662">
        <v>4</v>
      </c>
      <c r="O662">
        <v>6</v>
      </c>
      <c r="P662">
        <v>3.8</v>
      </c>
      <c r="Q662">
        <v>6.7</v>
      </c>
      <c r="R662" s="2">
        <f>IF(ISBLANK(Table1[[#This Row],[Age]]),AVERAGE(Table1[Age]),Table1[[#This Row],[Age]])</f>
        <v>39</v>
      </c>
      <c r="S662" t="str">
        <f>PROPER(Table1[[#This Row],[Country]])</f>
        <v>Philippines</v>
      </c>
      <c r="T662" t="str">
        <f>TRIM(Table1[[#This Row],[Profession]])</f>
        <v>Digital Content Creator / Social Media Manager</v>
      </c>
      <c r="U662" s="5">
        <f>IF(ISBLANK(H662),AVERAGEIF(Table1[Profession imputed],T662,Table1[Monthly_Income]),H662)</f>
        <v>1192</v>
      </c>
      <c r="V662" s="6" t="str">
        <f>PROPER(TRIM(Table1[AI_Tool]))</f>
        <v>Chat Gpt</v>
      </c>
      <c r="W662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663" spans="1:23" x14ac:dyDescent="0.25">
      <c r="A663" t="s">
        <v>971</v>
      </c>
      <c r="B663">
        <v>49</v>
      </c>
      <c r="C663" t="s">
        <v>22</v>
      </c>
      <c r="D663" t="s">
        <v>35</v>
      </c>
      <c r="E663" t="s">
        <v>24</v>
      </c>
      <c r="F663" t="s">
        <v>31</v>
      </c>
      <c r="G663" t="s">
        <v>970</v>
      </c>
      <c r="H663">
        <v>1193</v>
      </c>
      <c r="I663" t="s">
        <v>271</v>
      </c>
      <c r="J663" s="6" t="s">
        <v>106</v>
      </c>
      <c r="K663" s="15">
        <v>5.8</v>
      </c>
      <c r="L663" s="5">
        <v>20</v>
      </c>
      <c r="M663" s="15">
        <v>8.1</v>
      </c>
      <c r="N663">
        <v>2</v>
      </c>
      <c r="O663">
        <v>6</v>
      </c>
      <c r="P663">
        <v>13.5</v>
      </c>
      <c r="Q663">
        <v>7.9</v>
      </c>
      <c r="R663" s="2">
        <f>IF(ISBLANK(Table1[[#This Row],[Age]]),AVERAGE(Table1[Age]),Table1[[#This Row],[Age]])</f>
        <v>49</v>
      </c>
      <c r="S663" t="str">
        <f>PROPER(Table1[[#This Row],[Country]])</f>
        <v>Philippines</v>
      </c>
      <c r="T663" t="str">
        <f>TRIM(Table1[[#This Row],[Profession]])</f>
        <v>Senior Research Scientist</v>
      </c>
      <c r="U663" s="5">
        <f>IF(ISBLANK(H663),AVERAGEIF(Table1[[#This Row],[Profession imputed]],T663,Table1[Monthly_Income]),H663)</f>
        <v>1193</v>
      </c>
      <c r="V663" s="6" t="str">
        <f>PROPER(TRIM(Table1[AI_Tool]))</f>
        <v>Chat Gpt</v>
      </c>
      <c r="W663" s="8">
        <f>IF(ISBLANK(Table1[[#This Row],[Time_Saved_Hours_Per_Week]]),AVERAGEIF(Table1[Satisfaction_Score],Table1[[#This Row],[Satisfaction_Score]],Table1[Time_Saved_Hours_Per_Week]),Table1[[#This Row],[Time_Saved_Hours_Per_Week]])</f>
        <v>13.5</v>
      </c>
    </row>
    <row r="664" spans="1:23" x14ac:dyDescent="0.25">
      <c r="A664" t="s">
        <v>327</v>
      </c>
      <c r="B664">
        <v>31</v>
      </c>
      <c r="C664" t="s">
        <v>29</v>
      </c>
      <c r="D664" t="s">
        <v>30</v>
      </c>
      <c r="E664" t="s">
        <v>24</v>
      </c>
      <c r="F664" t="s">
        <v>25</v>
      </c>
      <c r="G664" t="s">
        <v>328</v>
      </c>
      <c r="H664">
        <v>1194</v>
      </c>
      <c r="I664" t="s">
        <v>58</v>
      </c>
      <c r="J664" s="6" t="s">
        <v>75</v>
      </c>
      <c r="K664" s="15">
        <v>2.1</v>
      </c>
      <c r="L664" s="5">
        <v>0</v>
      </c>
      <c r="M664" s="15">
        <v>5.4</v>
      </c>
      <c r="N664">
        <v>2</v>
      </c>
      <c r="O664">
        <v>6</v>
      </c>
      <c r="P664">
        <v>2</v>
      </c>
      <c r="Q664">
        <v>9.8000000000000007</v>
      </c>
      <c r="R664" s="2">
        <f>IF(ISBLANK(Table1[[#This Row],[Age]]),AVERAGE(Table1[Age]),Table1[[#This Row],[Age]])</f>
        <v>31</v>
      </c>
      <c r="S664" t="str">
        <f>PROPER(Table1[[#This Row],[Country]])</f>
        <v>Brazil</v>
      </c>
      <c r="T664" t="str">
        <f>TRIM(Table1[[#This Row],[Profession]])</f>
        <v>Content Creator</v>
      </c>
      <c r="U664" s="5">
        <f>IF(ISBLANK(H664),AVERAGEIF(Table1[Profession imputed],T664,Table1[Monthly_Income]),H664)</f>
        <v>1194</v>
      </c>
      <c r="V664" s="6" t="str">
        <f>PROPER(TRIM(Table1[AI_Tool]))</f>
        <v>Claude</v>
      </c>
      <c r="W664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665" spans="1:23" x14ac:dyDescent="0.25">
      <c r="A665" t="s">
        <v>569</v>
      </c>
      <c r="B665">
        <v>37</v>
      </c>
      <c r="C665" t="s">
        <v>22</v>
      </c>
      <c r="D665" t="s">
        <v>30</v>
      </c>
      <c r="E665" t="s">
        <v>24</v>
      </c>
      <c r="F665" t="s">
        <v>25</v>
      </c>
      <c r="G665" t="s">
        <v>520</v>
      </c>
      <c r="H665">
        <v>1200</v>
      </c>
      <c r="I665" t="s">
        <v>253</v>
      </c>
      <c r="J665" s="6" t="s">
        <v>33</v>
      </c>
      <c r="K665" s="15">
        <v>1.7</v>
      </c>
      <c r="L665" s="5">
        <v>20</v>
      </c>
      <c r="M665" s="15">
        <v>5.6</v>
      </c>
      <c r="N665">
        <v>4</v>
      </c>
      <c r="O665">
        <v>5</v>
      </c>
      <c r="P665">
        <v>6.4</v>
      </c>
      <c r="Q665">
        <v>9.6</v>
      </c>
      <c r="R665" s="2">
        <f>IF(ISBLANK(Table1[[#This Row],[Age]]),AVERAGE(Table1[Age]),Table1[[#This Row],[Age]])</f>
        <v>37</v>
      </c>
      <c r="S665" t="str">
        <f>PROPER(Table1[[#This Row],[Country]])</f>
        <v>Brazil</v>
      </c>
      <c r="T665" t="str">
        <f>TRIM(Table1[[#This Row],[Profession]])</f>
        <v>Data Science Student</v>
      </c>
      <c r="U665" s="5">
        <f>IF(ISBLANK(H665),AVERAGEIF(Table1[Profession imputed],T665,Table1[Monthly_Income]),H665)</f>
        <v>1200</v>
      </c>
      <c r="V665" s="6" t="str">
        <f>PROPER(TRIM(Table1[AI_Tool]))</f>
        <v>Meta Ai</v>
      </c>
      <c r="W665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666" spans="1:23" x14ac:dyDescent="0.25">
      <c r="A666" t="s">
        <v>263</v>
      </c>
      <c r="B666">
        <v>47</v>
      </c>
      <c r="C666" t="s">
        <v>29</v>
      </c>
      <c r="D666" t="s">
        <v>89</v>
      </c>
      <c r="E666" t="s">
        <v>24</v>
      </c>
      <c r="F666" t="s">
        <v>25</v>
      </c>
      <c r="G666" t="s">
        <v>258</v>
      </c>
      <c r="H666">
        <v>1208</v>
      </c>
      <c r="I666" t="s">
        <v>37</v>
      </c>
      <c r="J666" s="6" t="s">
        <v>106</v>
      </c>
      <c r="K666" s="15">
        <v>3.4</v>
      </c>
      <c r="L666" s="5">
        <v>20</v>
      </c>
      <c r="M666" s="15">
        <v>4.9000000000000004</v>
      </c>
      <c r="N666">
        <v>3</v>
      </c>
      <c r="O666">
        <v>5</v>
      </c>
      <c r="P666">
        <v>7.4</v>
      </c>
      <c r="Q666">
        <v>7.3</v>
      </c>
      <c r="R666" s="2">
        <f>IF(ISBLANK(Table1[[#This Row],[Age]]),AVERAGE(Table1[Age]),Table1[[#This Row],[Age]])</f>
        <v>47</v>
      </c>
      <c r="S666" t="str">
        <f>PROPER(Table1[[#This Row],[Country]])</f>
        <v>Nigeria</v>
      </c>
      <c r="T666" t="str">
        <f>TRIM(Table1[[#This Row],[Profession]])</f>
        <v>Business Intelligence Analyst</v>
      </c>
      <c r="U666" s="5">
        <f>IF(ISBLANK(H666),AVERAGEIF(Table1[Profession imputed],T666,Table1[Monthly_Income]),H666)</f>
        <v>1208</v>
      </c>
      <c r="V666" s="6" t="str">
        <f>PROPER(TRIM(Table1[AI_Tool]))</f>
        <v>Grammarly</v>
      </c>
      <c r="W666" s="8">
        <f>IF(ISBLANK(Table1[[#This Row],[Time_Saved_Hours_Per_Week]]),AVERAGEIF(Table1[Satisfaction_Score],Table1[[#This Row],[Satisfaction_Score]],Table1[Time_Saved_Hours_Per_Week]),Table1[[#This Row],[Time_Saved_Hours_Per_Week]])</f>
        <v>7.4</v>
      </c>
    </row>
    <row r="667" spans="1:23" x14ac:dyDescent="0.25">
      <c r="A667" t="s">
        <v>329</v>
      </c>
      <c r="B667">
        <v>30</v>
      </c>
      <c r="C667" t="s">
        <v>29</v>
      </c>
      <c r="D667" t="s">
        <v>30</v>
      </c>
      <c r="E667" t="s">
        <v>24</v>
      </c>
      <c r="F667" t="s">
        <v>25</v>
      </c>
      <c r="G667" t="s">
        <v>328</v>
      </c>
      <c r="H667">
        <v>1208</v>
      </c>
      <c r="I667" t="s">
        <v>58</v>
      </c>
      <c r="J667" s="6" t="s">
        <v>75</v>
      </c>
      <c r="K667" s="15">
        <v>2.1</v>
      </c>
      <c r="L667" s="5">
        <v>0</v>
      </c>
      <c r="M667" s="15">
        <v>5.4</v>
      </c>
      <c r="N667">
        <v>2</v>
      </c>
      <c r="O667">
        <v>6</v>
      </c>
      <c r="P667">
        <v>2</v>
      </c>
      <c r="Q667">
        <v>9.8000000000000007</v>
      </c>
      <c r="R667" s="2">
        <f>IF(ISBLANK(Table1[[#This Row],[Age]]),AVERAGE(Table1[Age]),Table1[[#This Row],[Age]])</f>
        <v>30</v>
      </c>
      <c r="S667" t="str">
        <f>PROPER(Table1[[#This Row],[Country]])</f>
        <v>Brazil</v>
      </c>
      <c r="T667" t="str">
        <f>TRIM(Table1[[#This Row],[Profession]])</f>
        <v>Content Creator</v>
      </c>
      <c r="U667" s="5">
        <f>IF(ISBLANK(H667),AVERAGEIF(Table1[Profession imputed],T667,Table1[Monthly_Income]),H667)</f>
        <v>1208</v>
      </c>
      <c r="V667" s="6" t="str">
        <f>PROPER(TRIM(Table1[AI_Tool]))</f>
        <v>Claude</v>
      </c>
      <c r="W667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668" spans="1:23" x14ac:dyDescent="0.25">
      <c r="A668" t="s">
        <v>928</v>
      </c>
      <c r="B668">
        <v>28</v>
      </c>
      <c r="C668" t="s">
        <v>29</v>
      </c>
      <c r="D668" t="s">
        <v>73</v>
      </c>
      <c r="E668" t="s">
        <v>24</v>
      </c>
      <c r="F668" t="s">
        <v>31</v>
      </c>
      <c r="G668" t="s">
        <v>929</v>
      </c>
      <c r="H668">
        <v>1208</v>
      </c>
      <c r="I668" t="s">
        <v>69</v>
      </c>
      <c r="J668" s="6" t="s">
        <v>47</v>
      </c>
      <c r="K668" s="15">
        <v>1</v>
      </c>
      <c r="L668" s="5">
        <v>20</v>
      </c>
      <c r="M668" s="15">
        <v>2.6</v>
      </c>
      <c r="N668">
        <v>4</v>
      </c>
      <c r="O668">
        <v>4</v>
      </c>
      <c r="Q668">
        <v>8.3000000000000007</v>
      </c>
      <c r="R668" s="2">
        <f>IF(ISBLANK(Table1[[#This Row],[Age]]),AVERAGE(Table1[Age]),Table1[[#This Row],[Age]])</f>
        <v>28</v>
      </c>
      <c r="S668" t="str">
        <f>PROPER(Table1[[#This Row],[Country]])</f>
        <v>Unknown</v>
      </c>
      <c r="T668" t="str">
        <f>TRIM(Table1[[#This Row],[Profession]])</f>
        <v>Research Scientist / Data Analyst</v>
      </c>
      <c r="U668" s="5">
        <f>IF(ISBLANK(H668),AVERAGEIF(Table1[[#This Row],[Profession imputed]],T668,Table1[Monthly_Income]),H668)</f>
        <v>1208</v>
      </c>
      <c r="V668" s="6" t="str">
        <f>PROPER(TRIM(Table1[AI_Tool]))</f>
        <v>Perplexity Ai</v>
      </c>
      <c r="W668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669" spans="1:23" x14ac:dyDescent="0.25">
      <c r="A669" t="s">
        <v>1030</v>
      </c>
      <c r="B669">
        <v>39</v>
      </c>
      <c r="C669" t="s">
        <v>22</v>
      </c>
      <c r="D669" t="s">
        <v>52</v>
      </c>
      <c r="E669" t="s">
        <v>24</v>
      </c>
      <c r="F669" t="s">
        <v>45</v>
      </c>
      <c r="G669" t="s">
        <v>1019</v>
      </c>
      <c r="H669">
        <v>1241</v>
      </c>
      <c r="I669" t="s">
        <v>271</v>
      </c>
      <c r="J669" s="6" t="s">
        <v>33</v>
      </c>
      <c r="K669" s="15">
        <v>1.7</v>
      </c>
      <c r="L669" s="5">
        <v>0</v>
      </c>
      <c r="M669" s="15">
        <v>5.7</v>
      </c>
      <c r="N669">
        <v>5</v>
      </c>
      <c r="O669">
        <v>7</v>
      </c>
      <c r="P669">
        <v>3.4</v>
      </c>
      <c r="Q669">
        <v>6.4</v>
      </c>
      <c r="R669" s="2">
        <f>IF(ISBLANK(Table1[[#This Row],[Age]]),AVERAGE(Table1[Age]),Table1[[#This Row],[Age]])</f>
        <v>39</v>
      </c>
      <c r="S669" t="str">
        <f>PROPER(Table1[[#This Row],[Country]])</f>
        <v>India</v>
      </c>
      <c r="T669" t="str">
        <f>TRIM(Table1[[#This Row],[Profession]])</f>
        <v>Software Developer</v>
      </c>
      <c r="U669" s="5">
        <f>IF(ISBLANK(H669),AVERAGEIF(Table1[[#This Row],[Profession imputed]],T669,Table1[Monthly_Income]),H669)</f>
        <v>1241</v>
      </c>
      <c r="V669" s="6" t="str">
        <f>PROPER(TRIM(Table1[AI_Tool]))</f>
        <v>Chat Gpt</v>
      </c>
      <c r="W669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670" spans="1:23" x14ac:dyDescent="0.25">
      <c r="A670" t="s">
        <v>39</v>
      </c>
      <c r="B670">
        <v>40</v>
      </c>
      <c r="C670" t="s">
        <v>29</v>
      </c>
      <c r="D670" t="s">
        <v>35</v>
      </c>
      <c r="E670" t="s">
        <v>24</v>
      </c>
      <c r="F670" t="s">
        <v>31</v>
      </c>
      <c r="G670" t="s">
        <v>36</v>
      </c>
      <c r="H670">
        <v>1243</v>
      </c>
      <c r="I670" t="s">
        <v>37</v>
      </c>
      <c r="J670" s="6" t="s">
        <v>38</v>
      </c>
      <c r="K670" s="15">
        <v>4.3</v>
      </c>
      <c r="L670" s="5">
        <v>50</v>
      </c>
      <c r="M670" s="15">
        <v>7.2</v>
      </c>
      <c r="N670">
        <v>5</v>
      </c>
      <c r="O670">
        <v>7</v>
      </c>
      <c r="P670">
        <v>4.8</v>
      </c>
      <c r="Q670">
        <v>5.9</v>
      </c>
      <c r="R670" s="2">
        <f>IF(ISBLANK(Table1[[#This Row],[Age]]),AVERAGE(Table1[Age]),Table1[[#This Row],[Age]])</f>
        <v>40</v>
      </c>
      <c r="S670" t="str">
        <f>PROPER(Table1[[#This Row],[Country]])</f>
        <v>Philippines</v>
      </c>
      <c r="T670" t="str">
        <f>TRIM(Table1[[#This Row],[Profession]])</f>
        <v>Academic Research Professor and Technical Writer</v>
      </c>
      <c r="U670" s="5">
        <f>IF(ISBLANK(H670),AVERAGEIF(Table1[Profession imputed],T670,Table1[Monthly_Income]),H670)</f>
        <v>1243</v>
      </c>
      <c r="V670" s="6" t="str">
        <f>PROPER(TRIM(Table1[AI_Tool]))</f>
        <v>Grammarly</v>
      </c>
      <c r="W670" s="8">
        <f>IF(ISBLANK(Table1[[#This Row],[Time_Saved_Hours_Per_Week]]),AVERAGEIF(Table1[Satisfaction_Score],Table1[[#This Row],[Satisfaction_Score]],Table1[Time_Saved_Hours_Per_Week]),Table1[[#This Row],[Time_Saved_Hours_Per_Week]])</f>
        <v>4.8</v>
      </c>
    </row>
    <row r="671" spans="1:23" x14ac:dyDescent="0.25">
      <c r="A671" t="s">
        <v>1140</v>
      </c>
      <c r="C671" t="s">
        <v>22</v>
      </c>
      <c r="D671" t="s">
        <v>44</v>
      </c>
      <c r="E671" t="s">
        <v>24</v>
      </c>
      <c r="F671" t="s">
        <v>25</v>
      </c>
      <c r="G671" t="s">
        <v>73</v>
      </c>
      <c r="I671" t="s">
        <v>280</v>
      </c>
      <c r="J671" s="6" t="s">
        <v>38</v>
      </c>
      <c r="K671" s="15">
        <v>3.1</v>
      </c>
      <c r="L671" s="5">
        <v>30</v>
      </c>
      <c r="M671" s="15">
        <v>5.6</v>
      </c>
      <c r="N671">
        <v>3</v>
      </c>
      <c r="O671">
        <v>7</v>
      </c>
      <c r="P671">
        <v>5.2</v>
      </c>
      <c r="Q671">
        <v>8.4</v>
      </c>
      <c r="R671" s="2">
        <f>IF(ISBLANK(Table1[[#This Row],[Age]]),AVERAGE(Table1[Age]),Table1[[#This Row],[Age]])</f>
        <v>30.023333333333333</v>
      </c>
      <c r="S671" t="str">
        <f>PROPER(Table1[[#This Row],[Country]])</f>
        <v>United States</v>
      </c>
      <c r="T671" t="str">
        <f>TRIM(Table1[[#This Row],[Profession]])</f>
        <v>UNKNOWN</v>
      </c>
      <c r="U671" s="5">
        <f>IF(ISBLANK(H671),AVERAGEIF(Table1[Profession imputed],T671,Table1[Monthly_Income]),H671)</f>
        <v>1251.5952380952381</v>
      </c>
      <c r="V671" s="6" t="str">
        <f>PROPER(TRIM(Table1[AI_Tool]))</f>
        <v>Unknown</v>
      </c>
      <c r="W671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672" spans="1:23" x14ac:dyDescent="0.25">
      <c r="A672" t="s">
        <v>1146</v>
      </c>
      <c r="C672" t="s">
        <v>22</v>
      </c>
      <c r="D672" t="s">
        <v>44</v>
      </c>
      <c r="E672" t="s">
        <v>24</v>
      </c>
      <c r="F672" t="s">
        <v>25</v>
      </c>
      <c r="G672" t="s">
        <v>73</v>
      </c>
      <c r="I672" t="s">
        <v>280</v>
      </c>
      <c r="J672" s="6" t="s">
        <v>38</v>
      </c>
      <c r="K672" s="15">
        <v>3.1</v>
      </c>
      <c r="L672" s="5">
        <v>30</v>
      </c>
      <c r="M672" s="15">
        <v>5.6</v>
      </c>
      <c r="N672">
        <v>3</v>
      </c>
      <c r="O672">
        <v>7</v>
      </c>
      <c r="P672">
        <v>5.2</v>
      </c>
      <c r="Q672">
        <v>8.4</v>
      </c>
      <c r="R672" s="2">
        <f>IF(ISBLANK(Table1[[#This Row],[Age]]),AVERAGE(Table1[Age]),Table1[[#This Row],[Age]])</f>
        <v>30.023333333333333</v>
      </c>
      <c r="S672" t="str">
        <f>PROPER(Table1[[#This Row],[Country]])</f>
        <v>United States</v>
      </c>
      <c r="T672" t="str">
        <f>TRIM(Table1[[#This Row],[Profession]])</f>
        <v>UNKNOWN</v>
      </c>
      <c r="U672" s="5">
        <f>IF(ISBLANK(H672),AVERAGEIF(Table1[Profession imputed],T672,Table1[Monthly_Income]),H672)</f>
        <v>1251.5952380952381</v>
      </c>
      <c r="V672" s="6" t="str">
        <f>PROPER(TRIM(Table1[AI_Tool]))</f>
        <v>Unknown</v>
      </c>
      <c r="W672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673" spans="1:23" x14ac:dyDescent="0.25">
      <c r="A673" t="s">
        <v>1151</v>
      </c>
      <c r="C673" t="s">
        <v>22</v>
      </c>
      <c r="D673" t="s">
        <v>44</v>
      </c>
      <c r="E673" t="s">
        <v>24</v>
      </c>
      <c r="F673" t="s">
        <v>25</v>
      </c>
      <c r="G673" t="s">
        <v>73</v>
      </c>
      <c r="I673" t="s">
        <v>280</v>
      </c>
      <c r="J673" s="6" t="s">
        <v>38</v>
      </c>
      <c r="K673" s="15">
        <v>3.1</v>
      </c>
      <c r="L673" s="5">
        <v>30</v>
      </c>
      <c r="M673" s="15">
        <v>5.6</v>
      </c>
      <c r="N673">
        <v>3</v>
      </c>
      <c r="O673">
        <v>7</v>
      </c>
      <c r="P673">
        <v>5.2</v>
      </c>
      <c r="Q673">
        <v>8.4</v>
      </c>
      <c r="R673" s="2">
        <f>IF(ISBLANK(Table1[[#This Row],[Age]]),AVERAGE(Table1[Age]),Table1[[#This Row],[Age]])</f>
        <v>30.023333333333333</v>
      </c>
      <c r="S673" t="str">
        <f>PROPER(Table1[[#This Row],[Country]])</f>
        <v>United States</v>
      </c>
      <c r="T673" t="str">
        <f>TRIM(Table1[[#This Row],[Profession]])</f>
        <v>UNKNOWN</v>
      </c>
      <c r="U673" s="5">
        <f>IF(ISBLANK(H673),AVERAGEIF(Table1[Profession imputed],T673,Table1[Monthly_Income]),H673)</f>
        <v>1251.5952380952381</v>
      </c>
      <c r="V673" s="6" t="str">
        <f>PROPER(TRIM(Table1[AI_Tool]))</f>
        <v>Unknown</v>
      </c>
      <c r="W673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674" spans="1:23" x14ac:dyDescent="0.25">
      <c r="A674" t="s">
        <v>989</v>
      </c>
      <c r="B674">
        <v>40</v>
      </c>
      <c r="C674" t="s">
        <v>22</v>
      </c>
      <c r="D674" t="s">
        <v>52</v>
      </c>
      <c r="E674" t="s">
        <v>24</v>
      </c>
      <c r="F674" t="s">
        <v>55</v>
      </c>
      <c r="G674" t="s">
        <v>979</v>
      </c>
      <c r="H674">
        <v>1252</v>
      </c>
      <c r="I674" t="s">
        <v>139</v>
      </c>
      <c r="J674" s="6" t="s">
        <v>33</v>
      </c>
      <c r="K674" s="15">
        <v>4.4000000000000004</v>
      </c>
      <c r="L674" s="5">
        <v>0</v>
      </c>
      <c r="M674" s="15">
        <v>6.1</v>
      </c>
      <c r="N674">
        <v>4</v>
      </c>
      <c r="O674">
        <v>8</v>
      </c>
      <c r="P674">
        <v>7.7</v>
      </c>
      <c r="Q674">
        <v>6.4</v>
      </c>
      <c r="R674" s="2">
        <f>IF(ISBLANK(Table1[[#This Row],[Age]]),AVERAGE(Table1[Age]),Table1[[#This Row],[Age]])</f>
        <v>40</v>
      </c>
      <c r="S674" t="str">
        <f>PROPER(Table1[[#This Row],[Country]])</f>
        <v>India</v>
      </c>
      <c r="T674" t="str">
        <f>TRIM(Table1[[#This Row],[Profession]])</f>
        <v>Senior Software Developer</v>
      </c>
      <c r="U674" s="5">
        <f>IF(ISBLANK(H674),AVERAGEIF(Table1[[#This Row],[Profession imputed]],T674,Table1[Monthly_Income]),H674)</f>
        <v>1252</v>
      </c>
      <c r="V674" s="6" t="str">
        <f>PROPER(TRIM(Table1[AI_Tool]))</f>
        <v>Microsoft Copilot</v>
      </c>
      <c r="W674" s="8">
        <f>IF(ISBLANK(Table1[[#This Row],[Time_Saved_Hours_Per_Week]]),AVERAGEIF(Table1[Satisfaction_Score],Table1[[#This Row],[Satisfaction_Score]],Table1[Time_Saved_Hours_Per_Week]),Table1[[#This Row],[Time_Saved_Hours_Per_Week]])</f>
        <v>7.7</v>
      </c>
    </row>
    <row r="675" spans="1:23" x14ac:dyDescent="0.25">
      <c r="A675" t="s">
        <v>930</v>
      </c>
      <c r="B675">
        <v>27</v>
      </c>
      <c r="C675" t="s">
        <v>29</v>
      </c>
      <c r="D675" t="s">
        <v>73</v>
      </c>
      <c r="E675" t="s">
        <v>24</v>
      </c>
      <c r="F675" t="s">
        <v>31</v>
      </c>
      <c r="G675" t="s">
        <v>929</v>
      </c>
      <c r="H675">
        <v>1258</v>
      </c>
      <c r="I675" t="s">
        <v>69</v>
      </c>
      <c r="J675" s="6" t="s">
        <v>47</v>
      </c>
      <c r="K675" s="15">
        <v>1</v>
      </c>
      <c r="L675" s="5">
        <v>20</v>
      </c>
      <c r="M675" s="15">
        <v>2.6</v>
      </c>
      <c r="N675">
        <v>4</v>
      </c>
      <c r="O675">
        <v>4</v>
      </c>
      <c r="Q675">
        <v>8.3000000000000007</v>
      </c>
      <c r="R675" s="2">
        <f>IF(ISBLANK(Table1[[#This Row],[Age]]),AVERAGE(Table1[Age]),Table1[[#This Row],[Age]])</f>
        <v>27</v>
      </c>
      <c r="S675" t="str">
        <f>PROPER(Table1[[#This Row],[Country]])</f>
        <v>Unknown</v>
      </c>
      <c r="T675" t="str">
        <f>TRIM(Table1[[#This Row],[Profession]])</f>
        <v>Research Scientist / Data Analyst</v>
      </c>
      <c r="U675" s="5">
        <f>IF(ISBLANK(H675),AVERAGEIF(Table1[[#This Row],[Profession imputed]],T675,Table1[Monthly_Income]),H675)</f>
        <v>1258</v>
      </c>
      <c r="V675" s="6" t="str">
        <f>PROPER(TRIM(Table1[AI_Tool]))</f>
        <v>Perplexity Ai</v>
      </c>
      <c r="W675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676" spans="1:23" x14ac:dyDescent="0.25">
      <c r="A676" t="s">
        <v>88</v>
      </c>
      <c r="B676">
        <v>30</v>
      </c>
      <c r="C676" t="s">
        <v>29</v>
      </c>
      <c r="D676" t="s">
        <v>89</v>
      </c>
      <c r="E676" t="s">
        <v>24</v>
      </c>
      <c r="F676" t="s">
        <v>55</v>
      </c>
      <c r="G676" t="s">
        <v>90</v>
      </c>
      <c r="H676">
        <v>1262</v>
      </c>
      <c r="I676" t="s">
        <v>1186</v>
      </c>
      <c r="J676" s="6" t="s">
        <v>27</v>
      </c>
      <c r="K676" s="15">
        <v>8.5</v>
      </c>
      <c r="L676" s="5">
        <v>20</v>
      </c>
      <c r="M676" s="15">
        <v>8.6999999999999993</v>
      </c>
      <c r="N676">
        <v>5</v>
      </c>
      <c r="O676">
        <v>8</v>
      </c>
      <c r="P676">
        <v>15.6</v>
      </c>
      <c r="Q676">
        <v>0</v>
      </c>
      <c r="R676" s="2">
        <f>IF(ISBLANK(Table1[[#This Row],[Age]]),AVERAGE(Table1[Age]),Table1[[#This Row],[Age]])</f>
        <v>30</v>
      </c>
      <c r="S676" t="str">
        <f>PROPER(Table1[[#This Row],[Country]])</f>
        <v>Nigeria</v>
      </c>
      <c r="T676" t="str">
        <f>TRIM(Table1[[#This Row],[Profession]])</f>
        <v>AI Customer Support Specialist</v>
      </c>
      <c r="U676" s="5">
        <f>IF(ISBLANK(H676),AVERAGEIF(Table1[[#This Row],[Profession imputed]],T676,Table1[Monthly_Income]),H676)</f>
        <v>1262</v>
      </c>
      <c r="V676" s="6" t="str">
        <f>PROPER(TRIM(Table1[AI_Tool]))</f>
        <v>Google Gemini</v>
      </c>
      <c r="W676" s="8">
        <f>IF(ISBLANK(Table1[[#This Row],[Time_Saved_Hours_Per_Week]]),AVERAGEIF(Table1[Satisfaction_Score],Table1[[#This Row],[Satisfaction_Score]],Table1[Time_Saved_Hours_Per_Week]),Table1[[#This Row],[Time_Saved_Hours_Per_Week]])</f>
        <v>15.6</v>
      </c>
    </row>
    <row r="677" spans="1:23" x14ac:dyDescent="0.25">
      <c r="A677" t="s">
        <v>562</v>
      </c>
      <c r="B677">
        <v>61</v>
      </c>
      <c r="C677" t="s">
        <v>29</v>
      </c>
      <c r="D677" t="s">
        <v>30</v>
      </c>
      <c r="E677" t="s">
        <v>24</v>
      </c>
      <c r="F677" t="s">
        <v>45</v>
      </c>
      <c r="G677" t="s">
        <v>520</v>
      </c>
      <c r="H677">
        <v>1275</v>
      </c>
      <c r="I677" t="s">
        <v>271</v>
      </c>
      <c r="J677" s="6" t="s">
        <v>33</v>
      </c>
      <c r="K677" s="15">
        <v>3.4</v>
      </c>
      <c r="L677" s="5">
        <v>0</v>
      </c>
      <c r="M677" s="15">
        <v>6.8</v>
      </c>
      <c r="N677">
        <v>5</v>
      </c>
      <c r="O677">
        <v>10</v>
      </c>
      <c r="P677">
        <v>7.4</v>
      </c>
      <c r="Q677">
        <v>7.5</v>
      </c>
      <c r="R677" s="2">
        <f>IF(ISBLANK(Table1[[#This Row],[Age]]),AVERAGE(Table1[Age]),Table1[[#This Row],[Age]])</f>
        <v>61</v>
      </c>
      <c r="S677" t="str">
        <f>PROPER(Table1[[#This Row],[Country]])</f>
        <v>Brazil</v>
      </c>
      <c r="T677" t="str">
        <f>TRIM(Table1[[#This Row],[Profession]])</f>
        <v>Data Science Student</v>
      </c>
      <c r="U677" s="5">
        <f>IF(ISBLANK(H677),AVERAGEIF(Table1[Profession imputed],T677,Table1[Monthly_Income]),H677)</f>
        <v>1275</v>
      </c>
      <c r="V677" s="6" t="str">
        <f>PROPER(TRIM(Table1[AI_Tool]))</f>
        <v>Chat Gpt</v>
      </c>
      <c r="W677" s="8">
        <f>IF(ISBLANK(Table1[[#This Row],[Time_Saved_Hours_Per_Week]]),AVERAGEIF(Table1[Satisfaction_Score],Table1[[#This Row],[Satisfaction_Score]],Table1[Time_Saved_Hours_Per_Week]),Table1[[#This Row],[Time_Saved_Hours_Per_Week]])</f>
        <v>7.4</v>
      </c>
    </row>
    <row r="678" spans="1:23" x14ac:dyDescent="0.25">
      <c r="A678" t="s">
        <v>596</v>
      </c>
      <c r="B678">
        <v>39</v>
      </c>
      <c r="C678" t="s">
        <v>22</v>
      </c>
      <c r="D678" t="s">
        <v>35</v>
      </c>
      <c r="E678" t="s">
        <v>24</v>
      </c>
      <c r="F678" t="s">
        <v>218</v>
      </c>
      <c r="G678" t="s">
        <v>595</v>
      </c>
      <c r="H678">
        <v>1278</v>
      </c>
      <c r="I678" t="s">
        <v>271</v>
      </c>
      <c r="J678" s="6" t="s">
        <v>75</v>
      </c>
      <c r="K678" s="15">
        <v>1.4</v>
      </c>
      <c r="L678" s="5">
        <v>30</v>
      </c>
      <c r="M678" s="15">
        <v>3.5</v>
      </c>
      <c r="N678">
        <v>4</v>
      </c>
      <c r="O678">
        <v>6</v>
      </c>
      <c r="P678">
        <v>3.8</v>
      </c>
      <c r="Q678">
        <v>6.7</v>
      </c>
      <c r="R678" s="2">
        <f>IF(ISBLANK(Table1[[#This Row],[Age]]),AVERAGE(Table1[Age]),Table1[[#This Row],[Age]])</f>
        <v>39</v>
      </c>
      <c r="S678" t="str">
        <f>PROPER(Table1[[#This Row],[Country]])</f>
        <v>Philippines</v>
      </c>
      <c r="T678" t="str">
        <f>TRIM(Table1[[#This Row],[Profession]])</f>
        <v>Digital Content Creator / Social Media Manager</v>
      </c>
      <c r="U678" s="5">
        <f>IF(ISBLANK(H678),AVERAGEIF(Table1[Profession imputed],T678,Table1[Monthly_Income]),H678)</f>
        <v>1278</v>
      </c>
      <c r="V678" s="6" t="str">
        <f>PROPER(TRIM(Table1[AI_Tool]))</f>
        <v>Chat Gpt</v>
      </c>
      <c r="W678" s="8">
        <f>IF(ISBLANK(Table1[[#This Row],[Time_Saved_Hours_Per_Week]]),AVERAGEIF(Table1[Satisfaction_Score],Table1[[#This Row],[Satisfaction_Score]],Table1[Time_Saved_Hours_Per_Week]),Table1[[#This Row],[Time_Saved_Hours_Per_Week]])</f>
        <v>3.8</v>
      </c>
    </row>
    <row r="679" spans="1:23" x14ac:dyDescent="0.25">
      <c r="A679" t="s">
        <v>932</v>
      </c>
      <c r="B679">
        <v>26</v>
      </c>
      <c r="C679" t="s">
        <v>29</v>
      </c>
      <c r="D679" t="s">
        <v>73</v>
      </c>
      <c r="E679" t="s">
        <v>24</v>
      </c>
      <c r="F679" t="s">
        <v>31</v>
      </c>
      <c r="G679" t="s">
        <v>929</v>
      </c>
      <c r="H679">
        <v>1288</v>
      </c>
      <c r="I679" t="s">
        <v>69</v>
      </c>
      <c r="J679" s="6" t="s">
        <v>47</v>
      </c>
      <c r="K679" s="15">
        <v>1</v>
      </c>
      <c r="L679" s="5">
        <v>20</v>
      </c>
      <c r="M679" s="15">
        <v>2.6</v>
      </c>
      <c r="N679">
        <v>4</v>
      </c>
      <c r="O679">
        <v>4</v>
      </c>
      <c r="Q679">
        <v>8.3000000000000007</v>
      </c>
      <c r="R679" s="2">
        <f>IF(ISBLANK(Table1[[#This Row],[Age]]),AVERAGE(Table1[Age]),Table1[[#This Row],[Age]])</f>
        <v>26</v>
      </c>
      <c r="S679" t="str">
        <f>PROPER(Table1[[#This Row],[Country]])</f>
        <v>Unknown</v>
      </c>
      <c r="T679" t="str">
        <f>TRIM(Table1[[#This Row],[Profession]])</f>
        <v>Research Scientist / Data Analyst</v>
      </c>
      <c r="U679" s="5">
        <f>IF(ISBLANK(H679),AVERAGEIF(Table1[[#This Row],[Profession imputed]],T679,Table1[Monthly_Income]),H679)</f>
        <v>1288</v>
      </c>
      <c r="V679" s="6" t="str">
        <f>PROPER(TRIM(Table1[AI_Tool]))</f>
        <v>Perplexity Ai</v>
      </c>
      <c r="W679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680" spans="1:23" x14ac:dyDescent="0.25">
      <c r="A680" t="s">
        <v>1041</v>
      </c>
      <c r="B680">
        <v>41</v>
      </c>
      <c r="C680" t="s">
        <v>29</v>
      </c>
      <c r="D680" t="s">
        <v>52</v>
      </c>
      <c r="E680" t="s">
        <v>24</v>
      </c>
      <c r="F680" t="s">
        <v>45</v>
      </c>
      <c r="G680" t="s">
        <v>1038</v>
      </c>
      <c r="H680">
        <v>1296</v>
      </c>
      <c r="I680" t="s">
        <v>37</v>
      </c>
      <c r="J680" s="6" t="s">
        <v>33</v>
      </c>
      <c r="K680" s="15">
        <v>0.6</v>
      </c>
      <c r="L680" s="5">
        <v>0</v>
      </c>
      <c r="M680" s="15">
        <v>3.3</v>
      </c>
      <c r="N680">
        <v>3</v>
      </c>
      <c r="O680">
        <v>4</v>
      </c>
      <c r="P680">
        <v>3</v>
      </c>
      <c r="Q680">
        <v>9.5</v>
      </c>
      <c r="R680" s="2">
        <f>IF(ISBLANK(Table1[[#This Row],[Age]]),AVERAGE(Table1[Age]),Table1[[#This Row],[Age]])</f>
        <v>41</v>
      </c>
      <c r="S680" t="str">
        <f>PROPER(Table1[[#This Row],[Country]])</f>
        <v>India</v>
      </c>
      <c r="T680" t="str">
        <f>TRIM(Table1[[#This Row],[Profession]])</f>
        <v>Software Developer (Diploma Qualified)</v>
      </c>
      <c r="U680" s="5">
        <f>IF(ISBLANK(H680),AVERAGEIF(Table1[[#This Row],[Profession imputed]],T680,Table1[Monthly_Income]),H680)</f>
        <v>1296</v>
      </c>
      <c r="V680" s="6" t="str">
        <f>PROPER(TRIM(Table1[AI_Tool]))</f>
        <v>Grammarly</v>
      </c>
      <c r="W680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681" spans="1:23" x14ac:dyDescent="0.25">
      <c r="A681" t="s">
        <v>330</v>
      </c>
      <c r="B681">
        <v>31</v>
      </c>
      <c r="C681" t="s">
        <v>29</v>
      </c>
      <c r="D681" t="s">
        <v>30</v>
      </c>
      <c r="E681" t="s">
        <v>24</v>
      </c>
      <c r="F681" t="s">
        <v>25</v>
      </c>
      <c r="G681" t="s">
        <v>328</v>
      </c>
      <c r="H681">
        <v>1303</v>
      </c>
      <c r="I681" t="s">
        <v>58</v>
      </c>
      <c r="J681" s="6" t="s">
        <v>75</v>
      </c>
      <c r="K681" s="15">
        <v>2.1</v>
      </c>
      <c r="L681" s="5">
        <v>0</v>
      </c>
      <c r="M681" s="15">
        <v>5.4</v>
      </c>
      <c r="N681">
        <v>2</v>
      </c>
      <c r="O681">
        <v>6</v>
      </c>
      <c r="P681">
        <v>2</v>
      </c>
      <c r="Q681">
        <v>9.8000000000000007</v>
      </c>
      <c r="R681" s="2">
        <f>IF(ISBLANK(Table1[[#This Row],[Age]]),AVERAGE(Table1[Age]),Table1[[#This Row],[Age]])</f>
        <v>31</v>
      </c>
      <c r="S681" t="str">
        <f>PROPER(Table1[[#This Row],[Country]])</f>
        <v>Brazil</v>
      </c>
      <c r="T681" t="str">
        <f>TRIM(Table1[[#This Row],[Profession]])</f>
        <v>Content Creator</v>
      </c>
      <c r="U681" s="5">
        <f>IF(ISBLANK(H681),AVERAGEIF(Table1[Profession imputed],T681,Table1[Monthly_Income]),H681)</f>
        <v>1303</v>
      </c>
      <c r="V681" s="6" t="str">
        <f>PROPER(TRIM(Table1[AI_Tool]))</f>
        <v>Claude</v>
      </c>
      <c r="W681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682" spans="1:23" x14ac:dyDescent="0.25">
      <c r="A682" t="s">
        <v>1039</v>
      </c>
      <c r="B682">
        <v>39</v>
      </c>
      <c r="C682" t="s">
        <v>29</v>
      </c>
      <c r="D682" t="s">
        <v>52</v>
      </c>
      <c r="E682" t="s">
        <v>24</v>
      </c>
      <c r="F682" t="s">
        <v>45</v>
      </c>
      <c r="G682" t="s">
        <v>1038</v>
      </c>
      <c r="H682">
        <v>1305</v>
      </c>
      <c r="I682" t="s">
        <v>37</v>
      </c>
      <c r="J682" s="6" t="s">
        <v>33</v>
      </c>
      <c r="K682" s="15">
        <v>0.6</v>
      </c>
      <c r="L682" s="5">
        <v>0</v>
      </c>
      <c r="M682" s="15">
        <v>3.3</v>
      </c>
      <c r="N682">
        <v>3</v>
      </c>
      <c r="O682">
        <v>4</v>
      </c>
      <c r="P682">
        <v>3</v>
      </c>
      <c r="Q682">
        <v>9.5</v>
      </c>
      <c r="R682" s="2">
        <f>IF(ISBLANK(Table1[[#This Row],[Age]]),AVERAGE(Table1[Age]),Table1[[#This Row],[Age]])</f>
        <v>39</v>
      </c>
      <c r="S682" t="str">
        <f>PROPER(Table1[[#This Row],[Country]])</f>
        <v>India</v>
      </c>
      <c r="T682" t="str">
        <f>TRIM(Table1[[#This Row],[Profession]])</f>
        <v>Software Developer (Diploma Qualified)</v>
      </c>
      <c r="U682" s="5">
        <f>IF(ISBLANK(H682),AVERAGEIF(Table1[[#This Row],[Profession imputed]],T682,Table1[Monthly_Income]),H682)</f>
        <v>1305</v>
      </c>
      <c r="V682" s="6" t="str">
        <f>PROPER(TRIM(Table1[AI_Tool]))</f>
        <v>Grammarly</v>
      </c>
      <c r="W682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683" spans="1:23" x14ac:dyDescent="0.25">
      <c r="A683" t="s">
        <v>1044</v>
      </c>
      <c r="B683">
        <v>40</v>
      </c>
      <c r="C683" t="s">
        <v>29</v>
      </c>
      <c r="D683" t="s">
        <v>52</v>
      </c>
      <c r="E683" t="s">
        <v>24</v>
      </c>
      <c r="F683" t="s">
        <v>45</v>
      </c>
      <c r="G683" t="s">
        <v>1038</v>
      </c>
      <c r="H683">
        <v>1312</v>
      </c>
      <c r="I683" t="s">
        <v>37</v>
      </c>
      <c r="J683" s="6" t="s">
        <v>33</v>
      </c>
      <c r="K683" s="15">
        <v>0.6</v>
      </c>
      <c r="L683" s="5">
        <v>0</v>
      </c>
      <c r="M683" s="15">
        <v>3.3</v>
      </c>
      <c r="N683">
        <v>3</v>
      </c>
      <c r="O683">
        <v>4</v>
      </c>
      <c r="P683">
        <v>3</v>
      </c>
      <c r="Q683">
        <v>9.5</v>
      </c>
      <c r="R683" s="2">
        <f>IF(ISBLANK(Table1[[#This Row],[Age]]),AVERAGE(Table1[Age]),Table1[[#This Row],[Age]])</f>
        <v>40</v>
      </c>
      <c r="S683" t="str">
        <f>PROPER(Table1[[#This Row],[Country]])</f>
        <v>India</v>
      </c>
      <c r="T683" t="str">
        <f>TRIM(Table1[[#This Row],[Profession]])</f>
        <v>Software Developer (Diploma Qualified)</v>
      </c>
      <c r="U683" s="5">
        <f>IF(ISBLANK(H683),AVERAGEIF(Table1[[#This Row],[Profession imputed]],T683,Table1[Monthly_Income]),H683)</f>
        <v>1312</v>
      </c>
      <c r="V683" s="6" t="str">
        <f>PROPER(TRIM(Table1[AI_Tool]))</f>
        <v>Grammarly</v>
      </c>
      <c r="W683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684" spans="1:23" x14ac:dyDescent="0.25">
      <c r="A684" t="s">
        <v>1138</v>
      </c>
      <c r="B684">
        <v>63</v>
      </c>
      <c r="C684" t="s">
        <v>22</v>
      </c>
      <c r="D684" t="s">
        <v>52</v>
      </c>
      <c r="E684" t="s">
        <v>24</v>
      </c>
      <c r="F684" t="s">
        <v>50</v>
      </c>
      <c r="G684" t="s">
        <v>73</v>
      </c>
      <c r="H684">
        <v>1320</v>
      </c>
      <c r="I684" t="s">
        <v>58</v>
      </c>
      <c r="J684" s="6" t="s">
        <v>47</v>
      </c>
      <c r="K684" s="15">
        <v>1.7</v>
      </c>
      <c r="L684" s="5">
        <v>0</v>
      </c>
      <c r="M684" s="15">
        <v>5.2</v>
      </c>
      <c r="N684">
        <v>3</v>
      </c>
      <c r="O684">
        <v>6</v>
      </c>
      <c r="P684">
        <v>3.5</v>
      </c>
      <c r="Q684">
        <v>9.4</v>
      </c>
      <c r="R684" s="2">
        <f>IF(ISBLANK(Table1[[#This Row],[Age]]),AVERAGE(Table1[Age]),Table1[[#This Row],[Age]])</f>
        <v>63</v>
      </c>
      <c r="S684" t="str">
        <f>PROPER(Table1[[#This Row],[Country]])</f>
        <v>India</v>
      </c>
      <c r="T684" t="str">
        <f>TRIM(Table1[[#This Row],[Profession]])</f>
        <v>UNKNOWN</v>
      </c>
      <c r="U684" s="5">
        <f>IF(ISBLANK(H684),AVERAGEIF(Table1[[#This Row],[Profession imputed]],T684,Table1[Monthly_Income]),H684)</f>
        <v>1320</v>
      </c>
      <c r="V684" s="6" t="str">
        <f>PROPER(TRIM(Table1[AI_Tool]))</f>
        <v>Claude</v>
      </c>
      <c r="W684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685" spans="1:23" x14ac:dyDescent="0.25">
      <c r="A685" t="s">
        <v>376</v>
      </c>
      <c r="B685">
        <v>34</v>
      </c>
      <c r="C685" t="s">
        <v>29</v>
      </c>
      <c r="D685" t="s">
        <v>35</v>
      </c>
      <c r="E685" t="s">
        <v>24</v>
      </c>
      <c r="F685" t="s">
        <v>25</v>
      </c>
      <c r="G685" s="16" t="s">
        <v>367</v>
      </c>
      <c r="H685">
        <v>1326</v>
      </c>
      <c r="I685" t="s">
        <v>271</v>
      </c>
      <c r="J685" s="6" t="s">
        <v>38</v>
      </c>
      <c r="K685" s="15">
        <v>5</v>
      </c>
      <c r="L685" s="5">
        <v>20</v>
      </c>
      <c r="M685" s="15">
        <v>6.2</v>
      </c>
      <c r="N685">
        <v>2</v>
      </c>
      <c r="O685">
        <v>6</v>
      </c>
      <c r="P685">
        <v>12</v>
      </c>
      <c r="Q685">
        <v>6.9</v>
      </c>
      <c r="R685" s="2">
        <f>IF(ISBLANK(Table1[[#This Row],[Age]]),AVERAGE(Table1[Age]),Table1[[#This Row],[Age]])</f>
        <v>34</v>
      </c>
      <c r="S685" t="str">
        <f>PROPER(Table1[[#This Row],[Country]])</f>
        <v>Philippines</v>
      </c>
      <c r="T685" t="str">
        <f>TRIM(Table1[[#This Row],[Profession]])</f>
        <v>Content Writer</v>
      </c>
      <c r="U685" s="5">
        <f>IF(ISBLANK(H685),AVERAGEIF(Table1[[#This Row],[Profession imputed]],T685,Table1[Monthly_Income]),H685)</f>
        <v>1326</v>
      </c>
      <c r="V685" s="6" t="str">
        <f>PROPER(TRIM(Table1[AI_Tool]))</f>
        <v>Chat Gpt</v>
      </c>
      <c r="W685" s="8">
        <f>IF(ISBLANK(Table1[[#This Row],[Time_Saved_Hours_Per_Week]]),AVERAGEIF(Table1[Satisfaction_Score],Table1[[#This Row],[Satisfaction_Score]],Table1[Time_Saved_Hours_Per_Week]),Table1[[#This Row],[Time_Saved_Hours_Per_Week]])</f>
        <v>12</v>
      </c>
    </row>
    <row r="686" spans="1:23" x14ac:dyDescent="0.25">
      <c r="A686" t="s">
        <v>1004</v>
      </c>
      <c r="B686">
        <v>36</v>
      </c>
      <c r="C686" t="s">
        <v>22</v>
      </c>
      <c r="D686" t="s">
        <v>35</v>
      </c>
      <c r="E686" t="s">
        <v>24</v>
      </c>
      <c r="F686" t="s">
        <v>31</v>
      </c>
      <c r="G686" t="s">
        <v>1003</v>
      </c>
      <c r="H686">
        <v>1339</v>
      </c>
      <c r="I686" t="s">
        <v>69</v>
      </c>
      <c r="J686" s="6" t="s">
        <v>33</v>
      </c>
      <c r="K686" s="15">
        <v>2.1</v>
      </c>
      <c r="L686" s="5">
        <v>0</v>
      </c>
      <c r="M686" s="15">
        <v>3.8</v>
      </c>
      <c r="N686">
        <v>4</v>
      </c>
      <c r="O686">
        <v>5</v>
      </c>
      <c r="P686">
        <v>2.8</v>
      </c>
      <c r="Q686">
        <v>7.8</v>
      </c>
      <c r="R686" s="2">
        <f>IF(ISBLANK(Table1[[#This Row],[Age]]),AVERAGE(Table1[Age]),Table1[[#This Row],[Age]])</f>
        <v>36</v>
      </c>
      <c r="S686" t="str">
        <f>PROPER(Table1[[#This Row],[Country]])</f>
        <v>Philippines</v>
      </c>
      <c r="T686" t="str">
        <f>TRIM(Table1[[#This Row],[Profession]])</f>
        <v>Senior Software Engineer / AI Solutions Architect</v>
      </c>
      <c r="U686" s="5">
        <f>IF(ISBLANK(H686),AVERAGEIF(Table1[[#This Row],[Profession imputed]],T686,Table1[Monthly_Income]),H686)</f>
        <v>1339</v>
      </c>
      <c r="V686" s="6" t="str">
        <f>PROPER(TRIM(Table1[AI_Tool]))</f>
        <v>Perplexity Ai</v>
      </c>
      <c r="W686" s="8">
        <f>IF(ISBLANK(Table1[[#This Row],[Time_Saved_Hours_Per_Week]]),AVERAGEIF(Table1[Satisfaction_Score],Table1[[#This Row],[Satisfaction_Score]],Table1[Time_Saved_Hours_Per_Week]),Table1[[#This Row],[Time_Saved_Hours_Per_Week]])</f>
        <v>2.8</v>
      </c>
    </row>
    <row r="687" spans="1:23" x14ac:dyDescent="0.25">
      <c r="A687" t="s">
        <v>97</v>
      </c>
      <c r="B687">
        <v>31</v>
      </c>
      <c r="C687" t="s">
        <v>29</v>
      </c>
      <c r="D687" t="s">
        <v>89</v>
      </c>
      <c r="E687" t="s">
        <v>24</v>
      </c>
      <c r="F687" t="s">
        <v>55</v>
      </c>
      <c r="G687" t="s">
        <v>90</v>
      </c>
      <c r="H687">
        <v>1344</v>
      </c>
      <c r="I687" t="s">
        <v>1186</v>
      </c>
      <c r="J687" s="6" t="s">
        <v>27</v>
      </c>
      <c r="K687" s="15">
        <v>8.5</v>
      </c>
      <c r="L687" s="5">
        <v>20</v>
      </c>
      <c r="M687" s="15">
        <v>8.6999999999999993</v>
      </c>
      <c r="N687">
        <v>5</v>
      </c>
      <c r="O687">
        <v>8</v>
      </c>
      <c r="P687">
        <v>15.6</v>
      </c>
      <c r="Q687">
        <v>0</v>
      </c>
      <c r="R687" s="2">
        <f>IF(ISBLANK(Table1[[#This Row],[Age]]),AVERAGE(Table1[Age]),Table1[[#This Row],[Age]])</f>
        <v>31</v>
      </c>
      <c r="S687" t="str">
        <f>PROPER(Table1[[#This Row],[Country]])</f>
        <v>Nigeria</v>
      </c>
      <c r="T687" t="str">
        <f>TRIM(Table1[[#This Row],[Profession]])</f>
        <v>AI Customer Support Specialist</v>
      </c>
      <c r="U687" s="5">
        <f>IF(ISBLANK(H687),AVERAGEIF(Table1[[#This Row],[Profession imputed]],T687,Table1[Monthly_Income]),H687)</f>
        <v>1344</v>
      </c>
      <c r="V687" s="6" t="str">
        <f>PROPER(TRIM(Table1[AI_Tool]))</f>
        <v>Google Gemini</v>
      </c>
      <c r="W687" s="8">
        <f>IF(ISBLANK(Table1[[#This Row],[Time_Saved_Hours_Per_Week]]),AVERAGEIF(Table1[Satisfaction_Score],Table1[[#This Row],[Satisfaction_Score]],Table1[Time_Saved_Hours_Per_Week]),Table1[[#This Row],[Time_Saved_Hours_Per_Week]])</f>
        <v>15.6</v>
      </c>
    </row>
    <row r="688" spans="1:23" x14ac:dyDescent="0.25">
      <c r="A688" t="s">
        <v>563</v>
      </c>
      <c r="B688">
        <v>63</v>
      </c>
      <c r="C688" t="s">
        <v>29</v>
      </c>
      <c r="D688" t="s">
        <v>30</v>
      </c>
      <c r="E688" t="s">
        <v>24</v>
      </c>
      <c r="F688" t="s">
        <v>45</v>
      </c>
      <c r="G688" t="s">
        <v>520</v>
      </c>
      <c r="H688">
        <v>1345</v>
      </c>
      <c r="I688" t="s">
        <v>271</v>
      </c>
      <c r="J688" s="6" t="s">
        <v>33</v>
      </c>
      <c r="K688" s="15">
        <v>3.4</v>
      </c>
      <c r="L688" s="5">
        <v>0</v>
      </c>
      <c r="M688" s="15">
        <v>6.8</v>
      </c>
      <c r="N688">
        <v>5</v>
      </c>
      <c r="O688">
        <v>10</v>
      </c>
      <c r="P688">
        <v>7.4</v>
      </c>
      <c r="Q688">
        <v>7.5</v>
      </c>
      <c r="R688" s="2">
        <f>IF(ISBLANK(Table1[[#This Row],[Age]]),AVERAGE(Table1[Age]),Table1[[#This Row],[Age]])</f>
        <v>63</v>
      </c>
      <c r="S688" t="str">
        <f>PROPER(Table1[[#This Row],[Country]])</f>
        <v>Brazil</v>
      </c>
      <c r="T688" t="str">
        <f>TRIM(Table1[[#This Row],[Profession]])</f>
        <v>Data Science Student</v>
      </c>
      <c r="U688" s="5">
        <f>IF(ISBLANK(H688),AVERAGEIF(Table1[Profession imputed],T688,Table1[Monthly_Income]),H688)</f>
        <v>1345</v>
      </c>
      <c r="V688" s="6" t="str">
        <f>PROPER(TRIM(Table1[AI_Tool]))</f>
        <v>Chat Gpt</v>
      </c>
      <c r="W688" s="8">
        <f>IF(ISBLANK(Table1[[#This Row],[Time_Saved_Hours_Per_Week]]),AVERAGEIF(Table1[Satisfaction_Score],Table1[[#This Row],[Satisfaction_Score]],Table1[Time_Saved_Hours_Per_Week]),Table1[[#This Row],[Time_Saved_Hours_Per_Week]])</f>
        <v>7.4</v>
      </c>
    </row>
    <row r="689" spans="1:23" x14ac:dyDescent="0.25">
      <c r="A689" t="s">
        <v>368</v>
      </c>
      <c r="B689">
        <v>35</v>
      </c>
      <c r="C689" t="s">
        <v>29</v>
      </c>
      <c r="D689" t="s">
        <v>35</v>
      </c>
      <c r="E689" t="s">
        <v>24</v>
      </c>
      <c r="F689" t="s">
        <v>25</v>
      </c>
      <c r="G689" t="s">
        <v>367</v>
      </c>
      <c r="H689">
        <v>1354</v>
      </c>
      <c r="I689" t="s">
        <v>271</v>
      </c>
      <c r="J689" s="6" t="s">
        <v>38</v>
      </c>
      <c r="K689" s="15">
        <v>5</v>
      </c>
      <c r="L689" s="5">
        <v>20</v>
      </c>
      <c r="M689" s="15">
        <v>6.2</v>
      </c>
      <c r="N689">
        <v>2</v>
      </c>
      <c r="O689">
        <v>6</v>
      </c>
      <c r="P689">
        <v>12</v>
      </c>
      <c r="Q689">
        <v>6.9</v>
      </c>
      <c r="R689" s="2">
        <f>IF(ISBLANK(Table1[[#This Row],[Age]]),AVERAGE(Table1[Age]),Table1[[#This Row],[Age]])</f>
        <v>35</v>
      </c>
      <c r="S689" t="str">
        <f>PROPER(Table1[[#This Row],[Country]])</f>
        <v>Philippines</v>
      </c>
      <c r="T689" t="str">
        <f>TRIM(Table1[[#This Row],[Profession]])</f>
        <v>Content Writer</v>
      </c>
      <c r="U689" s="5">
        <f>IF(ISBLANK(H689),AVERAGEIF(Table1[[#This Row],[Profession imputed]],T689,Table1[Monthly_Income]),H689)</f>
        <v>1354</v>
      </c>
      <c r="V689" s="6" t="str">
        <f>PROPER(TRIM(Table1[AI_Tool]))</f>
        <v>Chat Gpt</v>
      </c>
      <c r="W689" s="8">
        <f>IF(ISBLANK(Table1[[#This Row],[Time_Saved_Hours_Per_Week]]),AVERAGEIF(Table1[Satisfaction_Score],Table1[[#This Row],[Satisfaction_Score]],Table1[Time_Saved_Hours_Per_Week]),Table1[[#This Row],[Time_Saved_Hours_Per_Week]])</f>
        <v>12</v>
      </c>
    </row>
    <row r="690" spans="1:23" x14ac:dyDescent="0.25">
      <c r="A690" t="s">
        <v>567</v>
      </c>
      <c r="B690">
        <v>35</v>
      </c>
      <c r="C690" t="s">
        <v>22</v>
      </c>
      <c r="D690" t="s">
        <v>30</v>
      </c>
      <c r="E690" t="s">
        <v>24</v>
      </c>
      <c r="F690" t="s">
        <v>25</v>
      </c>
      <c r="G690" t="s">
        <v>520</v>
      </c>
      <c r="H690">
        <v>1367</v>
      </c>
      <c r="I690" t="s">
        <v>253</v>
      </c>
      <c r="J690" s="6" t="s">
        <v>33</v>
      </c>
      <c r="K690" s="15">
        <v>1.7</v>
      </c>
      <c r="L690" s="5">
        <v>20</v>
      </c>
      <c r="M690" s="15">
        <v>5.6</v>
      </c>
      <c r="N690">
        <v>4</v>
      </c>
      <c r="O690">
        <v>5</v>
      </c>
      <c r="P690">
        <v>6.4</v>
      </c>
      <c r="Q690">
        <v>9.6</v>
      </c>
      <c r="R690" s="2">
        <f>IF(ISBLANK(Table1[[#This Row],[Age]]),AVERAGE(Table1[Age]),Table1[[#This Row],[Age]])</f>
        <v>35</v>
      </c>
      <c r="S690" t="str">
        <f>PROPER(Table1[[#This Row],[Country]])</f>
        <v>Brazil</v>
      </c>
      <c r="T690" t="str">
        <f>TRIM(Table1[[#This Row],[Profession]])</f>
        <v>Data Science Student</v>
      </c>
      <c r="U690" s="5">
        <f>IF(ISBLANK(H690),AVERAGEIF(Table1[Profession imputed],T690,Table1[Monthly_Income]),H690)</f>
        <v>1367</v>
      </c>
      <c r="V690" s="6" t="str">
        <f>PROPER(TRIM(Table1[AI_Tool]))</f>
        <v>Meta Ai</v>
      </c>
      <c r="W690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691" spans="1:23" x14ac:dyDescent="0.25">
      <c r="A691" t="s">
        <v>61</v>
      </c>
      <c r="B691">
        <v>45</v>
      </c>
      <c r="C691" t="s">
        <v>22</v>
      </c>
      <c r="D691" t="s">
        <v>30</v>
      </c>
      <c r="E691" t="s">
        <v>24</v>
      </c>
      <c r="F691" t="s">
        <v>45</v>
      </c>
      <c r="G691" t="s">
        <v>46</v>
      </c>
      <c r="H691">
        <v>1375</v>
      </c>
      <c r="I691" t="s">
        <v>1186</v>
      </c>
      <c r="J691" s="6" t="s">
        <v>47</v>
      </c>
      <c r="K691" s="15">
        <v>4.2</v>
      </c>
      <c r="L691" s="5">
        <v>0</v>
      </c>
      <c r="M691" s="15">
        <v>5.9</v>
      </c>
      <c r="N691">
        <v>3</v>
      </c>
      <c r="O691">
        <v>6</v>
      </c>
      <c r="P691">
        <v>5.6</v>
      </c>
      <c r="Q691">
        <v>10</v>
      </c>
      <c r="R691" s="2">
        <f>IF(ISBLANK(Table1[[#This Row],[Age]]),AVERAGE(Table1[Age]),Table1[[#This Row],[Age]])</f>
        <v>45</v>
      </c>
      <c r="S691" t="str">
        <f>PROPER(Table1[[#This Row],[Country]])</f>
        <v>Brazil</v>
      </c>
      <c r="T691" t="str">
        <f>TRIM(Table1[[#This Row],[Profession]])</f>
        <v>Administrative Assistant</v>
      </c>
      <c r="U691" s="5">
        <f>IF(ISBLANK(H691),AVERAGEIF(Table1[[#This Row],[Profession imputed]],T691,Table1[Monthly_Income]),H691)</f>
        <v>1375</v>
      </c>
      <c r="V691" s="6" t="str">
        <f>PROPER(TRIM(Table1[AI_Tool]))</f>
        <v>Google Gemini</v>
      </c>
      <c r="W691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692" spans="1:23" x14ac:dyDescent="0.25">
      <c r="A692" t="s">
        <v>1162</v>
      </c>
      <c r="B692">
        <v>65</v>
      </c>
      <c r="C692" t="s">
        <v>22</v>
      </c>
      <c r="D692" t="s">
        <v>52</v>
      </c>
      <c r="E692" t="s">
        <v>24</v>
      </c>
      <c r="F692" t="s">
        <v>50</v>
      </c>
      <c r="G692" t="s">
        <v>73</v>
      </c>
      <c r="H692">
        <v>1376</v>
      </c>
      <c r="I692" t="s">
        <v>58</v>
      </c>
      <c r="J692" s="6" t="s">
        <v>47</v>
      </c>
      <c r="K692" s="15">
        <v>1.7</v>
      </c>
      <c r="L692" s="5">
        <v>0</v>
      </c>
      <c r="M692" s="15">
        <v>5.2</v>
      </c>
      <c r="N692">
        <v>3</v>
      </c>
      <c r="O692">
        <v>6</v>
      </c>
      <c r="P692">
        <v>3.5</v>
      </c>
      <c r="Q692">
        <v>9.4</v>
      </c>
      <c r="R692" s="2">
        <f>IF(ISBLANK(Table1[[#This Row],[Age]]),AVERAGE(Table1[Age]),Table1[[#This Row],[Age]])</f>
        <v>65</v>
      </c>
      <c r="S692" t="str">
        <f>PROPER(Table1[[#This Row],[Country]])</f>
        <v>India</v>
      </c>
      <c r="T692" t="str">
        <f>TRIM(Table1[[#This Row],[Profession]])</f>
        <v>UNKNOWN</v>
      </c>
      <c r="U692" s="5">
        <f>IF(ISBLANK(H692),AVERAGEIF(Table1[[#This Row],[Profession imputed]],T692,Table1[Monthly_Income]),H692)</f>
        <v>1376</v>
      </c>
      <c r="V692" s="6" t="str">
        <f>PROPER(TRIM(Table1[AI_Tool]))</f>
        <v>Claude</v>
      </c>
      <c r="W692" s="8">
        <f>IF(ISBLANK(Table1[[#This Row],[Time_Saved_Hours_Per_Week]]),AVERAGEIF(Table1[Satisfaction_Score],Table1[[#This Row],[Satisfaction_Score]],Table1[Time_Saved_Hours_Per_Week]),Table1[[#This Row],[Time_Saved_Hours_Per_Week]])</f>
        <v>3.5</v>
      </c>
    </row>
    <row r="693" spans="1:23" x14ac:dyDescent="0.25">
      <c r="A693" t="s">
        <v>1002</v>
      </c>
      <c r="B693">
        <v>36</v>
      </c>
      <c r="C693" t="s">
        <v>22</v>
      </c>
      <c r="D693" t="s">
        <v>35</v>
      </c>
      <c r="E693" t="s">
        <v>24</v>
      </c>
      <c r="F693" t="s">
        <v>31</v>
      </c>
      <c r="G693" t="s">
        <v>1003</v>
      </c>
      <c r="H693">
        <v>1378</v>
      </c>
      <c r="I693" t="s">
        <v>69</v>
      </c>
      <c r="J693" s="6" t="s">
        <v>33</v>
      </c>
      <c r="K693" s="15">
        <v>2.1</v>
      </c>
      <c r="L693" s="5">
        <v>0</v>
      </c>
      <c r="M693" s="15">
        <v>3.8</v>
      </c>
      <c r="N693">
        <v>4</v>
      </c>
      <c r="O693">
        <v>5</v>
      </c>
      <c r="P693">
        <v>2.8</v>
      </c>
      <c r="Q693">
        <v>7.8</v>
      </c>
      <c r="R693" s="2">
        <f>IF(ISBLANK(Table1[[#This Row],[Age]]),AVERAGE(Table1[Age]),Table1[[#This Row],[Age]])</f>
        <v>36</v>
      </c>
      <c r="S693" t="str">
        <f>PROPER(Table1[[#This Row],[Country]])</f>
        <v>Philippines</v>
      </c>
      <c r="T693" t="str">
        <f>TRIM(Table1[[#This Row],[Profession]])</f>
        <v>Senior Software Engineer / AI Solutions Architect</v>
      </c>
      <c r="U693" s="5">
        <f>IF(ISBLANK(H693),AVERAGEIF(Table1[[#This Row],[Profession imputed]],T693,Table1[Monthly_Income]),H693)</f>
        <v>1378</v>
      </c>
      <c r="V693" s="6" t="str">
        <f>PROPER(TRIM(Table1[AI_Tool]))</f>
        <v>Perplexity Ai</v>
      </c>
      <c r="W693" s="8">
        <f>IF(ISBLANK(Table1[[#This Row],[Time_Saved_Hours_Per_Week]]),AVERAGEIF(Table1[Satisfaction_Score],Table1[[#This Row],[Satisfaction_Score]],Table1[Time_Saved_Hours_Per_Week]),Table1[[#This Row],[Time_Saved_Hours_Per_Week]])</f>
        <v>2.8</v>
      </c>
    </row>
    <row r="694" spans="1:23" x14ac:dyDescent="0.25">
      <c r="A694" t="s">
        <v>1026</v>
      </c>
      <c r="B694">
        <v>38</v>
      </c>
      <c r="C694" t="s">
        <v>22</v>
      </c>
      <c r="D694" t="s">
        <v>52</v>
      </c>
      <c r="E694" t="s">
        <v>24</v>
      </c>
      <c r="F694" t="s">
        <v>45</v>
      </c>
      <c r="G694" t="s">
        <v>1019</v>
      </c>
      <c r="H694">
        <v>1384</v>
      </c>
      <c r="I694" t="s">
        <v>271</v>
      </c>
      <c r="J694" s="6" t="s">
        <v>33</v>
      </c>
      <c r="K694" s="15">
        <v>1.7</v>
      </c>
      <c r="L694" s="5">
        <v>0</v>
      </c>
      <c r="M694" s="15">
        <v>5.7</v>
      </c>
      <c r="N694">
        <v>5</v>
      </c>
      <c r="O694">
        <v>7</v>
      </c>
      <c r="P694">
        <v>3.4</v>
      </c>
      <c r="Q694">
        <v>6.4</v>
      </c>
      <c r="R694" s="2">
        <f>IF(ISBLANK(Table1[[#This Row],[Age]]),AVERAGE(Table1[Age]),Table1[[#This Row],[Age]])</f>
        <v>38</v>
      </c>
      <c r="S694" t="str">
        <f>PROPER(Table1[[#This Row],[Country]])</f>
        <v>India</v>
      </c>
      <c r="T694" t="str">
        <f>TRIM(Table1[[#This Row],[Profession]])</f>
        <v>Software Developer</v>
      </c>
      <c r="U694" s="5">
        <f>IF(ISBLANK(H694),AVERAGEIF(Table1[[#This Row],[Profession imputed]],T694,Table1[Monthly_Income]),H694)</f>
        <v>1384</v>
      </c>
      <c r="V694" s="6" t="str">
        <f>PROPER(TRIM(Table1[AI_Tool]))</f>
        <v>Chat Gpt</v>
      </c>
      <c r="W694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695" spans="1:23" x14ac:dyDescent="0.25">
      <c r="A695" t="s">
        <v>1042</v>
      </c>
      <c r="B695">
        <v>41</v>
      </c>
      <c r="C695" t="s">
        <v>29</v>
      </c>
      <c r="D695" t="s">
        <v>52</v>
      </c>
      <c r="E695" t="s">
        <v>24</v>
      </c>
      <c r="F695" t="s">
        <v>45</v>
      </c>
      <c r="G695" t="s">
        <v>1038</v>
      </c>
      <c r="H695">
        <v>1395</v>
      </c>
      <c r="I695" t="s">
        <v>37</v>
      </c>
      <c r="J695" s="6" t="s">
        <v>33</v>
      </c>
      <c r="K695" s="15">
        <v>0.6</v>
      </c>
      <c r="L695" s="5">
        <v>0</v>
      </c>
      <c r="M695" s="15">
        <v>3.3</v>
      </c>
      <c r="N695">
        <v>3</v>
      </c>
      <c r="O695">
        <v>4</v>
      </c>
      <c r="P695">
        <v>3</v>
      </c>
      <c r="Q695">
        <v>9.5</v>
      </c>
      <c r="R695" s="2">
        <f>IF(ISBLANK(Table1[[#This Row],[Age]]),AVERAGE(Table1[Age]),Table1[[#This Row],[Age]])</f>
        <v>41</v>
      </c>
      <c r="S695" t="str">
        <f>PROPER(Table1[[#This Row],[Country]])</f>
        <v>India</v>
      </c>
      <c r="T695" t="str">
        <f>TRIM(Table1[[#This Row],[Profession]])</f>
        <v>Software Developer (Diploma Qualified)</v>
      </c>
      <c r="U695" s="5">
        <f>IF(ISBLANK(H695),AVERAGEIF(Table1[[#This Row],[Profession imputed]],T695,Table1[Monthly_Income]),H695)</f>
        <v>1395</v>
      </c>
      <c r="V695" s="6" t="str">
        <f>PROPER(TRIM(Table1[AI_Tool]))</f>
        <v>Grammarly</v>
      </c>
      <c r="W695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696" spans="1:23" x14ac:dyDescent="0.25">
      <c r="A696" t="s">
        <v>1105</v>
      </c>
      <c r="B696">
        <v>60</v>
      </c>
      <c r="C696" t="s">
        <v>29</v>
      </c>
      <c r="D696" t="s">
        <v>30</v>
      </c>
      <c r="E696" t="s">
        <v>24</v>
      </c>
      <c r="F696" t="s">
        <v>25</v>
      </c>
      <c r="G696" t="s">
        <v>1097</v>
      </c>
      <c r="H696">
        <v>1396</v>
      </c>
      <c r="I696" t="s">
        <v>280</v>
      </c>
      <c r="J696" s="6" t="s">
        <v>27</v>
      </c>
      <c r="K696" s="15">
        <v>2.2000000000000002</v>
      </c>
      <c r="L696" s="5">
        <v>0</v>
      </c>
      <c r="M696" s="15">
        <v>5.7</v>
      </c>
      <c r="N696">
        <v>2</v>
      </c>
      <c r="O696">
        <v>3</v>
      </c>
      <c r="P696">
        <v>1.3</v>
      </c>
      <c r="Q696">
        <v>7.1</v>
      </c>
      <c r="R696" s="2">
        <f>IF(ISBLANK(Table1[[#This Row],[Age]]),AVERAGE(Table1[Age]),Table1[[#This Row],[Age]])</f>
        <v>60</v>
      </c>
      <c r="S696" t="str">
        <f>PROPER(Table1[[#This Row],[Country]])</f>
        <v>Brazil</v>
      </c>
      <c r="T696" t="str">
        <f>TRIM(Table1[[#This Row],[Profession]])</f>
        <v>Tech Lead</v>
      </c>
      <c r="U696" s="5">
        <f>IF(ISBLANK(H696),AVERAGEIF(Table1[[#This Row],[Profession imputed]],T696,Table1[Monthly_Income]),H696)</f>
        <v>1396</v>
      </c>
      <c r="V696" s="6" t="str">
        <f>PROPER(TRIM(Table1[AI_Tool]))</f>
        <v>Unknown</v>
      </c>
      <c r="W696" s="8">
        <f>IF(ISBLANK(Table1[[#This Row],[Time_Saved_Hours_Per_Week]]),AVERAGEIF(Table1[Satisfaction_Score],Table1[[#This Row],[Satisfaction_Score]],Table1[Time_Saved_Hours_Per_Week]),Table1[[#This Row],[Time_Saved_Hours_Per_Week]])</f>
        <v>1.3</v>
      </c>
    </row>
    <row r="697" spans="1:23" x14ac:dyDescent="0.25">
      <c r="A697" t="s">
        <v>1021</v>
      </c>
      <c r="B697">
        <v>37</v>
      </c>
      <c r="C697" t="s">
        <v>22</v>
      </c>
      <c r="D697" t="s">
        <v>52</v>
      </c>
      <c r="E697" t="s">
        <v>24</v>
      </c>
      <c r="F697" t="s">
        <v>45</v>
      </c>
      <c r="G697" t="s">
        <v>1019</v>
      </c>
      <c r="H697">
        <v>1404</v>
      </c>
      <c r="I697" t="s">
        <v>271</v>
      </c>
      <c r="J697" s="6" t="s">
        <v>33</v>
      </c>
      <c r="K697" s="15">
        <v>1.7</v>
      </c>
      <c r="L697" s="5">
        <v>0</v>
      </c>
      <c r="M697" s="15">
        <v>5.7</v>
      </c>
      <c r="N697">
        <v>5</v>
      </c>
      <c r="O697">
        <v>7</v>
      </c>
      <c r="P697">
        <v>3.4</v>
      </c>
      <c r="Q697">
        <v>6.4</v>
      </c>
      <c r="R697" s="2">
        <f>IF(ISBLANK(Table1[[#This Row],[Age]]),AVERAGE(Table1[Age]),Table1[[#This Row],[Age]])</f>
        <v>37</v>
      </c>
      <c r="S697" t="str">
        <f>PROPER(Table1[[#This Row],[Country]])</f>
        <v>India</v>
      </c>
      <c r="T697" t="str">
        <f>TRIM(Table1[[#This Row],[Profession]])</f>
        <v>Software Developer</v>
      </c>
      <c r="U697" s="5">
        <f>IF(ISBLANK(H697),AVERAGEIF(Table1[[#This Row],[Profession imputed]],T697,Table1[Monthly_Income]),H697)</f>
        <v>1404</v>
      </c>
      <c r="V697" s="6" t="str">
        <f>PROPER(TRIM(Table1[AI_Tool]))</f>
        <v>Chat Gpt</v>
      </c>
      <c r="W697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698" spans="1:23" x14ac:dyDescent="0.25">
      <c r="A698" t="s">
        <v>561</v>
      </c>
      <c r="B698">
        <v>63</v>
      </c>
      <c r="C698" t="s">
        <v>29</v>
      </c>
      <c r="D698" t="s">
        <v>30</v>
      </c>
      <c r="E698" t="s">
        <v>24</v>
      </c>
      <c r="F698" t="s">
        <v>45</v>
      </c>
      <c r="G698" t="s">
        <v>520</v>
      </c>
      <c r="H698">
        <v>1405</v>
      </c>
      <c r="I698" t="s">
        <v>271</v>
      </c>
      <c r="J698" s="6" t="s">
        <v>33</v>
      </c>
      <c r="K698" s="15">
        <v>3.4</v>
      </c>
      <c r="L698" s="5">
        <v>0</v>
      </c>
      <c r="M698" s="15">
        <v>6.8</v>
      </c>
      <c r="N698">
        <v>5</v>
      </c>
      <c r="O698">
        <v>10</v>
      </c>
      <c r="P698">
        <v>7.4</v>
      </c>
      <c r="Q698">
        <v>7.5</v>
      </c>
      <c r="R698" s="2">
        <f>IF(ISBLANK(Table1[[#This Row],[Age]]),AVERAGE(Table1[Age]),Table1[[#This Row],[Age]])</f>
        <v>63</v>
      </c>
      <c r="S698" t="str">
        <f>PROPER(Table1[[#This Row],[Country]])</f>
        <v>Brazil</v>
      </c>
      <c r="T698" t="str">
        <f>TRIM(Table1[[#This Row],[Profession]])</f>
        <v>Data Science Student</v>
      </c>
      <c r="U698" s="5">
        <f>IF(ISBLANK(H698),AVERAGEIF(Table1[Profession imputed],T698,Table1[Monthly_Income]),H698)</f>
        <v>1405</v>
      </c>
      <c r="V698" s="6" t="str">
        <f>PROPER(TRIM(Table1[AI_Tool]))</f>
        <v>Chat Gpt</v>
      </c>
      <c r="W698" s="8">
        <f>IF(ISBLANK(Table1[[#This Row],[Time_Saved_Hours_Per_Week]]),AVERAGEIF(Table1[Satisfaction_Score],Table1[[#This Row],[Satisfaction_Score]],Table1[Time_Saved_Hours_Per_Week]),Table1[[#This Row],[Time_Saved_Hours_Per_Week]])</f>
        <v>7.4</v>
      </c>
    </row>
    <row r="699" spans="1:23" x14ac:dyDescent="0.25">
      <c r="A699" t="s">
        <v>1043</v>
      </c>
      <c r="B699">
        <v>39</v>
      </c>
      <c r="C699" t="s">
        <v>29</v>
      </c>
      <c r="D699" t="s">
        <v>52</v>
      </c>
      <c r="E699" t="s">
        <v>24</v>
      </c>
      <c r="F699" t="s">
        <v>45</v>
      </c>
      <c r="G699" t="s">
        <v>1038</v>
      </c>
      <c r="H699">
        <v>1406</v>
      </c>
      <c r="I699" t="s">
        <v>37</v>
      </c>
      <c r="J699" s="6" t="s">
        <v>33</v>
      </c>
      <c r="K699" s="15">
        <v>0.6</v>
      </c>
      <c r="L699" s="5">
        <v>0</v>
      </c>
      <c r="M699" s="15">
        <v>3.3</v>
      </c>
      <c r="N699">
        <v>3</v>
      </c>
      <c r="O699">
        <v>4</v>
      </c>
      <c r="P699">
        <v>3</v>
      </c>
      <c r="Q699">
        <v>9.5</v>
      </c>
      <c r="R699" s="2">
        <f>IF(ISBLANK(Table1[[#This Row],[Age]]),AVERAGE(Table1[Age]),Table1[[#This Row],[Age]])</f>
        <v>39</v>
      </c>
      <c r="S699" t="str">
        <f>PROPER(Table1[[#This Row],[Country]])</f>
        <v>India</v>
      </c>
      <c r="T699" t="str">
        <f>TRIM(Table1[[#This Row],[Profession]])</f>
        <v>Software Developer (Diploma Qualified)</v>
      </c>
      <c r="U699" s="5">
        <f>IF(ISBLANK(H699),AVERAGEIF(Table1[[#This Row],[Profession imputed]],T699,Table1[Monthly_Income]),H699)</f>
        <v>1406</v>
      </c>
      <c r="V699" s="6" t="str">
        <f>PROPER(TRIM(Table1[AI_Tool]))</f>
        <v>Grammarly</v>
      </c>
      <c r="W699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700" spans="1:23" x14ac:dyDescent="0.25">
      <c r="A700" t="s">
        <v>1037</v>
      </c>
      <c r="B700">
        <v>41</v>
      </c>
      <c r="C700" t="s">
        <v>29</v>
      </c>
      <c r="D700" t="s">
        <v>52</v>
      </c>
      <c r="E700" t="s">
        <v>24</v>
      </c>
      <c r="F700" t="s">
        <v>45</v>
      </c>
      <c r="G700" t="s">
        <v>1038</v>
      </c>
      <c r="H700">
        <v>1407</v>
      </c>
      <c r="I700" t="s">
        <v>37</v>
      </c>
      <c r="J700" s="6" t="s">
        <v>33</v>
      </c>
      <c r="K700" s="15">
        <v>0.6</v>
      </c>
      <c r="L700" s="5">
        <v>0</v>
      </c>
      <c r="M700" s="15">
        <v>3.3</v>
      </c>
      <c r="N700">
        <v>3</v>
      </c>
      <c r="O700">
        <v>4</v>
      </c>
      <c r="P700">
        <v>3</v>
      </c>
      <c r="Q700">
        <v>9.5</v>
      </c>
      <c r="R700" s="2">
        <f>IF(ISBLANK(Table1[[#This Row],[Age]]),AVERAGE(Table1[Age]),Table1[[#This Row],[Age]])</f>
        <v>41</v>
      </c>
      <c r="S700" t="str">
        <f>PROPER(Table1[[#This Row],[Country]])</f>
        <v>India</v>
      </c>
      <c r="T700" t="str">
        <f>TRIM(Table1[[#This Row],[Profession]])</f>
        <v>Software Developer (Diploma Qualified)</v>
      </c>
      <c r="U700" s="5">
        <f>IF(ISBLANK(H700),AVERAGEIF(Table1[[#This Row],[Profession imputed]],T700,Table1[Monthly_Income]),H700)</f>
        <v>1407</v>
      </c>
      <c r="V700" s="6" t="str">
        <f>PROPER(TRIM(Table1[AI_Tool]))</f>
        <v>Grammarly</v>
      </c>
      <c r="W700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701" spans="1:23" x14ac:dyDescent="0.25">
      <c r="A701" t="s">
        <v>1106</v>
      </c>
      <c r="B701">
        <v>29</v>
      </c>
      <c r="C701" t="s">
        <v>29</v>
      </c>
      <c r="D701" t="s">
        <v>30</v>
      </c>
      <c r="E701" t="s">
        <v>24</v>
      </c>
      <c r="F701" t="s">
        <v>25</v>
      </c>
      <c r="G701" t="s">
        <v>1097</v>
      </c>
      <c r="H701">
        <v>1435</v>
      </c>
      <c r="I701" t="s">
        <v>139</v>
      </c>
      <c r="J701" s="6" t="s">
        <v>130</v>
      </c>
      <c r="K701" s="15">
        <v>0.7</v>
      </c>
      <c r="L701" s="5">
        <v>0</v>
      </c>
      <c r="M701" s="15">
        <v>4</v>
      </c>
      <c r="N701">
        <v>3</v>
      </c>
      <c r="O701">
        <v>6</v>
      </c>
      <c r="P701">
        <v>4.4000000000000004</v>
      </c>
      <c r="Q701">
        <v>8.1</v>
      </c>
      <c r="R701" s="2">
        <f>IF(ISBLANK(Table1[[#This Row],[Age]]),AVERAGE(Table1[Age]),Table1[[#This Row],[Age]])</f>
        <v>29</v>
      </c>
      <c r="S701" t="str">
        <f>PROPER(Table1[[#This Row],[Country]])</f>
        <v>Brazil</v>
      </c>
      <c r="T701" t="str">
        <f>TRIM(Table1[[#This Row],[Profession]])</f>
        <v>Tech Lead</v>
      </c>
      <c r="U701" s="5">
        <f>IF(ISBLANK(H701),AVERAGEIF(Table1[[#This Row],[Profession imputed]],T701,Table1[Monthly_Income]),H701)</f>
        <v>1435</v>
      </c>
      <c r="V701" s="6" t="str">
        <f>PROPER(TRIM(Table1[AI_Tool]))</f>
        <v>Microsoft Copilot</v>
      </c>
      <c r="W701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702" spans="1:23" x14ac:dyDescent="0.25">
      <c r="A702" t="s">
        <v>381</v>
      </c>
      <c r="B702">
        <v>34</v>
      </c>
      <c r="C702" t="s">
        <v>29</v>
      </c>
      <c r="D702" t="s">
        <v>35</v>
      </c>
      <c r="E702" t="s">
        <v>24</v>
      </c>
      <c r="F702" t="s">
        <v>25</v>
      </c>
      <c r="G702" t="s">
        <v>367</v>
      </c>
      <c r="H702">
        <v>1441</v>
      </c>
      <c r="I702" t="s">
        <v>271</v>
      </c>
      <c r="J702" s="6" t="s">
        <v>38</v>
      </c>
      <c r="K702" s="15">
        <v>5</v>
      </c>
      <c r="L702" s="5">
        <v>20</v>
      </c>
      <c r="M702" s="15">
        <v>6.2</v>
      </c>
      <c r="N702">
        <v>2</v>
      </c>
      <c r="O702">
        <v>6</v>
      </c>
      <c r="P702">
        <v>12</v>
      </c>
      <c r="Q702">
        <v>6.9</v>
      </c>
      <c r="R702" s="2">
        <f>IF(ISBLANK(Table1[[#This Row],[Age]]),AVERAGE(Table1[Age]),Table1[[#This Row],[Age]])</f>
        <v>34</v>
      </c>
      <c r="S702" t="str">
        <f>PROPER(Table1[[#This Row],[Country]])</f>
        <v>Philippines</v>
      </c>
      <c r="T702" t="str">
        <f>TRIM(Table1[[#This Row],[Profession]])</f>
        <v>Content Writer</v>
      </c>
      <c r="U702" s="5">
        <f>IF(ISBLANK(H702),AVERAGEIF(Table1[[#This Row],[Profession imputed]],T702,Table1[Monthly_Income]),H702)</f>
        <v>1441</v>
      </c>
      <c r="V702" s="6" t="str">
        <f>PROPER(TRIM(Table1[AI_Tool]))</f>
        <v>Chat Gpt</v>
      </c>
      <c r="W702" s="8">
        <f>IF(ISBLANK(Table1[[#This Row],[Time_Saved_Hours_Per_Week]]),AVERAGEIF(Table1[Satisfaction_Score],Table1[[#This Row],[Satisfaction_Score]],Table1[Time_Saved_Hours_Per_Week]),Table1[[#This Row],[Time_Saved_Hours_Per_Week]])</f>
        <v>12</v>
      </c>
    </row>
    <row r="703" spans="1:23" x14ac:dyDescent="0.25">
      <c r="A703" t="s">
        <v>79</v>
      </c>
      <c r="B703">
        <v>25</v>
      </c>
      <c r="C703" t="s">
        <v>29</v>
      </c>
      <c r="D703" t="s">
        <v>73</v>
      </c>
      <c r="E703" t="s">
        <v>24</v>
      </c>
      <c r="F703" t="s">
        <v>31</v>
      </c>
      <c r="G703" t="s">
        <v>74</v>
      </c>
      <c r="H703">
        <v>1450</v>
      </c>
      <c r="I703" t="s">
        <v>271</v>
      </c>
      <c r="J703" s="6" t="s">
        <v>75</v>
      </c>
      <c r="K703" s="15">
        <v>4.4000000000000004</v>
      </c>
      <c r="L703" s="5">
        <v>0</v>
      </c>
      <c r="M703" s="15">
        <v>7.8</v>
      </c>
      <c r="N703">
        <v>4</v>
      </c>
      <c r="O703">
        <v>9</v>
      </c>
      <c r="P703">
        <v>7.1</v>
      </c>
      <c r="Q703">
        <v>5.8</v>
      </c>
      <c r="R703" s="2">
        <f>IF(ISBLANK(Table1[[#This Row],[Age]]),AVERAGE(Table1[Age]),Table1[[#This Row],[Age]])</f>
        <v>25</v>
      </c>
      <c r="S703" t="str">
        <f>PROPER(Table1[[#This Row],[Country]])</f>
        <v>Unknown</v>
      </c>
      <c r="T703" t="str">
        <f>TRIM(Table1[[#This Row],[Profession]])</f>
        <v>AI Content Strategist</v>
      </c>
      <c r="U703" s="5">
        <f>IF(ISBLANK(H703),AVERAGEIF(Table1[[#This Row],[Profession imputed]],T703,Table1[Monthly_Income]),H703)</f>
        <v>1450</v>
      </c>
      <c r="V703" s="6" t="str">
        <f>PROPER(TRIM(Table1[AI_Tool]))</f>
        <v>Chat Gpt</v>
      </c>
      <c r="W703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04" spans="1:23" x14ac:dyDescent="0.25">
      <c r="A704" t="s">
        <v>60</v>
      </c>
      <c r="B704">
        <v>44</v>
      </c>
      <c r="C704" t="s">
        <v>22</v>
      </c>
      <c r="D704" t="s">
        <v>30</v>
      </c>
      <c r="E704" t="s">
        <v>24</v>
      </c>
      <c r="F704" t="s">
        <v>45</v>
      </c>
      <c r="G704" t="s">
        <v>46</v>
      </c>
      <c r="H704">
        <v>1456</v>
      </c>
      <c r="I704" t="s">
        <v>1186</v>
      </c>
      <c r="J704" s="6" t="s">
        <v>47</v>
      </c>
      <c r="K704" s="15">
        <v>4.2</v>
      </c>
      <c r="L704" s="5">
        <v>0</v>
      </c>
      <c r="M704" s="15">
        <v>5.9</v>
      </c>
      <c r="N704">
        <v>3</v>
      </c>
      <c r="O704">
        <v>6</v>
      </c>
      <c r="P704">
        <v>5.6</v>
      </c>
      <c r="Q704">
        <v>10</v>
      </c>
      <c r="R704" s="2">
        <f>IF(ISBLANK(Table1[[#This Row],[Age]]),AVERAGE(Table1[Age]),Table1[[#This Row],[Age]])</f>
        <v>44</v>
      </c>
      <c r="S704" t="str">
        <f>PROPER(Table1[[#This Row],[Country]])</f>
        <v>Brazil</v>
      </c>
      <c r="T704" t="str">
        <f>TRIM(Table1[[#This Row],[Profession]])</f>
        <v>Administrative Assistant</v>
      </c>
      <c r="U704" s="5">
        <f>IF(ISBLANK(H704),AVERAGEIF(Table1[[#This Row],[Profession imputed]],T704,Table1[Monthly_Income]),H704)</f>
        <v>1456</v>
      </c>
      <c r="V704" s="6" t="str">
        <f>PROPER(TRIM(Table1[AI_Tool]))</f>
        <v>Google Gemini</v>
      </c>
      <c r="W704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705" spans="1:23" x14ac:dyDescent="0.25">
      <c r="A705" t="s">
        <v>958</v>
      </c>
      <c r="B705">
        <v>39</v>
      </c>
      <c r="C705" t="s">
        <v>29</v>
      </c>
      <c r="D705" t="s">
        <v>52</v>
      </c>
      <c r="E705" t="s">
        <v>24</v>
      </c>
      <c r="F705" t="s">
        <v>55</v>
      </c>
      <c r="G705" t="s">
        <v>951</v>
      </c>
      <c r="H705">
        <v>1467</v>
      </c>
      <c r="I705" t="s">
        <v>271</v>
      </c>
      <c r="J705" s="6" t="s">
        <v>106</v>
      </c>
      <c r="K705" s="15">
        <v>0.7</v>
      </c>
      <c r="L705" s="5">
        <v>0</v>
      </c>
      <c r="M705" s="15">
        <v>3.8</v>
      </c>
      <c r="N705">
        <v>4</v>
      </c>
      <c r="O705">
        <v>8</v>
      </c>
      <c r="P705">
        <v>0.6</v>
      </c>
      <c r="Q705">
        <v>8.3000000000000007</v>
      </c>
      <c r="R705" s="2">
        <f>IF(ISBLANK(Table1[[#This Row],[Age]]),AVERAGE(Table1[Age]),Table1[[#This Row],[Age]])</f>
        <v>39</v>
      </c>
      <c r="S705" t="str">
        <f>PROPER(Table1[[#This Row],[Country]])</f>
        <v>India</v>
      </c>
      <c r="T705" t="str">
        <f>TRIM(Table1[[#This Row],[Profession]])</f>
        <v>Senior Data Scientist</v>
      </c>
      <c r="U705" s="5">
        <f>IF(ISBLANK(H705),AVERAGEIF(Table1[[#This Row],[Profession imputed]],T705,Table1[Monthly_Income]),H705)</f>
        <v>1467</v>
      </c>
      <c r="V705" s="6" t="str">
        <f>PROPER(TRIM(Table1[AI_Tool]))</f>
        <v>Chat Gpt</v>
      </c>
      <c r="W705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706" spans="1:23" x14ac:dyDescent="0.25">
      <c r="A706" t="s">
        <v>1098</v>
      </c>
      <c r="B706">
        <v>58</v>
      </c>
      <c r="C706" t="s">
        <v>29</v>
      </c>
      <c r="D706" t="s">
        <v>30</v>
      </c>
      <c r="E706" t="s">
        <v>24</v>
      </c>
      <c r="F706" t="s">
        <v>25</v>
      </c>
      <c r="G706" t="s">
        <v>1097</v>
      </c>
      <c r="H706">
        <v>1469</v>
      </c>
      <c r="I706" t="s">
        <v>280</v>
      </c>
      <c r="J706" s="6" t="s">
        <v>27</v>
      </c>
      <c r="K706" s="15">
        <v>2.2000000000000002</v>
      </c>
      <c r="L706" s="5">
        <v>0</v>
      </c>
      <c r="M706" s="15">
        <v>5.7</v>
      </c>
      <c r="N706">
        <v>2</v>
      </c>
      <c r="O706">
        <v>3</v>
      </c>
      <c r="P706">
        <v>1.3</v>
      </c>
      <c r="Q706">
        <v>7.1</v>
      </c>
      <c r="R706" s="2">
        <f>IF(ISBLANK(Table1[[#This Row],[Age]]),AVERAGE(Table1[Age]),Table1[[#This Row],[Age]])</f>
        <v>58</v>
      </c>
      <c r="S706" t="str">
        <f>PROPER(Table1[[#This Row],[Country]])</f>
        <v>Brazil</v>
      </c>
      <c r="T706" t="str">
        <f>TRIM(Table1[[#This Row],[Profession]])</f>
        <v>Tech Lead</v>
      </c>
      <c r="U706" s="5">
        <f>IF(ISBLANK(H706),AVERAGEIF(Table1[[#This Row],[Profession imputed]],T706,Table1[Monthly_Income]),H706)</f>
        <v>1469</v>
      </c>
      <c r="V706" s="6" t="str">
        <f>PROPER(TRIM(Table1[AI_Tool]))</f>
        <v>Unknown</v>
      </c>
      <c r="W706" s="8">
        <f>IF(ISBLANK(Table1[[#This Row],[Time_Saved_Hours_Per_Week]]),AVERAGEIF(Table1[Satisfaction_Score],Table1[[#This Row],[Satisfaction_Score]],Table1[Time_Saved_Hours_Per_Week]),Table1[[#This Row],[Time_Saved_Hours_Per_Week]])</f>
        <v>1.3</v>
      </c>
    </row>
    <row r="707" spans="1:23" x14ac:dyDescent="0.25">
      <c r="A707" t="s">
        <v>956</v>
      </c>
      <c r="B707">
        <v>41</v>
      </c>
      <c r="C707" t="s">
        <v>29</v>
      </c>
      <c r="D707" t="s">
        <v>52</v>
      </c>
      <c r="E707" t="s">
        <v>24</v>
      </c>
      <c r="F707" t="s">
        <v>55</v>
      </c>
      <c r="G707" t="s">
        <v>951</v>
      </c>
      <c r="H707">
        <v>1501</v>
      </c>
      <c r="I707" t="s">
        <v>271</v>
      </c>
      <c r="J707" s="6" t="s">
        <v>106</v>
      </c>
      <c r="K707" s="15">
        <v>0.7</v>
      </c>
      <c r="L707" s="5">
        <v>0</v>
      </c>
      <c r="M707" s="15">
        <v>3.8</v>
      </c>
      <c r="N707">
        <v>4</v>
      </c>
      <c r="O707">
        <v>8</v>
      </c>
      <c r="P707">
        <v>0.6</v>
      </c>
      <c r="Q707">
        <v>8.3000000000000007</v>
      </c>
      <c r="R707" s="2">
        <f>IF(ISBLANK(Table1[[#This Row],[Age]]),AVERAGE(Table1[Age]),Table1[[#This Row],[Age]])</f>
        <v>41</v>
      </c>
      <c r="S707" t="str">
        <f>PROPER(Table1[[#This Row],[Country]])</f>
        <v>India</v>
      </c>
      <c r="T707" t="str">
        <f>TRIM(Table1[[#This Row],[Profession]])</f>
        <v>Senior Data Scientist</v>
      </c>
      <c r="U707" s="5">
        <f>IF(ISBLANK(H707),AVERAGEIF(Table1[[#This Row],[Profession imputed]],T707,Table1[Monthly_Income]),H707)</f>
        <v>1501</v>
      </c>
      <c r="V707" s="6" t="str">
        <f>PROPER(TRIM(Table1[AI_Tool]))</f>
        <v>Chat Gpt</v>
      </c>
      <c r="W707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708" spans="1:23" x14ac:dyDescent="0.25">
      <c r="A708" t="s">
        <v>1040</v>
      </c>
      <c r="B708">
        <v>41</v>
      </c>
      <c r="C708" t="s">
        <v>29</v>
      </c>
      <c r="D708" t="s">
        <v>52</v>
      </c>
      <c r="E708" t="s">
        <v>24</v>
      </c>
      <c r="F708" t="s">
        <v>45</v>
      </c>
      <c r="G708" t="s">
        <v>1038</v>
      </c>
      <c r="H708">
        <v>1504</v>
      </c>
      <c r="I708" t="s">
        <v>37</v>
      </c>
      <c r="J708" s="6" t="s">
        <v>33</v>
      </c>
      <c r="K708" s="15">
        <v>0.6</v>
      </c>
      <c r="L708" s="5">
        <v>0</v>
      </c>
      <c r="M708" s="15">
        <v>3.3</v>
      </c>
      <c r="N708">
        <v>3</v>
      </c>
      <c r="O708">
        <v>4</v>
      </c>
      <c r="P708">
        <v>3</v>
      </c>
      <c r="Q708">
        <v>9.5</v>
      </c>
      <c r="R708" s="2">
        <f>IF(ISBLANK(Table1[[#This Row],[Age]]),AVERAGE(Table1[Age]),Table1[[#This Row],[Age]])</f>
        <v>41</v>
      </c>
      <c r="S708" t="str">
        <f>PROPER(Table1[[#This Row],[Country]])</f>
        <v>India</v>
      </c>
      <c r="T708" t="str">
        <f>TRIM(Table1[[#This Row],[Profession]])</f>
        <v>Software Developer (Diploma Qualified)</v>
      </c>
      <c r="U708" s="5">
        <f>IF(ISBLANK(H708),AVERAGEIF(Table1[[#This Row],[Profession imputed]],T708,Table1[Monthly_Income]),H708)</f>
        <v>1504</v>
      </c>
      <c r="V708" s="6" t="str">
        <f>PROPER(TRIM(Table1[AI_Tool]))</f>
        <v>Grammarly</v>
      </c>
      <c r="W708" s="8">
        <f>IF(ISBLANK(Table1[[#This Row],[Time_Saved_Hours_Per_Week]]),AVERAGEIF(Table1[Satisfaction_Score],Table1[[#This Row],[Satisfaction_Score]],Table1[Time_Saved_Hours_Per_Week]),Table1[[#This Row],[Time_Saved_Hours_Per_Week]])</f>
        <v>3</v>
      </c>
    </row>
    <row r="709" spans="1:23" x14ac:dyDescent="0.25">
      <c r="A709" t="s">
        <v>380</v>
      </c>
      <c r="B709">
        <v>35</v>
      </c>
      <c r="C709" t="s">
        <v>29</v>
      </c>
      <c r="D709" t="s">
        <v>35</v>
      </c>
      <c r="E709" t="s">
        <v>24</v>
      </c>
      <c r="F709" t="s">
        <v>25</v>
      </c>
      <c r="G709" t="s">
        <v>367</v>
      </c>
      <c r="H709">
        <v>1506</v>
      </c>
      <c r="I709" t="s">
        <v>271</v>
      </c>
      <c r="J709" s="6" t="s">
        <v>38</v>
      </c>
      <c r="K709" s="15">
        <v>5</v>
      </c>
      <c r="L709" s="5">
        <v>20</v>
      </c>
      <c r="M709" s="15">
        <v>6.2</v>
      </c>
      <c r="N709">
        <v>2</v>
      </c>
      <c r="O709">
        <v>6</v>
      </c>
      <c r="P709">
        <v>12</v>
      </c>
      <c r="Q709">
        <v>6.9</v>
      </c>
      <c r="R709" s="2">
        <f>IF(ISBLANK(Table1[[#This Row],[Age]]),AVERAGE(Table1[Age]),Table1[[#This Row],[Age]])</f>
        <v>35</v>
      </c>
      <c r="S709" t="str">
        <f>PROPER(Table1[[#This Row],[Country]])</f>
        <v>Philippines</v>
      </c>
      <c r="T709" t="str">
        <f>TRIM(Table1[[#This Row],[Profession]])</f>
        <v>Content Writer</v>
      </c>
      <c r="U709" s="5">
        <f>IF(ISBLANK(H709),AVERAGEIF(Table1[[#This Row],[Profession imputed]],T709,Table1[Monthly_Income]),H709)</f>
        <v>1506</v>
      </c>
      <c r="V709" s="6" t="str">
        <f>PROPER(TRIM(Table1[AI_Tool]))</f>
        <v>Chat Gpt</v>
      </c>
      <c r="W709" s="8">
        <f>IF(ISBLANK(Table1[[#This Row],[Time_Saved_Hours_Per_Week]]),AVERAGEIF(Table1[Satisfaction_Score],Table1[[#This Row],[Satisfaction_Score]],Table1[Time_Saved_Hours_Per_Week]),Table1[[#This Row],[Time_Saved_Hours_Per_Week]])</f>
        <v>12</v>
      </c>
    </row>
    <row r="710" spans="1:23" x14ac:dyDescent="0.25">
      <c r="A710" t="s">
        <v>80</v>
      </c>
      <c r="B710">
        <v>24</v>
      </c>
      <c r="C710" t="s">
        <v>29</v>
      </c>
      <c r="D710" t="s">
        <v>73</v>
      </c>
      <c r="E710" t="s">
        <v>24</v>
      </c>
      <c r="F710" t="s">
        <v>31</v>
      </c>
      <c r="G710" t="s">
        <v>74</v>
      </c>
      <c r="H710">
        <v>1524</v>
      </c>
      <c r="I710" t="s">
        <v>271</v>
      </c>
      <c r="J710" s="6" t="s">
        <v>75</v>
      </c>
      <c r="K710" s="15">
        <v>4.4000000000000004</v>
      </c>
      <c r="L710" s="5">
        <v>0</v>
      </c>
      <c r="M710" s="15">
        <v>7.8</v>
      </c>
      <c r="N710">
        <v>4</v>
      </c>
      <c r="O710">
        <v>9</v>
      </c>
      <c r="P710">
        <v>7.1</v>
      </c>
      <c r="Q710">
        <v>5.8</v>
      </c>
      <c r="R710" s="2">
        <f>IF(ISBLANK(Table1[[#This Row],[Age]]),AVERAGE(Table1[Age]),Table1[[#This Row],[Age]])</f>
        <v>24</v>
      </c>
      <c r="S710" t="str">
        <f>PROPER(Table1[[#This Row],[Country]])</f>
        <v>Unknown</v>
      </c>
      <c r="T710" t="str">
        <f>TRIM(Table1[[#This Row],[Profession]])</f>
        <v>AI Content Strategist</v>
      </c>
      <c r="U710" s="5">
        <f>IF(ISBLANK(H710),AVERAGEIF(Table1[[#This Row],[Profession imputed]],T710,Table1[Monthly_Income]),H710)</f>
        <v>1524</v>
      </c>
      <c r="V710" s="6" t="str">
        <f>PROPER(TRIM(Table1[AI_Tool]))</f>
        <v>Chat Gpt</v>
      </c>
      <c r="W710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11" spans="1:23" x14ac:dyDescent="0.25">
      <c r="A711" t="s">
        <v>1101</v>
      </c>
      <c r="B711">
        <v>56</v>
      </c>
      <c r="C711" t="s">
        <v>29</v>
      </c>
      <c r="D711" t="s">
        <v>30</v>
      </c>
      <c r="E711" t="s">
        <v>24</v>
      </c>
      <c r="F711" t="s">
        <v>25</v>
      </c>
      <c r="G711" t="s">
        <v>1097</v>
      </c>
      <c r="H711">
        <v>1539</v>
      </c>
      <c r="I711" t="s">
        <v>280</v>
      </c>
      <c r="J711" s="6" t="s">
        <v>27</v>
      </c>
      <c r="K711" s="15">
        <v>2.2000000000000002</v>
      </c>
      <c r="L711" s="5">
        <v>0</v>
      </c>
      <c r="M711" s="15">
        <v>5.7</v>
      </c>
      <c r="N711">
        <v>2</v>
      </c>
      <c r="O711">
        <v>3</v>
      </c>
      <c r="P711">
        <v>1.3</v>
      </c>
      <c r="Q711">
        <v>7.1</v>
      </c>
      <c r="R711" s="2">
        <f>IF(ISBLANK(Table1[[#This Row],[Age]]),AVERAGE(Table1[Age]),Table1[[#This Row],[Age]])</f>
        <v>56</v>
      </c>
      <c r="S711" t="str">
        <f>PROPER(Table1[[#This Row],[Country]])</f>
        <v>Brazil</v>
      </c>
      <c r="T711" t="str">
        <f>TRIM(Table1[[#This Row],[Profession]])</f>
        <v>Tech Lead</v>
      </c>
      <c r="U711" s="5">
        <f>IF(ISBLANK(H711),AVERAGEIF(Table1[[#This Row],[Profession imputed]],T711,Table1[Monthly_Income]),H711)</f>
        <v>1539</v>
      </c>
      <c r="V711" s="6" t="str">
        <f>PROPER(TRIM(Table1[AI_Tool]))</f>
        <v>Unknown</v>
      </c>
      <c r="W711" s="8">
        <f>IF(ISBLANK(Table1[[#This Row],[Time_Saved_Hours_Per_Week]]),AVERAGEIF(Table1[Satisfaction_Score],Table1[[#This Row],[Satisfaction_Score]],Table1[Time_Saved_Hours_Per_Week]),Table1[[#This Row],[Time_Saved_Hours_Per_Week]])</f>
        <v>1.3</v>
      </c>
    </row>
    <row r="712" spans="1:23" x14ac:dyDescent="0.25">
      <c r="A712" t="s">
        <v>1096</v>
      </c>
      <c r="B712">
        <v>28</v>
      </c>
      <c r="C712" t="s">
        <v>29</v>
      </c>
      <c r="D712" t="s">
        <v>30</v>
      </c>
      <c r="E712" t="s">
        <v>24</v>
      </c>
      <c r="F712" t="s">
        <v>25</v>
      </c>
      <c r="G712" t="s">
        <v>1097</v>
      </c>
      <c r="H712">
        <v>1567</v>
      </c>
      <c r="I712" t="s">
        <v>139</v>
      </c>
      <c r="J712" s="6" t="s">
        <v>130</v>
      </c>
      <c r="K712" s="15">
        <v>0.7</v>
      </c>
      <c r="L712" s="5">
        <v>0</v>
      </c>
      <c r="M712" s="15">
        <v>4</v>
      </c>
      <c r="N712">
        <v>3</v>
      </c>
      <c r="O712">
        <v>6</v>
      </c>
      <c r="P712">
        <v>4.4000000000000004</v>
      </c>
      <c r="Q712">
        <v>8.1</v>
      </c>
      <c r="R712" s="2">
        <f>IF(ISBLANK(Table1[[#This Row],[Age]]),AVERAGE(Table1[Age]),Table1[[#This Row],[Age]])</f>
        <v>28</v>
      </c>
      <c r="S712" t="str">
        <f>PROPER(Table1[[#This Row],[Country]])</f>
        <v>Brazil</v>
      </c>
      <c r="T712" t="str">
        <f>TRIM(Table1[[#This Row],[Profession]])</f>
        <v>Tech Lead</v>
      </c>
      <c r="U712" s="5">
        <f>IF(ISBLANK(H712),AVERAGEIF(Table1[[#This Row],[Profession imputed]],T712,Table1[Monthly_Income]),H712)</f>
        <v>1567</v>
      </c>
      <c r="V712" s="6" t="str">
        <f>PROPER(TRIM(Table1[AI_Tool]))</f>
        <v>Microsoft Copilot</v>
      </c>
      <c r="W712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713" spans="1:23" x14ac:dyDescent="0.25">
      <c r="A713" t="s">
        <v>1118</v>
      </c>
      <c r="B713">
        <v>30</v>
      </c>
      <c r="C713" t="s">
        <v>29</v>
      </c>
      <c r="D713" t="s">
        <v>30</v>
      </c>
      <c r="E713" t="s">
        <v>24</v>
      </c>
      <c r="F713" t="s">
        <v>25</v>
      </c>
      <c r="G713" t="s">
        <v>1097</v>
      </c>
      <c r="H713">
        <v>1567</v>
      </c>
      <c r="I713" t="s">
        <v>139</v>
      </c>
      <c r="J713" s="6" t="s">
        <v>130</v>
      </c>
      <c r="K713" s="15">
        <v>0.7</v>
      </c>
      <c r="L713" s="5">
        <v>0</v>
      </c>
      <c r="M713" s="15">
        <v>4</v>
      </c>
      <c r="N713">
        <v>3</v>
      </c>
      <c r="O713">
        <v>6</v>
      </c>
      <c r="P713">
        <v>4.4000000000000004</v>
      </c>
      <c r="Q713">
        <v>8.1</v>
      </c>
      <c r="R713" s="2">
        <f>IF(ISBLANK(Table1[[#This Row],[Age]]),AVERAGE(Table1[Age]),Table1[[#This Row],[Age]])</f>
        <v>30</v>
      </c>
      <c r="S713" t="str">
        <f>PROPER(Table1[[#This Row],[Country]])</f>
        <v>Brazil</v>
      </c>
      <c r="T713" t="str">
        <f>TRIM(Table1[[#This Row],[Profession]])</f>
        <v>Tech Lead</v>
      </c>
      <c r="U713" s="5">
        <f>IF(ISBLANK(H713),AVERAGEIF(Table1[[#This Row],[Profession imputed]],T713,Table1[Monthly_Income]),H713)</f>
        <v>1567</v>
      </c>
      <c r="V713" s="6" t="str">
        <f>PROPER(TRIM(Table1[AI_Tool]))</f>
        <v>Microsoft Copilot</v>
      </c>
      <c r="W713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714" spans="1:23" x14ac:dyDescent="0.25">
      <c r="A714" t="s">
        <v>950</v>
      </c>
      <c r="B714">
        <v>40</v>
      </c>
      <c r="C714" t="s">
        <v>29</v>
      </c>
      <c r="D714" t="s">
        <v>52</v>
      </c>
      <c r="E714" t="s">
        <v>24</v>
      </c>
      <c r="F714" t="s">
        <v>55</v>
      </c>
      <c r="G714" t="s">
        <v>951</v>
      </c>
      <c r="H714">
        <v>1575</v>
      </c>
      <c r="I714" t="s">
        <v>271</v>
      </c>
      <c r="J714" s="6" t="s">
        <v>106</v>
      </c>
      <c r="K714" s="15">
        <v>0.7</v>
      </c>
      <c r="L714" s="5">
        <v>0</v>
      </c>
      <c r="M714" s="15">
        <v>3.8</v>
      </c>
      <c r="N714">
        <v>4</v>
      </c>
      <c r="O714">
        <v>8</v>
      </c>
      <c r="P714">
        <v>0.6</v>
      </c>
      <c r="Q714">
        <v>8.3000000000000007</v>
      </c>
      <c r="R714" s="2">
        <f>IF(ISBLANK(Table1[[#This Row],[Age]]),AVERAGE(Table1[Age]),Table1[[#This Row],[Age]])</f>
        <v>40</v>
      </c>
      <c r="S714" t="str">
        <f>PROPER(Table1[[#This Row],[Country]])</f>
        <v>India</v>
      </c>
      <c r="T714" t="str">
        <f>TRIM(Table1[[#This Row],[Profession]])</f>
        <v>Senior Data Scientist</v>
      </c>
      <c r="U714" s="5">
        <f>IF(ISBLANK(H714),AVERAGEIF(Table1[[#This Row],[Profession imputed]],T714,Table1[Monthly_Income]),H714)</f>
        <v>1575</v>
      </c>
      <c r="V714" s="6" t="str">
        <f>PROPER(TRIM(Table1[AI_Tool]))</f>
        <v>Chat Gpt</v>
      </c>
      <c r="W714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715" spans="1:23" x14ac:dyDescent="0.25">
      <c r="A715" t="s">
        <v>1168</v>
      </c>
      <c r="B715">
        <v>38</v>
      </c>
      <c r="C715" t="s">
        <v>29</v>
      </c>
      <c r="D715" t="s">
        <v>205</v>
      </c>
      <c r="E715" t="s">
        <v>24</v>
      </c>
      <c r="F715" t="s">
        <v>50</v>
      </c>
      <c r="G715" t="s">
        <v>73</v>
      </c>
      <c r="H715">
        <v>1575</v>
      </c>
      <c r="I715" t="s">
        <v>271</v>
      </c>
      <c r="J715" s="6" t="s">
        <v>38</v>
      </c>
      <c r="K715" s="15">
        <v>1.7</v>
      </c>
      <c r="L715" s="5">
        <v>10</v>
      </c>
      <c r="M715" s="15">
        <v>0</v>
      </c>
      <c r="N715">
        <v>2</v>
      </c>
      <c r="O715">
        <v>5</v>
      </c>
      <c r="P715">
        <v>7.5</v>
      </c>
      <c r="Q715">
        <v>9.4</v>
      </c>
      <c r="R715" s="2">
        <f>IF(ISBLANK(Table1[[#This Row],[Age]]),AVERAGE(Table1[Age]),Table1[[#This Row],[Age]])</f>
        <v>38</v>
      </c>
      <c r="S715" t="str">
        <f>PROPER(Table1[[#This Row],[Country]])</f>
        <v>India</v>
      </c>
      <c r="T715" t="str">
        <f>TRIM(Table1[[#This Row],[Profession]])</f>
        <v>UNKNOWN</v>
      </c>
      <c r="U715" s="5">
        <f>IF(ISBLANK(H715),AVERAGEIF(Table1[[#This Row],[Profession imputed]],T715,Table1[Monthly_Income]),H715)</f>
        <v>1575</v>
      </c>
      <c r="V715" s="6" t="str">
        <f>PROPER(TRIM(Table1[AI_Tool]))</f>
        <v>Chat Gpt</v>
      </c>
      <c r="W715" s="8">
        <f>IF(ISBLANK(Table1[[#This Row],[Time_Saved_Hours_Per_Week]]),AVERAGEIF(Table1[Satisfaction_Score],Table1[[#This Row],[Satisfaction_Score]],Table1[Time_Saved_Hours_Per_Week]),Table1[[#This Row],[Time_Saved_Hours_Per_Week]])</f>
        <v>7.5</v>
      </c>
    </row>
    <row r="716" spans="1:23" x14ac:dyDescent="0.25">
      <c r="A716" t="s">
        <v>1116</v>
      </c>
      <c r="B716">
        <v>30</v>
      </c>
      <c r="C716" t="s">
        <v>29</v>
      </c>
      <c r="D716" t="s">
        <v>30</v>
      </c>
      <c r="E716" t="s">
        <v>24</v>
      </c>
      <c r="F716" t="s">
        <v>25</v>
      </c>
      <c r="G716" t="s">
        <v>1097</v>
      </c>
      <c r="H716">
        <v>1579</v>
      </c>
      <c r="I716" t="s">
        <v>139</v>
      </c>
      <c r="J716" s="6" t="s">
        <v>130</v>
      </c>
      <c r="K716" s="15">
        <v>0.7</v>
      </c>
      <c r="L716" s="5">
        <v>0</v>
      </c>
      <c r="M716" s="15">
        <v>4</v>
      </c>
      <c r="N716">
        <v>3</v>
      </c>
      <c r="O716">
        <v>6</v>
      </c>
      <c r="P716">
        <v>4.4000000000000004</v>
      </c>
      <c r="Q716">
        <v>8.1</v>
      </c>
      <c r="R716" s="2">
        <f>IF(ISBLANK(Table1[[#This Row],[Age]]),AVERAGE(Table1[Age]),Table1[[#This Row],[Age]])</f>
        <v>30</v>
      </c>
      <c r="S716" t="str">
        <f>PROPER(Table1[[#This Row],[Country]])</f>
        <v>Brazil</v>
      </c>
      <c r="T716" t="str">
        <f>TRIM(Table1[[#This Row],[Profession]])</f>
        <v>Tech Lead</v>
      </c>
      <c r="U716" s="5">
        <f>IF(ISBLANK(H716),AVERAGEIF(Table1[[#This Row],[Profession imputed]],T716,Table1[Monthly_Income]),H716)</f>
        <v>1579</v>
      </c>
      <c r="V716" s="6" t="str">
        <f>PROPER(TRIM(Table1[AI_Tool]))</f>
        <v>Microsoft Copilot</v>
      </c>
      <c r="W716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717" spans="1:23" x14ac:dyDescent="0.25">
      <c r="A717" t="s">
        <v>1132</v>
      </c>
      <c r="B717">
        <v>40</v>
      </c>
      <c r="C717" t="s">
        <v>29</v>
      </c>
      <c r="D717" t="s">
        <v>205</v>
      </c>
      <c r="E717" t="s">
        <v>24</v>
      </c>
      <c r="F717" t="s">
        <v>50</v>
      </c>
      <c r="G717" t="s">
        <v>73</v>
      </c>
      <c r="H717">
        <v>1595</v>
      </c>
      <c r="I717" t="s">
        <v>271</v>
      </c>
      <c r="J717" s="6" t="s">
        <v>38</v>
      </c>
      <c r="K717" s="15">
        <v>1.7</v>
      </c>
      <c r="L717" s="5">
        <v>10</v>
      </c>
      <c r="M717" s="15">
        <v>0</v>
      </c>
      <c r="N717">
        <v>2</v>
      </c>
      <c r="O717">
        <v>5</v>
      </c>
      <c r="P717">
        <v>7.5</v>
      </c>
      <c r="Q717">
        <v>9.4</v>
      </c>
      <c r="R717" s="2">
        <f>IF(ISBLANK(Table1[[#This Row],[Age]]),AVERAGE(Table1[Age]),Table1[[#This Row],[Age]])</f>
        <v>40</v>
      </c>
      <c r="S717" t="str">
        <f>PROPER(Table1[[#This Row],[Country]])</f>
        <v>India</v>
      </c>
      <c r="T717" t="str">
        <f>TRIM(Table1[[#This Row],[Profession]])</f>
        <v>UNKNOWN</v>
      </c>
      <c r="U717" s="5">
        <f>IF(ISBLANK(H717),AVERAGEIF(Table1[[#This Row],[Profession imputed]],T717,Table1[Monthly_Income]),H717)</f>
        <v>1595</v>
      </c>
      <c r="V717" s="6" t="str">
        <f>PROPER(TRIM(Table1[AI_Tool]))</f>
        <v>Chat Gpt</v>
      </c>
      <c r="W717" s="8">
        <f>IF(ISBLANK(Table1[[#This Row],[Time_Saved_Hours_Per_Week]]),AVERAGEIF(Table1[Satisfaction_Score],Table1[[#This Row],[Satisfaction_Score]],Table1[Time_Saved_Hours_Per_Week]),Table1[[#This Row],[Time_Saved_Hours_Per_Week]])</f>
        <v>7.5</v>
      </c>
    </row>
    <row r="718" spans="1:23" x14ac:dyDescent="0.25">
      <c r="A718" t="s">
        <v>59</v>
      </c>
      <c r="B718">
        <v>44</v>
      </c>
      <c r="C718" t="s">
        <v>22</v>
      </c>
      <c r="D718" t="s">
        <v>30</v>
      </c>
      <c r="E718" t="s">
        <v>24</v>
      </c>
      <c r="F718" t="s">
        <v>45</v>
      </c>
      <c r="G718" t="s">
        <v>46</v>
      </c>
      <c r="H718">
        <v>1613</v>
      </c>
      <c r="I718" t="s">
        <v>1186</v>
      </c>
      <c r="J718" s="6" t="s">
        <v>47</v>
      </c>
      <c r="K718" s="15">
        <v>4.2</v>
      </c>
      <c r="L718" s="5">
        <v>0</v>
      </c>
      <c r="M718" s="15">
        <v>5.9</v>
      </c>
      <c r="N718">
        <v>3</v>
      </c>
      <c r="O718">
        <v>8</v>
      </c>
      <c r="P718">
        <v>5.6</v>
      </c>
      <c r="Q718">
        <v>10</v>
      </c>
      <c r="R718" s="2">
        <f>IF(ISBLANK(Table1[[#This Row],[Age]]),AVERAGE(Table1[Age]),Table1[[#This Row],[Age]])</f>
        <v>44</v>
      </c>
      <c r="S718" t="str">
        <f>PROPER(Table1[[#This Row],[Country]])</f>
        <v>Brazil</v>
      </c>
      <c r="T718" t="str">
        <f>TRIM(Table1[[#This Row],[Profession]])</f>
        <v>Administrative Assistant</v>
      </c>
      <c r="U718" s="5">
        <f>IF(ISBLANK(H718),AVERAGEIF(Table1[[#This Row],[Profession imputed]],T718,Table1[Monthly_Income]),H718)</f>
        <v>1613</v>
      </c>
      <c r="V718" s="6" t="str">
        <f>PROPER(TRIM(Table1[AI_Tool]))</f>
        <v>Google Gemini</v>
      </c>
      <c r="W718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719" spans="1:23" x14ac:dyDescent="0.25">
      <c r="A719" t="s">
        <v>76</v>
      </c>
      <c r="B719">
        <v>25</v>
      </c>
      <c r="C719" t="s">
        <v>29</v>
      </c>
      <c r="D719" t="s">
        <v>73</v>
      </c>
      <c r="E719" t="s">
        <v>24</v>
      </c>
      <c r="F719" t="s">
        <v>31</v>
      </c>
      <c r="G719" t="s">
        <v>74</v>
      </c>
      <c r="H719">
        <v>1625</v>
      </c>
      <c r="I719" t="s">
        <v>271</v>
      </c>
      <c r="J719" s="6" t="s">
        <v>75</v>
      </c>
      <c r="K719" s="15">
        <v>4.4000000000000004</v>
      </c>
      <c r="L719" s="5">
        <v>0</v>
      </c>
      <c r="M719" s="15">
        <v>7.8</v>
      </c>
      <c r="N719">
        <v>4</v>
      </c>
      <c r="O719">
        <v>9</v>
      </c>
      <c r="P719">
        <v>7.1</v>
      </c>
      <c r="Q719">
        <v>5.8</v>
      </c>
      <c r="R719" s="2">
        <f>IF(ISBLANK(Table1[[#This Row],[Age]]),AVERAGE(Table1[Age]),Table1[[#This Row],[Age]])</f>
        <v>25</v>
      </c>
      <c r="S719" t="str">
        <f>PROPER(Table1[[#This Row],[Country]])</f>
        <v>Unknown</v>
      </c>
      <c r="T719" t="str">
        <f>TRIM(Table1[[#This Row],[Profession]])</f>
        <v>AI Content Strategist</v>
      </c>
      <c r="U719" s="5">
        <f>IF(ISBLANK(H719),AVERAGEIF(Table1[[#This Row],[Profession imputed]],T719,Table1[Monthly_Income]),H719)</f>
        <v>1625</v>
      </c>
      <c r="V719" s="6" t="str">
        <f>PROPER(TRIM(Table1[AI_Tool]))</f>
        <v>Chat Gpt</v>
      </c>
      <c r="W719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20" spans="1:23" x14ac:dyDescent="0.25">
      <c r="A720" t="s">
        <v>72</v>
      </c>
      <c r="B720">
        <v>25</v>
      </c>
      <c r="C720" t="s">
        <v>29</v>
      </c>
      <c r="D720" t="s">
        <v>73</v>
      </c>
      <c r="E720" t="s">
        <v>24</v>
      </c>
      <c r="F720" t="s">
        <v>31</v>
      </c>
      <c r="G720" t="s">
        <v>74</v>
      </c>
      <c r="H720">
        <v>1632</v>
      </c>
      <c r="I720" t="s">
        <v>271</v>
      </c>
      <c r="J720" s="6" t="s">
        <v>75</v>
      </c>
      <c r="K720" s="15">
        <v>4.4000000000000004</v>
      </c>
      <c r="L720" s="5">
        <v>0</v>
      </c>
      <c r="M720" s="15">
        <v>7.8</v>
      </c>
      <c r="N720">
        <v>4</v>
      </c>
      <c r="O720">
        <v>9</v>
      </c>
      <c r="P720">
        <v>7.1</v>
      </c>
      <c r="Q720">
        <v>5.8</v>
      </c>
      <c r="R720" s="2">
        <f>IF(ISBLANK(Table1[[#This Row],[Age]]),AVERAGE(Table1[Age]),Table1[[#This Row],[Age]])</f>
        <v>25</v>
      </c>
      <c r="S720" t="str">
        <f>PROPER(Table1[[#This Row],[Country]])</f>
        <v>Unknown</v>
      </c>
      <c r="T720" t="str">
        <f>TRIM(Table1[[#This Row],[Profession]])</f>
        <v>AI Content Strategist</v>
      </c>
      <c r="U720" s="5">
        <f>IF(ISBLANK(H720),AVERAGEIF(Table1[[#This Row],[Profession imputed]],T720,Table1[Monthly_Income]),H720)</f>
        <v>1632</v>
      </c>
      <c r="V720" s="6" t="str">
        <f>PROPER(TRIM(Table1[AI_Tool]))</f>
        <v>Chat Gpt</v>
      </c>
      <c r="W720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21" spans="1:23" x14ac:dyDescent="0.25">
      <c r="A721" t="s">
        <v>511</v>
      </c>
      <c r="B721">
        <v>26</v>
      </c>
      <c r="C721" t="s">
        <v>29</v>
      </c>
      <c r="D721" t="s">
        <v>205</v>
      </c>
      <c r="E721" t="s">
        <v>24</v>
      </c>
      <c r="F721" t="s">
        <v>50</v>
      </c>
      <c r="G721" t="s">
        <v>510</v>
      </c>
      <c r="H721">
        <v>1652</v>
      </c>
      <c r="I721" t="s">
        <v>1186</v>
      </c>
      <c r="J721" s="6" t="s">
        <v>106</v>
      </c>
      <c r="K721" s="15">
        <v>0.6</v>
      </c>
      <c r="L721" s="5">
        <v>50</v>
      </c>
      <c r="M721" s="15">
        <v>3.3</v>
      </c>
      <c r="N721">
        <v>3</v>
      </c>
      <c r="O721">
        <v>5</v>
      </c>
      <c r="P721">
        <v>4.2</v>
      </c>
      <c r="Q721">
        <v>10.5</v>
      </c>
      <c r="R721" s="2">
        <f>IF(ISBLANK(Table1[[#This Row],[Age]]),AVERAGE(Table1[Age]),Table1[[#This Row],[Age]])</f>
        <v>26</v>
      </c>
      <c r="S721" t="str">
        <f>PROPER(Table1[[#This Row],[Country]])</f>
        <v>India</v>
      </c>
      <c r="T721" t="str">
        <f>TRIM(Table1[[#This Row],[Profession]])</f>
        <v>Data Entry Operator</v>
      </c>
      <c r="U721" s="5">
        <f>IF(ISBLANK(H721),AVERAGEIF(Table1[Profession imputed],T721,Table1[Monthly_Income]),H721)</f>
        <v>1652</v>
      </c>
      <c r="V721" s="6" t="str">
        <f>PROPER(TRIM(Table1[AI_Tool]))</f>
        <v>Google Gemini</v>
      </c>
      <c r="W721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722" spans="1:23" x14ac:dyDescent="0.25">
      <c r="A722" t="s">
        <v>954</v>
      </c>
      <c r="B722">
        <v>38</v>
      </c>
      <c r="C722" t="s">
        <v>29</v>
      </c>
      <c r="D722" t="s">
        <v>52</v>
      </c>
      <c r="E722" t="s">
        <v>24</v>
      </c>
      <c r="F722" t="s">
        <v>55</v>
      </c>
      <c r="G722" t="s">
        <v>951</v>
      </c>
      <c r="H722">
        <v>1652</v>
      </c>
      <c r="I722" t="s">
        <v>271</v>
      </c>
      <c r="J722" s="6" t="s">
        <v>106</v>
      </c>
      <c r="K722" s="15">
        <v>0.7</v>
      </c>
      <c r="L722" s="5">
        <v>0</v>
      </c>
      <c r="M722" s="15">
        <v>3.8</v>
      </c>
      <c r="N722">
        <v>4</v>
      </c>
      <c r="O722">
        <v>8</v>
      </c>
      <c r="P722">
        <v>0.6</v>
      </c>
      <c r="Q722">
        <v>8.3000000000000007</v>
      </c>
      <c r="R722" s="2">
        <f>IF(ISBLANK(Table1[[#This Row],[Age]]),AVERAGE(Table1[Age]),Table1[[#This Row],[Age]])</f>
        <v>38</v>
      </c>
      <c r="S722" t="str">
        <f>PROPER(Table1[[#This Row],[Country]])</f>
        <v>India</v>
      </c>
      <c r="T722" t="str">
        <f>TRIM(Table1[[#This Row],[Profession]])</f>
        <v>Senior Data Scientist</v>
      </c>
      <c r="U722" s="5">
        <f>IF(ISBLANK(H722),AVERAGEIF(Table1[[#This Row],[Profession imputed]],T722,Table1[Monthly_Income]),H722)</f>
        <v>1652</v>
      </c>
      <c r="V722" s="6" t="str">
        <f>PROPER(TRIM(Table1[AI_Tool]))</f>
        <v>Chat Gpt</v>
      </c>
      <c r="W722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723" spans="1:23" x14ac:dyDescent="0.25">
      <c r="A723" t="s">
        <v>78</v>
      </c>
      <c r="B723">
        <v>25</v>
      </c>
      <c r="C723" t="s">
        <v>29</v>
      </c>
      <c r="D723" t="s">
        <v>73</v>
      </c>
      <c r="E723" t="s">
        <v>24</v>
      </c>
      <c r="F723" t="s">
        <v>31</v>
      </c>
      <c r="G723" t="s">
        <v>74</v>
      </c>
      <c r="H723">
        <v>1659</v>
      </c>
      <c r="I723" t="s">
        <v>271</v>
      </c>
      <c r="J723" s="6" t="s">
        <v>75</v>
      </c>
      <c r="K723" s="15">
        <v>4.4000000000000004</v>
      </c>
      <c r="L723" s="5">
        <v>0</v>
      </c>
      <c r="M723" s="15">
        <v>7.8</v>
      </c>
      <c r="N723">
        <v>4</v>
      </c>
      <c r="O723">
        <v>9</v>
      </c>
      <c r="P723">
        <v>7.1</v>
      </c>
      <c r="Q723">
        <v>5.8</v>
      </c>
      <c r="R723" s="2">
        <f>IF(ISBLANK(Table1[[#This Row],[Age]]),AVERAGE(Table1[Age]),Table1[[#This Row],[Age]])</f>
        <v>25</v>
      </c>
      <c r="S723" t="str">
        <f>PROPER(Table1[[#This Row],[Country]])</f>
        <v>Unknown</v>
      </c>
      <c r="T723" t="str">
        <f>TRIM(Table1[[#This Row],[Profession]])</f>
        <v>AI Content Strategist</v>
      </c>
      <c r="U723" s="5">
        <f>IF(ISBLANK(H723),AVERAGEIF(Table1[[#This Row],[Profession imputed]],T723,Table1[Monthly_Income]),H723)</f>
        <v>1659</v>
      </c>
      <c r="V723" s="6" t="str">
        <f>PROPER(TRIM(Table1[AI_Tool]))</f>
        <v>Chat Gpt</v>
      </c>
      <c r="W723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24" spans="1:23" x14ac:dyDescent="0.25">
      <c r="A724" t="s">
        <v>1103</v>
      </c>
      <c r="B724">
        <v>30</v>
      </c>
      <c r="C724" t="s">
        <v>29</v>
      </c>
      <c r="D724" t="s">
        <v>30</v>
      </c>
      <c r="E724" t="s">
        <v>24</v>
      </c>
      <c r="F724" t="s">
        <v>25</v>
      </c>
      <c r="G724" t="s">
        <v>1097</v>
      </c>
      <c r="H724">
        <v>1693</v>
      </c>
      <c r="I724" t="s">
        <v>139</v>
      </c>
      <c r="J724" s="6" t="s">
        <v>130</v>
      </c>
      <c r="K724" s="15">
        <v>0.7</v>
      </c>
      <c r="L724" s="5">
        <v>0</v>
      </c>
      <c r="M724" s="15">
        <v>4</v>
      </c>
      <c r="N724">
        <v>3</v>
      </c>
      <c r="O724">
        <v>6</v>
      </c>
      <c r="P724">
        <v>4.4000000000000004</v>
      </c>
      <c r="Q724">
        <v>8.1</v>
      </c>
      <c r="R724" s="2">
        <f>IF(ISBLANK(Table1[[#This Row],[Age]]),AVERAGE(Table1[Age]),Table1[[#This Row],[Age]])</f>
        <v>30</v>
      </c>
      <c r="S724" t="str">
        <f>PROPER(Table1[[#This Row],[Country]])</f>
        <v>Brazil</v>
      </c>
      <c r="T724" t="str">
        <f>TRIM(Table1[[#This Row],[Profession]])</f>
        <v>Tech Lead</v>
      </c>
      <c r="U724" s="5">
        <f>IF(ISBLANK(H724),AVERAGEIF(Table1[[#This Row],[Profession imputed]],T724,Table1[Monthly_Income]),H724)</f>
        <v>1693</v>
      </c>
      <c r="V724" s="6" t="str">
        <f>PROPER(TRIM(Table1[AI_Tool]))</f>
        <v>Microsoft Copilot</v>
      </c>
      <c r="W724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725" spans="1:23" x14ac:dyDescent="0.25">
      <c r="A725" t="s">
        <v>506</v>
      </c>
      <c r="B725">
        <v>30</v>
      </c>
      <c r="C725" t="s">
        <v>22</v>
      </c>
      <c r="D725" t="s">
        <v>52</v>
      </c>
      <c r="E725" t="s">
        <v>24</v>
      </c>
      <c r="F725" t="s">
        <v>55</v>
      </c>
      <c r="G725" t="s">
        <v>507</v>
      </c>
      <c r="H725">
        <v>1699</v>
      </c>
      <c r="I725" t="s">
        <v>69</v>
      </c>
      <c r="J725" s="6" t="s">
        <v>106</v>
      </c>
      <c r="K725" s="15">
        <v>5.5</v>
      </c>
      <c r="L725" s="5">
        <v>10</v>
      </c>
      <c r="M725" s="15">
        <v>0</v>
      </c>
      <c r="N725">
        <v>4</v>
      </c>
      <c r="O725">
        <v>8</v>
      </c>
      <c r="P725">
        <v>6.5</v>
      </c>
      <c r="Q725">
        <v>7.5</v>
      </c>
      <c r="R725" s="2">
        <f>IF(ISBLANK(Table1[[#This Row],[Age]]),AVERAGE(Table1[Age]),Table1[[#This Row],[Age]])</f>
        <v>30</v>
      </c>
      <c r="S725" t="str">
        <f>PROPER(Table1[[#This Row],[Country]])</f>
        <v>India</v>
      </c>
      <c r="T725" t="str">
        <f>TRIM(Table1[[#This Row],[Profession]])</f>
        <v>Data Analytics Manager</v>
      </c>
      <c r="U725" s="5">
        <f>IF(ISBLANK(H725),AVERAGEIF(Table1[Profession imputed],T725,Table1[Monthly_Income]),H725)</f>
        <v>1699</v>
      </c>
      <c r="V725" s="6" t="str">
        <f>PROPER(TRIM(Table1[AI_Tool]))</f>
        <v>Perplexity Ai</v>
      </c>
      <c r="W725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726" spans="1:23" x14ac:dyDescent="0.25">
      <c r="A726" t="s">
        <v>81</v>
      </c>
      <c r="B726">
        <v>23</v>
      </c>
      <c r="C726" t="s">
        <v>29</v>
      </c>
      <c r="D726" t="s">
        <v>73</v>
      </c>
      <c r="E726" t="s">
        <v>24</v>
      </c>
      <c r="F726" t="s">
        <v>31</v>
      </c>
      <c r="G726" t="s">
        <v>74</v>
      </c>
      <c r="H726">
        <v>1729</v>
      </c>
      <c r="I726" t="s">
        <v>271</v>
      </c>
      <c r="J726" s="6" t="s">
        <v>75</v>
      </c>
      <c r="K726" s="15">
        <v>4.4000000000000004</v>
      </c>
      <c r="L726" s="5">
        <v>0</v>
      </c>
      <c r="M726" s="15">
        <v>7.8</v>
      </c>
      <c r="N726">
        <v>4</v>
      </c>
      <c r="O726">
        <v>9</v>
      </c>
      <c r="P726">
        <v>7.1</v>
      </c>
      <c r="Q726">
        <v>5.8</v>
      </c>
      <c r="R726" s="2">
        <f>IF(ISBLANK(Table1[[#This Row],[Age]]),AVERAGE(Table1[Age]),Table1[[#This Row],[Age]])</f>
        <v>23</v>
      </c>
      <c r="S726" t="str">
        <f>PROPER(Table1[[#This Row],[Country]])</f>
        <v>Unknown</v>
      </c>
      <c r="T726" t="str">
        <f>TRIM(Table1[[#This Row],[Profession]])</f>
        <v>AI Content Strategist</v>
      </c>
      <c r="U726" s="5">
        <f>IF(ISBLANK(H726),AVERAGEIF(Table1[[#This Row],[Profession imputed]],T726,Table1[Monthly_Income]),H726)</f>
        <v>1729</v>
      </c>
      <c r="V726" s="6" t="str">
        <f>PROPER(TRIM(Table1[AI_Tool]))</f>
        <v>Chat Gpt</v>
      </c>
      <c r="W726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27" spans="1:23" x14ac:dyDescent="0.25">
      <c r="A727" t="s">
        <v>960</v>
      </c>
      <c r="B727">
        <v>40</v>
      </c>
      <c r="C727" t="s">
        <v>29</v>
      </c>
      <c r="D727" t="s">
        <v>52</v>
      </c>
      <c r="E727" t="s">
        <v>24</v>
      </c>
      <c r="F727" t="s">
        <v>55</v>
      </c>
      <c r="G727" t="s">
        <v>951</v>
      </c>
      <c r="H727">
        <v>1730</v>
      </c>
      <c r="I727" t="s">
        <v>271</v>
      </c>
      <c r="J727" s="6" t="s">
        <v>106</v>
      </c>
      <c r="K727" s="15">
        <v>0.7</v>
      </c>
      <c r="L727" s="5">
        <v>0</v>
      </c>
      <c r="M727" s="15">
        <v>3.8</v>
      </c>
      <c r="N727">
        <v>4</v>
      </c>
      <c r="O727">
        <v>8</v>
      </c>
      <c r="P727">
        <v>0.6</v>
      </c>
      <c r="Q727">
        <v>8.3000000000000007</v>
      </c>
      <c r="R727" s="2">
        <f>IF(ISBLANK(Table1[[#This Row],[Age]]),AVERAGE(Table1[Age]),Table1[[#This Row],[Age]])</f>
        <v>40</v>
      </c>
      <c r="S727" t="str">
        <f>PROPER(Table1[[#This Row],[Country]])</f>
        <v>India</v>
      </c>
      <c r="T727" t="str">
        <f>TRIM(Table1[[#This Row],[Profession]])</f>
        <v>Senior Data Scientist</v>
      </c>
      <c r="U727" s="5">
        <f>IF(ISBLANK(H727),AVERAGEIF(Table1[[#This Row],[Profession imputed]],T727,Table1[Monthly_Income]),H727)</f>
        <v>1730</v>
      </c>
      <c r="V727" s="6" t="str">
        <f>PROPER(TRIM(Table1[AI_Tool]))</f>
        <v>Chat Gpt</v>
      </c>
      <c r="W727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728" spans="1:23" x14ac:dyDescent="0.25">
      <c r="A728" t="s">
        <v>961</v>
      </c>
      <c r="B728">
        <v>39</v>
      </c>
      <c r="C728" t="s">
        <v>29</v>
      </c>
      <c r="D728" t="s">
        <v>52</v>
      </c>
      <c r="E728" t="s">
        <v>24</v>
      </c>
      <c r="F728" t="s">
        <v>55</v>
      </c>
      <c r="G728" t="s">
        <v>951</v>
      </c>
      <c r="H728">
        <v>1732</v>
      </c>
      <c r="I728" t="s">
        <v>271</v>
      </c>
      <c r="J728" s="6" t="s">
        <v>106</v>
      </c>
      <c r="K728" s="15">
        <v>0.7</v>
      </c>
      <c r="L728" s="5">
        <v>0</v>
      </c>
      <c r="M728" s="15">
        <v>3.8</v>
      </c>
      <c r="N728">
        <v>4</v>
      </c>
      <c r="O728">
        <v>8</v>
      </c>
      <c r="P728">
        <v>0.6</v>
      </c>
      <c r="Q728">
        <v>8.3000000000000007</v>
      </c>
      <c r="R728" s="2">
        <f>IF(ISBLANK(Table1[[#This Row],[Age]]),AVERAGE(Table1[Age]),Table1[[#This Row],[Age]])</f>
        <v>39</v>
      </c>
      <c r="S728" t="str">
        <f>PROPER(Table1[[#This Row],[Country]])</f>
        <v>India</v>
      </c>
      <c r="T728" t="str">
        <f>TRIM(Table1[[#This Row],[Profession]])</f>
        <v>Senior Data Scientist</v>
      </c>
      <c r="U728" s="5">
        <f>IF(ISBLANK(H728),AVERAGEIF(Table1[[#This Row],[Profession imputed]],T728,Table1[Monthly_Income]),H728)</f>
        <v>1732</v>
      </c>
      <c r="V728" s="6" t="str">
        <f>PROPER(TRIM(Table1[AI_Tool]))</f>
        <v>Chat Gpt</v>
      </c>
      <c r="W728" s="8">
        <f>IF(ISBLANK(Table1[[#This Row],[Time_Saved_Hours_Per_Week]]),AVERAGEIF(Table1[Satisfaction_Score],Table1[[#This Row],[Satisfaction_Score]],Table1[Time_Saved_Hours_Per_Week]),Table1[[#This Row],[Time_Saved_Hours_Per_Week]])</f>
        <v>0.6</v>
      </c>
    </row>
    <row r="729" spans="1:23" x14ac:dyDescent="0.25">
      <c r="A729" t="s">
        <v>102</v>
      </c>
      <c r="B729">
        <v>23</v>
      </c>
      <c r="C729" t="s">
        <v>29</v>
      </c>
      <c r="D729" t="s">
        <v>52</v>
      </c>
      <c r="E729" t="s">
        <v>24</v>
      </c>
      <c r="F729" t="s">
        <v>45</v>
      </c>
      <c r="G729" t="s">
        <v>101</v>
      </c>
      <c r="H729">
        <v>1742</v>
      </c>
      <c r="I729" t="s">
        <v>271</v>
      </c>
      <c r="J729" s="6" t="s">
        <v>27</v>
      </c>
      <c r="K729" s="15">
        <v>0.9</v>
      </c>
      <c r="L729" s="5">
        <v>10</v>
      </c>
      <c r="M729" s="15">
        <v>4.0999999999999996</v>
      </c>
      <c r="N729">
        <v>3</v>
      </c>
      <c r="O729">
        <v>6</v>
      </c>
      <c r="P729">
        <v>0</v>
      </c>
      <c r="Q729">
        <v>7.3</v>
      </c>
      <c r="R729" s="2">
        <f>IF(ISBLANK(Table1[[#This Row],[Age]]),AVERAGE(Table1[Age]),Table1[[#This Row],[Age]])</f>
        <v>23</v>
      </c>
      <c r="S729" t="str">
        <f>PROPER(Table1[[#This Row],[Country]])</f>
        <v>India</v>
      </c>
      <c r="T729" t="str">
        <f>TRIM(Table1[[#This Row],[Profession]])</f>
        <v>AI-Powered Customer Support Executive</v>
      </c>
      <c r="U729" s="5">
        <f>IF(ISBLANK(H729),AVERAGEIF(Table1[[#This Row],[Profession imputed]],T729,Table1[Monthly_Income]),H729)</f>
        <v>1742</v>
      </c>
      <c r="V729" s="6" t="str">
        <f>PROPER(TRIM(Table1[AI_Tool]))</f>
        <v>Chat Gpt</v>
      </c>
      <c r="W729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30" spans="1:23" x14ac:dyDescent="0.25">
      <c r="A730" t="s">
        <v>77</v>
      </c>
      <c r="B730">
        <v>24</v>
      </c>
      <c r="C730" t="s">
        <v>29</v>
      </c>
      <c r="D730" t="s">
        <v>73</v>
      </c>
      <c r="E730" t="s">
        <v>24</v>
      </c>
      <c r="F730" t="s">
        <v>31</v>
      </c>
      <c r="G730" t="s">
        <v>74</v>
      </c>
      <c r="H730">
        <v>1757</v>
      </c>
      <c r="I730" t="s">
        <v>271</v>
      </c>
      <c r="J730" s="6" t="s">
        <v>75</v>
      </c>
      <c r="K730" s="15">
        <v>4.4000000000000004</v>
      </c>
      <c r="L730" s="5">
        <v>0</v>
      </c>
      <c r="M730" s="15">
        <v>7.8</v>
      </c>
      <c r="N730">
        <v>4</v>
      </c>
      <c r="O730">
        <v>9</v>
      </c>
      <c r="P730">
        <v>7.1</v>
      </c>
      <c r="Q730">
        <v>5.8</v>
      </c>
      <c r="R730" s="2">
        <f>IF(ISBLANK(Table1[[#This Row],[Age]]),AVERAGE(Table1[Age]),Table1[[#This Row],[Age]])</f>
        <v>24</v>
      </c>
      <c r="S730" t="str">
        <f>PROPER(Table1[[#This Row],[Country]])</f>
        <v>Unknown</v>
      </c>
      <c r="T730" t="str">
        <f>TRIM(Table1[[#This Row],[Profession]])</f>
        <v>AI Content Strategist</v>
      </c>
      <c r="U730" s="5">
        <f>IF(ISBLANK(H730),AVERAGEIF(Table1[[#This Row],[Profession imputed]],T730,Table1[Monthly_Income]),H730)</f>
        <v>1757</v>
      </c>
      <c r="V730" s="6" t="str">
        <f>PROPER(TRIM(Table1[AI_Tool]))</f>
        <v>Chat Gpt</v>
      </c>
      <c r="W730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31" spans="1:23" x14ac:dyDescent="0.25">
      <c r="A731" t="s">
        <v>509</v>
      </c>
      <c r="B731">
        <v>24</v>
      </c>
      <c r="C731" t="s">
        <v>29</v>
      </c>
      <c r="D731" t="s">
        <v>205</v>
      </c>
      <c r="E731" t="s">
        <v>24</v>
      </c>
      <c r="F731" t="s">
        <v>50</v>
      </c>
      <c r="G731" t="s">
        <v>510</v>
      </c>
      <c r="H731">
        <v>1761</v>
      </c>
      <c r="I731" t="s">
        <v>1186</v>
      </c>
      <c r="J731" s="6" t="s">
        <v>106</v>
      </c>
      <c r="K731" s="15">
        <v>0.6</v>
      </c>
      <c r="L731" s="5">
        <v>50</v>
      </c>
      <c r="M731" s="15">
        <v>3.3</v>
      </c>
      <c r="N731">
        <v>3</v>
      </c>
      <c r="O731">
        <v>5</v>
      </c>
      <c r="P731">
        <v>4.2</v>
      </c>
      <c r="Q731">
        <v>10.5</v>
      </c>
      <c r="R731" s="2">
        <f>IF(ISBLANK(Table1[[#This Row],[Age]]),AVERAGE(Table1[Age]),Table1[[#This Row],[Age]])</f>
        <v>24</v>
      </c>
      <c r="S731" t="str">
        <f>PROPER(Table1[[#This Row],[Country]])</f>
        <v>India</v>
      </c>
      <c r="T731" t="str">
        <f>TRIM(Table1[[#This Row],[Profession]])</f>
        <v>Data Entry Operator</v>
      </c>
      <c r="U731" s="5">
        <f>IF(ISBLANK(H731),AVERAGEIF(Table1[Profession imputed],T731,Table1[Monthly_Income]),H731)</f>
        <v>1761</v>
      </c>
      <c r="V731" s="6" t="str">
        <f>PROPER(TRIM(Table1[AI_Tool]))</f>
        <v>Google Gemini</v>
      </c>
      <c r="W731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732" spans="1:23" x14ac:dyDescent="0.25">
      <c r="A732" t="s">
        <v>365</v>
      </c>
      <c r="B732">
        <v>64</v>
      </c>
      <c r="C732" t="s">
        <v>22</v>
      </c>
      <c r="D732" t="s">
        <v>52</v>
      </c>
      <c r="E732" t="s">
        <v>24</v>
      </c>
      <c r="F732" t="s">
        <v>55</v>
      </c>
      <c r="G732" s="16" t="s">
        <v>358</v>
      </c>
      <c r="H732">
        <v>1769</v>
      </c>
      <c r="I732" t="s">
        <v>253</v>
      </c>
      <c r="J732" s="6" t="s">
        <v>75</v>
      </c>
      <c r="K732" s="15">
        <v>5.3</v>
      </c>
      <c r="L732" s="5">
        <v>50</v>
      </c>
      <c r="M732" s="15">
        <v>7.8</v>
      </c>
      <c r="N732">
        <v>3</v>
      </c>
      <c r="O732">
        <v>6</v>
      </c>
      <c r="P732">
        <v>10.7</v>
      </c>
      <c r="Q732">
        <v>9.5</v>
      </c>
      <c r="R732" s="2">
        <f>IF(ISBLANK(Table1[[#This Row],[Age]]),AVERAGE(Table1[Age]),Table1[[#This Row],[Age]])</f>
        <v>64</v>
      </c>
      <c r="S732" t="str">
        <f>PROPER(Table1[[#This Row],[Country]])</f>
        <v>India</v>
      </c>
      <c r="T732" t="str">
        <f>TRIM(Table1[[#This Row],[Profession]])</f>
        <v>Content Strategy Manager</v>
      </c>
      <c r="U732" s="5">
        <f>IF(ISBLANK(H732),AVERAGEIF(Table1[[#This Row],[Profession imputed]],T732,Table1[Monthly_Income]),H732)</f>
        <v>1769</v>
      </c>
      <c r="V732" s="6" t="str">
        <f>PROPER(TRIM(Table1[AI_Tool]))</f>
        <v>Meta Ai</v>
      </c>
      <c r="W732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733" spans="1:23" x14ac:dyDescent="0.25">
      <c r="A733" t="s">
        <v>1114</v>
      </c>
      <c r="B733">
        <v>29</v>
      </c>
      <c r="C733" t="s">
        <v>29</v>
      </c>
      <c r="D733" t="s">
        <v>30</v>
      </c>
      <c r="E733" t="s">
        <v>24</v>
      </c>
      <c r="F733" t="s">
        <v>25</v>
      </c>
      <c r="G733" t="s">
        <v>1097</v>
      </c>
      <c r="H733">
        <v>1779</v>
      </c>
      <c r="I733" t="s">
        <v>139</v>
      </c>
      <c r="J733" s="6" t="s">
        <v>130</v>
      </c>
      <c r="K733" s="15">
        <v>0.7</v>
      </c>
      <c r="L733" s="5">
        <v>0</v>
      </c>
      <c r="M733" s="15">
        <v>4</v>
      </c>
      <c r="N733">
        <v>3</v>
      </c>
      <c r="O733">
        <v>6</v>
      </c>
      <c r="P733">
        <v>4.4000000000000004</v>
      </c>
      <c r="Q733">
        <v>8.1</v>
      </c>
      <c r="R733" s="2">
        <f>IF(ISBLANK(Table1[[#This Row],[Age]]),AVERAGE(Table1[Age]),Table1[[#This Row],[Age]])</f>
        <v>29</v>
      </c>
      <c r="S733" t="str">
        <f>PROPER(Table1[[#This Row],[Country]])</f>
        <v>Brazil</v>
      </c>
      <c r="T733" t="str">
        <f>TRIM(Table1[[#This Row],[Profession]])</f>
        <v>Tech Lead</v>
      </c>
      <c r="U733" s="5">
        <f>IF(ISBLANK(H733),AVERAGEIF(Table1[[#This Row],[Profession imputed]],T733,Table1[Monthly_Income]),H733)</f>
        <v>1779</v>
      </c>
      <c r="V733" s="6" t="str">
        <f>PROPER(TRIM(Table1[AI_Tool]))</f>
        <v>Microsoft Copilot</v>
      </c>
      <c r="W733" s="8">
        <f>IF(ISBLANK(Table1[[#This Row],[Time_Saved_Hours_Per_Week]]),AVERAGEIF(Table1[Satisfaction_Score],Table1[[#This Row],[Satisfaction_Score]],Table1[Time_Saved_Hours_Per_Week]),Table1[[#This Row],[Time_Saved_Hours_Per_Week]])</f>
        <v>4.4000000000000004</v>
      </c>
    </row>
    <row r="734" spans="1:23" x14ac:dyDescent="0.25">
      <c r="A734" t="s">
        <v>66</v>
      </c>
      <c r="B734">
        <v>42</v>
      </c>
      <c r="C734" t="s">
        <v>22</v>
      </c>
      <c r="D734" t="s">
        <v>30</v>
      </c>
      <c r="E734" t="s">
        <v>24</v>
      </c>
      <c r="F734" t="s">
        <v>45</v>
      </c>
      <c r="G734" t="s">
        <v>46</v>
      </c>
      <c r="H734">
        <v>1780</v>
      </c>
      <c r="I734" t="s">
        <v>1186</v>
      </c>
      <c r="J734" s="6" t="s">
        <v>47</v>
      </c>
      <c r="K734" s="15">
        <v>4.2</v>
      </c>
      <c r="L734" s="5">
        <v>0</v>
      </c>
      <c r="M734" s="15">
        <v>5.9</v>
      </c>
      <c r="N734">
        <v>3</v>
      </c>
      <c r="O734">
        <v>6</v>
      </c>
      <c r="P734">
        <v>5.6</v>
      </c>
      <c r="Q734">
        <v>10</v>
      </c>
      <c r="R734" s="2">
        <f>IF(ISBLANK(Table1[[#This Row],[Age]]),AVERAGE(Table1[Age]),Table1[[#This Row],[Age]])</f>
        <v>42</v>
      </c>
      <c r="S734" t="str">
        <f>PROPER(Table1[[#This Row],[Country]])</f>
        <v>Brazil</v>
      </c>
      <c r="T734" t="str">
        <f>TRIM(Table1[[#This Row],[Profession]])</f>
        <v>Administrative Assistant</v>
      </c>
      <c r="U734" s="5">
        <f>IF(ISBLANK(H734),AVERAGEIF(Table1[[#This Row],[Profession imputed]],T734,Table1[Monthly_Income]),H734)</f>
        <v>1780</v>
      </c>
      <c r="V734" s="6" t="str">
        <f>PROPER(TRIM(Table1[AI_Tool]))</f>
        <v>Google Gemini</v>
      </c>
      <c r="W734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735" spans="1:23" x14ac:dyDescent="0.25">
      <c r="A735" t="s">
        <v>109</v>
      </c>
      <c r="B735">
        <v>61</v>
      </c>
      <c r="C735" t="s">
        <v>22</v>
      </c>
      <c r="D735" t="s">
        <v>30</v>
      </c>
      <c r="E735" t="s">
        <v>24</v>
      </c>
      <c r="F735" t="s">
        <v>55</v>
      </c>
      <c r="G735" t="s">
        <v>105</v>
      </c>
      <c r="H735">
        <v>1781</v>
      </c>
      <c r="I735" t="s">
        <v>1186</v>
      </c>
      <c r="J735" s="6" t="s">
        <v>106</v>
      </c>
      <c r="K735" s="15">
        <v>1.5</v>
      </c>
      <c r="L735" s="5">
        <v>10</v>
      </c>
      <c r="M735" s="15">
        <v>4.9000000000000004</v>
      </c>
      <c r="N735">
        <v>3</v>
      </c>
      <c r="O735">
        <v>4</v>
      </c>
      <c r="Q735">
        <v>7.7</v>
      </c>
      <c r="R735" s="2">
        <f>IF(ISBLANK(Table1[[#This Row],[Age]]),AVERAGE(Table1[Age]),Table1[[#This Row],[Age]])</f>
        <v>61</v>
      </c>
      <c r="S735" t="str">
        <f>PROPER(Table1[[#This Row],[Country]])</f>
        <v>Brazil</v>
      </c>
      <c r="T735" t="str">
        <f>TRIM(Table1[[#This Row],[Profession]])</f>
        <v>Analyst Senior</v>
      </c>
      <c r="U735" s="5">
        <f>IF(ISBLANK(H735),AVERAGEIF(Table1[[#This Row],[Profession imputed]],T735,Table1[Monthly_Income]),H735)</f>
        <v>1781</v>
      </c>
      <c r="V735" s="6" t="str">
        <f>PROPER(TRIM(Table1[AI_Tool]))</f>
        <v>Google Gemini</v>
      </c>
      <c r="W735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736" spans="1:23" x14ac:dyDescent="0.25">
      <c r="A736" t="s">
        <v>1109</v>
      </c>
      <c r="B736">
        <v>53</v>
      </c>
      <c r="C736" t="s">
        <v>29</v>
      </c>
      <c r="D736" t="s">
        <v>30</v>
      </c>
      <c r="E736" t="s">
        <v>24</v>
      </c>
      <c r="F736" t="s">
        <v>55</v>
      </c>
      <c r="G736" t="s">
        <v>1097</v>
      </c>
      <c r="H736">
        <v>1804</v>
      </c>
      <c r="I736" t="s">
        <v>1186</v>
      </c>
      <c r="J736" s="6" t="s">
        <v>130</v>
      </c>
      <c r="K736" s="15">
        <v>1.4</v>
      </c>
      <c r="L736" s="5">
        <v>0</v>
      </c>
      <c r="M736" s="15">
        <v>3.9</v>
      </c>
      <c r="N736">
        <v>2</v>
      </c>
      <c r="O736">
        <v>4</v>
      </c>
      <c r="P736">
        <v>1.6</v>
      </c>
      <c r="Q736">
        <v>8.3000000000000007</v>
      </c>
      <c r="R736" s="2">
        <f>IF(ISBLANK(Table1[[#This Row],[Age]]),AVERAGE(Table1[Age]),Table1[[#This Row],[Age]])</f>
        <v>53</v>
      </c>
      <c r="S736" t="str">
        <f>PROPER(Table1[[#This Row],[Country]])</f>
        <v>Brazil</v>
      </c>
      <c r="T736" t="str">
        <f>TRIM(Table1[[#This Row],[Profession]])</f>
        <v>Tech Lead</v>
      </c>
      <c r="U736" s="5">
        <f>IF(ISBLANK(H736),AVERAGEIF(Table1[[#This Row],[Profession imputed]],T736,Table1[Monthly_Income]),H736)</f>
        <v>1804</v>
      </c>
      <c r="V736" s="6" t="str">
        <f>PROPER(TRIM(Table1[AI_Tool]))</f>
        <v>Google Gemini</v>
      </c>
      <c r="W736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37" spans="1:23" x14ac:dyDescent="0.25">
      <c r="A737" t="s">
        <v>508</v>
      </c>
      <c r="B737">
        <v>29</v>
      </c>
      <c r="C737" t="s">
        <v>22</v>
      </c>
      <c r="D737" t="s">
        <v>52</v>
      </c>
      <c r="E737" t="s">
        <v>24</v>
      </c>
      <c r="F737" t="s">
        <v>55</v>
      </c>
      <c r="G737" t="s">
        <v>507</v>
      </c>
      <c r="H737">
        <v>1867</v>
      </c>
      <c r="I737" t="s">
        <v>69</v>
      </c>
      <c r="J737" s="6" t="s">
        <v>106</v>
      </c>
      <c r="K737" s="15">
        <v>5.5</v>
      </c>
      <c r="L737" s="5">
        <v>10</v>
      </c>
      <c r="M737" s="15">
        <v>0</v>
      </c>
      <c r="N737">
        <v>4</v>
      </c>
      <c r="O737">
        <v>8</v>
      </c>
      <c r="P737">
        <v>6.5</v>
      </c>
      <c r="Q737">
        <v>7.5</v>
      </c>
      <c r="R737" s="2">
        <f>IF(ISBLANK(Table1[[#This Row],[Age]]),AVERAGE(Table1[Age]),Table1[[#This Row],[Age]])</f>
        <v>29</v>
      </c>
      <c r="S737" t="str">
        <f>PROPER(Table1[[#This Row],[Country]])</f>
        <v>India</v>
      </c>
      <c r="T737" t="str">
        <f>TRIM(Table1[[#This Row],[Profession]])</f>
        <v>Data Analytics Manager</v>
      </c>
      <c r="U737" s="5">
        <f>IF(ISBLANK(H737),AVERAGEIF(Table1[Profession imputed],T737,Table1[Monthly_Income]),H737)</f>
        <v>1867</v>
      </c>
      <c r="V737" s="6" t="str">
        <f>PROPER(TRIM(Table1[AI_Tool]))</f>
        <v>Perplexity Ai</v>
      </c>
      <c r="W737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738" spans="1:23" x14ac:dyDescent="0.25">
      <c r="A738" t="s">
        <v>104</v>
      </c>
      <c r="B738">
        <v>61</v>
      </c>
      <c r="C738" t="s">
        <v>22</v>
      </c>
      <c r="D738" t="s">
        <v>30</v>
      </c>
      <c r="E738" t="s">
        <v>24</v>
      </c>
      <c r="F738" t="s">
        <v>55</v>
      </c>
      <c r="G738" t="s">
        <v>105</v>
      </c>
      <c r="H738" s="1">
        <v>1884</v>
      </c>
      <c r="I738" t="s">
        <v>1186</v>
      </c>
      <c r="J738" s="6" t="s">
        <v>106</v>
      </c>
      <c r="K738" s="15">
        <v>1.5</v>
      </c>
      <c r="L738" s="5">
        <v>10</v>
      </c>
      <c r="M738" s="15">
        <v>4.9000000000000004</v>
      </c>
      <c r="N738">
        <v>3</v>
      </c>
      <c r="O738">
        <v>4</v>
      </c>
      <c r="Q738">
        <v>7.7</v>
      </c>
      <c r="R738" s="2">
        <f>IF(ISBLANK(Table1[[#This Row],[Age]]),AVERAGE(Table1[Age]),Table1[[#This Row],[Age]])</f>
        <v>61</v>
      </c>
      <c r="S738" t="str">
        <f>PROPER(Table1[[#This Row],[Country]])</f>
        <v>Brazil</v>
      </c>
      <c r="T738" t="str">
        <f>TRIM(Table1[[#This Row],[Profession]])</f>
        <v>Analyst Senior</v>
      </c>
      <c r="U738" s="5">
        <f>IF(ISBLANK(H738),AVERAGEIF(Table1[[#This Row],[Profession imputed]],T738,Table1[Monthly_Income]),H738)</f>
        <v>1884</v>
      </c>
      <c r="V738" s="6" t="str">
        <f>PROPER(TRIM(Table1[AI_Tool]))</f>
        <v>Google Gemini</v>
      </c>
      <c r="W738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739" spans="1:23" x14ac:dyDescent="0.25">
      <c r="A739" t="s">
        <v>512</v>
      </c>
      <c r="B739">
        <v>26</v>
      </c>
      <c r="C739" t="s">
        <v>29</v>
      </c>
      <c r="D739" t="s">
        <v>205</v>
      </c>
      <c r="E739" t="s">
        <v>24</v>
      </c>
      <c r="F739" t="s">
        <v>50</v>
      </c>
      <c r="G739" t="s">
        <v>510</v>
      </c>
      <c r="H739">
        <v>1901</v>
      </c>
      <c r="I739" t="s">
        <v>1186</v>
      </c>
      <c r="J739" s="6" t="s">
        <v>106</v>
      </c>
      <c r="K739" s="15">
        <v>0.6</v>
      </c>
      <c r="L739" s="5">
        <v>50</v>
      </c>
      <c r="M739" s="15">
        <v>3.3</v>
      </c>
      <c r="N739">
        <v>3</v>
      </c>
      <c r="O739">
        <v>5</v>
      </c>
      <c r="P739">
        <v>4.2</v>
      </c>
      <c r="Q739">
        <v>10.5</v>
      </c>
      <c r="R739" s="2">
        <f>IF(ISBLANK(Table1[[#This Row],[Age]]),AVERAGE(Table1[Age]),Table1[[#This Row],[Age]])</f>
        <v>26</v>
      </c>
      <c r="S739" t="str">
        <f>PROPER(Table1[[#This Row],[Country]])</f>
        <v>India</v>
      </c>
      <c r="T739" t="str">
        <f>TRIM(Table1[[#This Row],[Profession]])</f>
        <v>Data Entry Operator</v>
      </c>
      <c r="U739" s="5">
        <f>IF(ISBLANK(H739),AVERAGEIF(Table1[Profession imputed],T739,Table1[Monthly_Income]),H739)</f>
        <v>1901</v>
      </c>
      <c r="V739" s="6" t="str">
        <f>PROPER(TRIM(Table1[AI_Tool]))</f>
        <v>Google Gemini</v>
      </c>
      <c r="W739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740" spans="1:23" x14ac:dyDescent="0.25">
      <c r="A740" t="s">
        <v>513</v>
      </c>
      <c r="B740">
        <v>26</v>
      </c>
      <c r="C740" t="s">
        <v>29</v>
      </c>
      <c r="D740" t="s">
        <v>205</v>
      </c>
      <c r="E740" t="s">
        <v>24</v>
      </c>
      <c r="F740" t="s">
        <v>50</v>
      </c>
      <c r="G740" t="s">
        <v>510</v>
      </c>
      <c r="H740">
        <v>1941</v>
      </c>
      <c r="I740" t="s">
        <v>1186</v>
      </c>
      <c r="J740" s="6" t="s">
        <v>106</v>
      </c>
      <c r="K740" s="15">
        <v>0.6</v>
      </c>
      <c r="L740" s="5">
        <v>50</v>
      </c>
      <c r="M740" s="15">
        <v>3.3</v>
      </c>
      <c r="N740">
        <v>3</v>
      </c>
      <c r="O740">
        <v>5</v>
      </c>
      <c r="P740">
        <v>4.2</v>
      </c>
      <c r="Q740">
        <v>10.5</v>
      </c>
      <c r="R740" s="2">
        <f>IF(ISBLANK(Table1[[#This Row],[Age]]),AVERAGE(Table1[Age]),Table1[[#This Row],[Age]])</f>
        <v>26</v>
      </c>
      <c r="S740" t="str">
        <f>PROPER(Table1[[#This Row],[Country]])</f>
        <v>India</v>
      </c>
      <c r="T740" t="str">
        <f>TRIM(Table1[[#This Row],[Profession]])</f>
        <v>Data Entry Operator</v>
      </c>
      <c r="U740" s="5">
        <f>IF(ISBLANK(H740),AVERAGEIF(Table1[Profession imputed],T740,Table1[Monthly_Income]),H740)</f>
        <v>1941</v>
      </c>
      <c r="V740" s="6" t="str">
        <f>PROPER(TRIM(Table1[AI_Tool]))</f>
        <v>Google Gemini</v>
      </c>
      <c r="W740" s="8">
        <f>IF(ISBLANK(Table1[[#This Row],[Time_Saved_Hours_Per_Week]]),AVERAGEIF(Table1[Satisfaction_Score],Table1[[#This Row],[Satisfaction_Score]],Table1[Time_Saved_Hours_Per_Week]),Table1[[#This Row],[Time_Saved_Hours_Per_Week]])</f>
        <v>4.2</v>
      </c>
    </row>
    <row r="741" spans="1:23" x14ac:dyDescent="0.25">
      <c r="A741" t="s">
        <v>103</v>
      </c>
      <c r="B741">
        <v>26</v>
      </c>
      <c r="C741" t="s">
        <v>29</v>
      </c>
      <c r="D741" t="s">
        <v>52</v>
      </c>
      <c r="E741" t="s">
        <v>24</v>
      </c>
      <c r="F741" t="s">
        <v>45</v>
      </c>
      <c r="G741" t="s">
        <v>101</v>
      </c>
      <c r="H741">
        <v>1948</v>
      </c>
      <c r="I741" t="s">
        <v>271</v>
      </c>
      <c r="J741" s="6" t="s">
        <v>27</v>
      </c>
      <c r="K741" s="15">
        <v>0.9</v>
      </c>
      <c r="L741" s="5">
        <v>10</v>
      </c>
      <c r="M741" s="15">
        <v>4.0999999999999996</v>
      </c>
      <c r="N741">
        <v>3</v>
      </c>
      <c r="O741">
        <v>6</v>
      </c>
      <c r="P741">
        <v>0</v>
      </c>
      <c r="Q741">
        <v>7.3</v>
      </c>
      <c r="R741" s="2">
        <f>IF(ISBLANK(Table1[[#This Row],[Age]]),AVERAGE(Table1[Age]),Table1[[#This Row],[Age]])</f>
        <v>26</v>
      </c>
      <c r="S741" t="str">
        <f>PROPER(Table1[[#This Row],[Country]])</f>
        <v>India</v>
      </c>
      <c r="T741" t="str">
        <f>TRIM(Table1[[#This Row],[Profession]])</f>
        <v>AI-Powered Customer Support Executive</v>
      </c>
      <c r="U741" s="5">
        <f>IF(ISBLANK(H741),AVERAGEIF(Table1[[#This Row],[Profession imputed]],T741,Table1[Monthly_Income]),H741)</f>
        <v>1948</v>
      </c>
      <c r="V741" s="6" t="str">
        <f>PROPER(TRIM(Table1[AI_Tool]))</f>
        <v>Chat Gpt</v>
      </c>
      <c r="W741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42" spans="1:23" x14ac:dyDescent="0.25">
      <c r="A742" t="s">
        <v>835</v>
      </c>
      <c r="B742">
        <v>53</v>
      </c>
      <c r="C742" t="s">
        <v>29</v>
      </c>
      <c r="D742" t="s">
        <v>30</v>
      </c>
      <c r="E742" t="s">
        <v>24</v>
      </c>
      <c r="F742" t="s">
        <v>55</v>
      </c>
      <c r="G742" t="s">
        <v>832</v>
      </c>
      <c r="H742">
        <v>1954</v>
      </c>
      <c r="I742" t="s">
        <v>1186</v>
      </c>
      <c r="J742" s="6" t="s">
        <v>130</v>
      </c>
      <c r="K742" s="15">
        <v>1.4</v>
      </c>
      <c r="L742" s="5">
        <v>0</v>
      </c>
      <c r="M742" s="15">
        <v>3.9</v>
      </c>
      <c r="N742">
        <v>2</v>
      </c>
      <c r="O742">
        <v>4</v>
      </c>
      <c r="P742">
        <v>1.6</v>
      </c>
      <c r="Q742">
        <v>8.3000000000000007</v>
      </c>
      <c r="R742" s="2">
        <f>IF(ISBLANK(Table1[[#This Row],[Age]]),AVERAGE(Table1[Age]),Table1[[#This Row],[Age]])</f>
        <v>53</v>
      </c>
      <c r="S742" t="str">
        <f>PROPER(Table1[[#This Row],[Country]])</f>
        <v>Brazil</v>
      </c>
      <c r="T742" t="str">
        <f>TRIM(Table1[[#This Row],[Profession]])</f>
        <v>Machine Learning Student</v>
      </c>
      <c r="U742" s="5">
        <f>IF(ISBLANK(H742),AVERAGEIF(Table1[[#This Row],[Profession imputed]],T742,Table1[Monthly_Income]),H742)</f>
        <v>1954</v>
      </c>
      <c r="V742" s="6" t="str">
        <f>PROPER(TRIM(Table1[AI_Tool]))</f>
        <v>Google Gemini</v>
      </c>
      <c r="W742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43" spans="1:23" x14ac:dyDescent="0.25">
      <c r="A743" t="s">
        <v>364</v>
      </c>
      <c r="B743">
        <v>63</v>
      </c>
      <c r="C743" t="s">
        <v>22</v>
      </c>
      <c r="D743" t="s">
        <v>52</v>
      </c>
      <c r="E743" t="s">
        <v>24</v>
      </c>
      <c r="F743" t="s">
        <v>55</v>
      </c>
      <c r="G743" t="s">
        <v>358</v>
      </c>
      <c r="H743">
        <v>1974</v>
      </c>
      <c r="I743" t="s">
        <v>253</v>
      </c>
      <c r="J743" s="6" t="s">
        <v>75</v>
      </c>
      <c r="K743" s="15">
        <v>5.3</v>
      </c>
      <c r="L743" s="5">
        <v>50</v>
      </c>
      <c r="M743" s="15">
        <v>7.8</v>
      </c>
      <c r="N743">
        <v>3</v>
      </c>
      <c r="O743">
        <v>6</v>
      </c>
      <c r="P743">
        <v>10.7</v>
      </c>
      <c r="Q743">
        <v>9.5</v>
      </c>
      <c r="R743" s="2">
        <f>IF(ISBLANK(Table1[[#This Row],[Age]]),AVERAGE(Table1[Age]),Table1[[#This Row],[Age]])</f>
        <v>63</v>
      </c>
      <c r="S743" t="str">
        <f>PROPER(Table1[[#This Row],[Country]])</f>
        <v>India</v>
      </c>
      <c r="T743" t="str">
        <f>TRIM(Table1[[#This Row],[Profession]])</f>
        <v>Content Strategy Manager</v>
      </c>
      <c r="U743" s="5">
        <f>IF(ISBLANK(H743),AVERAGEIF(Table1[[#This Row],[Profession imputed]],T743,Table1[Monthly_Income]),H743)</f>
        <v>1974</v>
      </c>
      <c r="V743" s="6" t="str">
        <f>PROPER(TRIM(Table1[AI_Tool]))</f>
        <v>Meta Ai</v>
      </c>
      <c r="W743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744" spans="1:23" x14ac:dyDescent="0.25">
      <c r="A744" t="s">
        <v>100</v>
      </c>
      <c r="B744">
        <v>24</v>
      </c>
      <c r="C744" t="s">
        <v>29</v>
      </c>
      <c r="D744" t="s">
        <v>52</v>
      </c>
      <c r="E744" t="s">
        <v>24</v>
      </c>
      <c r="F744" t="s">
        <v>45</v>
      </c>
      <c r="G744" t="s">
        <v>101</v>
      </c>
      <c r="H744">
        <v>1977</v>
      </c>
      <c r="I744" t="s">
        <v>271</v>
      </c>
      <c r="J744" s="6" t="s">
        <v>27</v>
      </c>
      <c r="K744" s="15">
        <v>0.9</v>
      </c>
      <c r="L744" s="5">
        <v>10</v>
      </c>
      <c r="M744" s="15">
        <v>4.0999999999999996</v>
      </c>
      <c r="N744">
        <v>3</v>
      </c>
      <c r="O744">
        <v>6</v>
      </c>
      <c r="P744">
        <v>0</v>
      </c>
      <c r="Q744">
        <v>7.3</v>
      </c>
      <c r="R744" s="2">
        <f>IF(ISBLANK(Table1[[#This Row],[Age]]),AVERAGE(Table1[Age]),Table1[[#This Row],[Age]])</f>
        <v>24</v>
      </c>
      <c r="S744" t="str">
        <f>PROPER(Table1[[#This Row],[Country]])</f>
        <v>India</v>
      </c>
      <c r="T744" t="str">
        <f>TRIM(Table1[[#This Row],[Profession]])</f>
        <v>AI-Powered Customer Support Executive</v>
      </c>
      <c r="U744" s="5">
        <f>IF(ISBLANK(H744),AVERAGEIF(Table1[[#This Row],[Profession imputed]],T744,Table1[Monthly_Income]),H744)</f>
        <v>1977</v>
      </c>
      <c r="V744" s="6" t="str">
        <f>PROPER(TRIM(Table1[AI_Tool]))</f>
        <v>Chat Gpt</v>
      </c>
      <c r="W744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45" spans="1:23" x14ac:dyDescent="0.25">
      <c r="A745" t="s">
        <v>565</v>
      </c>
      <c r="B745">
        <v>33</v>
      </c>
      <c r="C745" t="s">
        <v>22</v>
      </c>
      <c r="D745" t="s">
        <v>30</v>
      </c>
      <c r="E745" t="s">
        <v>24</v>
      </c>
      <c r="F745" t="s">
        <v>25</v>
      </c>
      <c r="G745" t="s">
        <v>520</v>
      </c>
      <c r="H745">
        <v>1979</v>
      </c>
      <c r="I745" t="s">
        <v>1186</v>
      </c>
      <c r="J745" s="6" t="s">
        <v>33</v>
      </c>
      <c r="K745" s="15">
        <v>1.7</v>
      </c>
      <c r="L745" s="5">
        <v>10</v>
      </c>
      <c r="M745" s="15">
        <v>4</v>
      </c>
      <c r="N745">
        <v>4</v>
      </c>
      <c r="O745">
        <v>6</v>
      </c>
      <c r="P745">
        <v>6.2</v>
      </c>
      <c r="Q745">
        <v>7.3</v>
      </c>
      <c r="R745" s="2">
        <f>IF(ISBLANK(Table1[[#This Row],[Age]]),AVERAGE(Table1[Age]),Table1[[#This Row],[Age]])</f>
        <v>33</v>
      </c>
      <c r="S745" t="str">
        <f>PROPER(Table1[[#This Row],[Country]])</f>
        <v>Brazil</v>
      </c>
      <c r="T745" t="str">
        <f>TRIM(Table1[[#This Row],[Profession]])</f>
        <v>Data Science Student</v>
      </c>
      <c r="U745" s="5">
        <f>IF(ISBLANK(H745),AVERAGEIF(Table1[Profession imputed],T745,Table1[Monthly_Income]),H745)</f>
        <v>1979</v>
      </c>
      <c r="V745" s="6" t="str">
        <f>PROPER(TRIM(Table1[AI_Tool]))</f>
        <v>Google Gemini</v>
      </c>
      <c r="W745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746" spans="1:23" x14ac:dyDescent="0.25">
      <c r="A746" t="s">
        <v>564</v>
      </c>
      <c r="B746">
        <v>35</v>
      </c>
      <c r="C746" t="s">
        <v>22</v>
      </c>
      <c r="D746" t="s">
        <v>30</v>
      </c>
      <c r="E746" t="s">
        <v>24</v>
      </c>
      <c r="F746" t="s">
        <v>25</v>
      </c>
      <c r="G746" t="s">
        <v>520</v>
      </c>
      <c r="H746">
        <v>1991</v>
      </c>
      <c r="I746" t="s">
        <v>1186</v>
      </c>
      <c r="J746" s="6" t="s">
        <v>33</v>
      </c>
      <c r="K746" s="15">
        <v>1.7</v>
      </c>
      <c r="L746" s="5">
        <v>10</v>
      </c>
      <c r="M746" s="15">
        <v>4</v>
      </c>
      <c r="N746">
        <v>4</v>
      </c>
      <c r="O746">
        <v>6</v>
      </c>
      <c r="P746">
        <v>6.2</v>
      </c>
      <c r="Q746">
        <v>7.3</v>
      </c>
      <c r="R746" s="2">
        <f>IF(ISBLANK(Table1[[#This Row],[Age]]),AVERAGE(Table1[Age]),Table1[[#This Row],[Age]])</f>
        <v>35</v>
      </c>
      <c r="S746" t="str">
        <f>PROPER(Table1[[#This Row],[Country]])</f>
        <v>Brazil</v>
      </c>
      <c r="T746" t="str">
        <f>TRIM(Table1[[#This Row],[Profession]])</f>
        <v>Data Science Student</v>
      </c>
      <c r="U746" s="5">
        <f>IF(ISBLANK(H746),AVERAGEIF(Table1[Profession imputed],T746,Table1[Monthly_Income]),H746)</f>
        <v>1991</v>
      </c>
      <c r="V746" s="6" t="str">
        <f>PROPER(TRIM(Table1[AI_Tool]))</f>
        <v>Google Gemini</v>
      </c>
      <c r="W746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747" spans="1:23" x14ac:dyDescent="0.25">
      <c r="A747" t="s">
        <v>1102</v>
      </c>
      <c r="B747">
        <v>45</v>
      </c>
      <c r="C747" t="s">
        <v>29</v>
      </c>
      <c r="D747" t="s">
        <v>30</v>
      </c>
      <c r="E747" t="s">
        <v>24</v>
      </c>
      <c r="F747" t="s">
        <v>31</v>
      </c>
      <c r="G747" t="s">
        <v>1097</v>
      </c>
      <c r="I747" t="s">
        <v>271</v>
      </c>
      <c r="J747" s="6" t="s">
        <v>33</v>
      </c>
      <c r="K747" s="15">
        <v>0.6</v>
      </c>
      <c r="L747" s="5">
        <v>20</v>
      </c>
      <c r="M747" s="15">
        <v>4</v>
      </c>
      <c r="N747">
        <v>2</v>
      </c>
      <c r="O747">
        <v>5</v>
      </c>
      <c r="P747">
        <v>0</v>
      </c>
      <c r="Q747">
        <v>10.1</v>
      </c>
      <c r="R747" s="2">
        <f>IF(ISBLANK(Table1[[#This Row],[Age]]),AVERAGE(Table1[Age]),Table1[[#This Row],[Age]])</f>
        <v>45</v>
      </c>
      <c r="S747" t="str">
        <f>PROPER(Table1[[#This Row],[Country]])</f>
        <v>Brazil</v>
      </c>
      <c r="T747" t="str">
        <f>TRIM(Table1[[#This Row],[Profession]])</f>
        <v>Tech Lead</v>
      </c>
      <c r="U747" s="5">
        <f>IF(ISBLANK(H747),AVERAGEIF(Table1[Profession imputed],T747,Table1[Monthly_Income]),H747)</f>
        <v>2012.2105263157894</v>
      </c>
      <c r="V747" s="6" t="str">
        <f>PROPER(TRIM(Table1[AI_Tool]))</f>
        <v>Chat Gpt</v>
      </c>
      <c r="W747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48" spans="1:23" x14ac:dyDescent="0.25">
      <c r="A748" t="s">
        <v>1111</v>
      </c>
      <c r="B748">
        <v>43</v>
      </c>
      <c r="C748" t="s">
        <v>29</v>
      </c>
      <c r="D748" t="s">
        <v>30</v>
      </c>
      <c r="E748" t="s">
        <v>24</v>
      </c>
      <c r="F748" t="s">
        <v>31</v>
      </c>
      <c r="G748" t="s">
        <v>1097</v>
      </c>
      <c r="I748" t="s">
        <v>271</v>
      </c>
      <c r="J748" s="6" t="s">
        <v>33</v>
      </c>
      <c r="K748" s="15">
        <v>0.6</v>
      </c>
      <c r="L748" s="5">
        <v>20</v>
      </c>
      <c r="M748" s="15">
        <v>4</v>
      </c>
      <c r="N748">
        <v>2</v>
      </c>
      <c r="O748">
        <v>5</v>
      </c>
      <c r="P748">
        <v>0</v>
      </c>
      <c r="Q748">
        <v>10.1</v>
      </c>
      <c r="R748" s="2">
        <f>IF(ISBLANK(Table1[[#This Row],[Age]]),AVERAGE(Table1[Age]),Table1[[#This Row],[Age]])</f>
        <v>43</v>
      </c>
      <c r="S748" t="str">
        <f>PROPER(Table1[[#This Row],[Country]])</f>
        <v>Brazil</v>
      </c>
      <c r="T748" t="str">
        <f>TRIM(Table1[[#This Row],[Profession]])</f>
        <v>Tech Lead</v>
      </c>
      <c r="U748" s="5">
        <f>IF(ISBLANK(H748),AVERAGEIF(Table1[Profession imputed],T748,Table1[Monthly_Income]),H748)</f>
        <v>2012.2105263157894</v>
      </c>
      <c r="V748" s="6" t="str">
        <f>PROPER(TRIM(Table1[AI_Tool]))</f>
        <v>Chat Gpt</v>
      </c>
      <c r="W748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49" spans="1:23" x14ac:dyDescent="0.25">
      <c r="A749" t="s">
        <v>1112</v>
      </c>
      <c r="B749">
        <v>44</v>
      </c>
      <c r="C749" t="s">
        <v>29</v>
      </c>
      <c r="D749" t="s">
        <v>30</v>
      </c>
      <c r="E749" t="s">
        <v>24</v>
      </c>
      <c r="F749" t="s">
        <v>31</v>
      </c>
      <c r="G749" t="s">
        <v>1097</v>
      </c>
      <c r="I749" t="s">
        <v>271</v>
      </c>
      <c r="J749" s="6" t="s">
        <v>33</v>
      </c>
      <c r="K749" s="15">
        <v>0.6</v>
      </c>
      <c r="L749" s="5">
        <v>20</v>
      </c>
      <c r="M749" s="15">
        <v>4</v>
      </c>
      <c r="N749">
        <v>2</v>
      </c>
      <c r="O749">
        <v>5</v>
      </c>
      <c r="P749">
        <v>0</v>
      </c>
      <c r="Q749">
        <v>10.1</v>
      </c>
      <c r="R749" s="2">
        <f>IF(ISBLANK(Table1[[#This Row],[Age]]),AVERAGE(Table1[Age]),Table1[[#This Row],[Age]])</f>
        <v>44</v>
      </c>
      <c r="S749" t="str">
        <f>PROPER(Table1[[#This Row],[Country]])</f>
        <v>Brazil</v>
      </c>
      <c r="T749" t="str">
        <f>TRIM(Table1[[#This Row],[Profession]])</f>
        <v>Tech Lead</v>
      </c>
      <c r="U749" s="5">
        <f>IF(ISBLANK(H749),AVERAGEIF(Table1[Profession imputed],T749,Table1[Monthly_Income]),H749)</f>
        <v>2012.2105263157894</v>
      </c>
      <c r="V749" s="6" t="str">
        <f>PROPER(TRIM(Table1[AI_Tool]))</f>
        <v>Chat Gpt</v>
      </c>
      <c r="W749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50" spans="1:23" x14ac:dyDescent="0.25">
      <c r="A750" t="s">
        <v>1119</v>
      </c>
      <c r="B750">
        <v>45</v>
      </c>
      <c r="C750" t="s">
        <v>29</v>
      </c>
      <c r="D750" t="s">
        <v>30</v>
      </c>
      <c r="E750" t="s">
        <v>24</v>
      </c>
      <c r="F750" t="s">
        <v>31</v>
      </c>
      <c r="G750" t="s">
        <v>1097</v>
      </c>
      <c r="I750" t="s">
        <v>271</v>
      </c>
      <c r="J750" s="6" t="s">
        <v>33</v>
      </c>
      <c r="K750" s="15">
        <v>0.6</v>
      </c>
      <c r="L750" s="5">
        <v>20</v>
      </c>
      <c r="M750" s="15">
        <v>4</v>
      </c>
      <c r="N750">
        <v>2</v>
      </c>
      <c r="O750">
        <v>5</v>
      </c>
      <c r="P750">
        <v>0</v>
      </c>
      <c r="Q750">
        <v>10.1</v>
      </c>
      <c r="R750" s="2">
        <f>IF(ISBLANK(Table1[[#This Row],[Age]]),AVERAGE(Table1[Age]),Table1[[#This Row],[Age]])</f>
        <v>45</v>
      </c>
      <c r="S750" t="str">
        <f>PROPER(Table1[[#This Row],[Country]])</f>
        <v>Brazil</v>
      </c>
      <c r="T750" t="str">
        <f>TRIM(Table1[[#This Row],[Profession]])</f>
        <v>Tech Lead</v>
      </c>
      <c r="U750" s="5">
        <f>IF(ISBLANK(H750),AVERAGEIF(Table1[Profession imputed],T750,Table1[Monthly_Income]),H750)</f>
        <v>2012.2105263157894</v>
      </c>
      <c r="V750" s="6" t="str">
        <f>PROPER(TRIM(Table1[AI_Tool]))</f>
        <v>Chat Gpt</v>
      </c>
      <c r="W750" s="8">
        <f>IF(ISBLANK(Table1[[#This Row],[Time_Saved_Hours_Per_Week]]),AVERAGEIF(Table1[Satisfaction_Score],Table1[[#This Row],[Satisfaction_Score]],Table1[Time_Saved_Hours_Per_Week]),Table1[[#This Row],[Time_Saved_Hours_Per_Week]])</f>
        <v>0</v>
      </c>
    </row>
    <row r="751" spans="1:23" x14ac:dyDescent="0.25">
      <c r="A751" t="s">
        <v>1117</v>
      </c>
      <c r="B751">
        <v>54</v>
      </c>
      <c r="C751" t="s">
        <v>29</v>
      </c>
      <c r="D751" t="s">
        <v>30</v>
      </c>
      <c r="E751" t="s">
        <v>24</v>
      </c>
      <c r="F751" t="s">
        <v>55</v>
      </c>
      <c r="G751" t="s">
        <v>1097</v>
      </c>
      <c r="H751">
        <v>2024</v>
      </c>
      <c r="I751" t="s">
        <v>1186</v>
      </c>
      <c r="J751" s="6" t="s">
        <v>130</v>
      </c>
      <c r="K751" s="15">
        <v>1.4</v>
      </c>
      <c r="L751" s="5">
        <v>0</v>
      </c>
      <c r="M751" s="15">
        <v>3.9</v>
      </c>
      <c r="N751">
        <v>2</v>
      </c>
      <c r="O751">
        <v>4</v>
      </c>
      <c r="P751">
        <v>1.6</v>
      </c>
      <c r="Q751">
        <v>8.3000000000000007</v>
      </c>
      <c r="R751" s="2">
        <f>IF(ISBLANK(Table1[[#This Row],[Age]]),AVERAGE(Table1[Age]),Table1[[#This Row],[Age]])</f>
        <v>54</v>
      </c>
      <c r="S751" t="str">
        <f>PROPER(Table1[[#This Row],[Country]])</f>
        <v>Brazil</v>
      </c>
      <c r="T751" t="str">
        <f>TRIM(Table1[[#This Row],[Profession]])</f>
        <v>Tech Lead</v>
      </c>
      <c r="U751" s="5">
        <f>IF(ISBLANK(H751),AVERAGEIF(Table1[[#This Row],[Profession imputed]],T751,Table1[Monthly_Income]),H751)</f>
        <v>2024</v>
      </c>
      <c r="V751" s="6" t="str">
        <f>PROPER(TRIM(Table1[AI_Tool]))</f>
        <v>Google Gemini</v>
      </c>
      <c r="W751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52" spans="1:23" x14ac:dyDescent="0.25">
      <c r="A752" t="s">
        <v>359</v>
      </c>
      <c r="B752">
        <v>64</v>
      </c>
      <c r="C752" t="s">
        <v>22</v>
      </c>
      <c r="D752" t="s">
        <v>52</v>
      </c>
      <c r="E752" t="s">
        <v>24</v>
      </c>
      <c r="F752" t="s">
        <v>55</v>
      </c>
      <c r="G752" t="s">
        <v>358</v>
      </c>
      <c r="H752">
        <v>2050</v>
      </c>
      <c r="I752" t="s">
        <v>253</v>
      </c>
      <c r="J752" s="6" t="s">
        <v>75</v>
      </c>
      <c r="K752" s="15">
        <v>5.3</v>
      </c>
      <c r="L752" s="5">
        <v>50</v>
      </c>
      <c r="M752" s="15">
        <v>7.8</v>
      </c>
      <c r="N752">
        <v>3</v>
      </c>
      <c r="O752">
        <v>6</v>
      </c>
      <c r="P752">
        <v>10.7</v>
      </c>
      <c r="Q752">
        <v>9.5</v>
      </c>
      <c r="R752" s="2">
        <f>IF(ISBLANK(Table1[[#This Row],[Age]]),AVERAGE(Table1[Age]),Table1[[#This Row],[Age]])</f>
        <v>64</v>
      </c>
      <c r="S752" t="str">
        <f>PROPER(Table1[[#This Row],[Country]])</f>
        <v>India</v>
      </c>
      <c r="T752" t="str">
        <f>TRIM(Table1[[#This Row],[Profession]])</f>
        <v>Content Strategy Manager</v>
      </c>
      <c r="U752" s="5">
        <f>IF(ISBLANK(H752),AVERAGEIF(Table1[[#This Row],[Profession imputed]],T752,Table1[Monthly_Income]),H752)</f>
        <v>2050</v>
      </c>
      <c r="V752" s="6" t="str">
        <f>PROPER(TRIM(Table1[AI_Tool]))</f>
        <v>Meta Ai</v>
      </c>
      <c r="W752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753" spans="1:23" x14ac:dyDescent="0.25">
      <c r="A753" t="s">
        <v>1115</v>
      </c>
      <c r="B753">
        <v>54</v>
      </c>
      <c r="C753" t="s">
        <v>29</v>
      </c>
      <c r="D753" t="s">
        <v>30</v>
      </c>
      <c r="E753" t="s">
        <v>24</v>
      </c>
      <c r="F753" t="s">
        <v>55</v>
      </c>
      <c r="G753" t="s">
        <v>1097</v>
      </c>
      <c r="H753">
        <v>2051</v>
      </c>
      <c r="I753" t="s">
        <v>1186</v>
      </c>
      <c r="J753" s="6" t="s">
        <v>130</v>
      </c>
      <c r="K753" s="15">
        <v>1.4</v>
      </c>
      <c r="L753" s="5">
        <v>0</v>
      </c>
      <c r="M753" s="15">
        <v>3.9</v>
      </c>
      <c r="N753">
        <v>2</v>
      </c>
      <c r="O753">
        <v>4</v>
      </c>
      <c r="P753">
        <v>1.6</v>
      </c>
      <c r="Q753">
        <v>8.3000000000000007</v>
      </c>
      <c r="R753" s="2">
        <f>IF(ISBLANK(Table1[[#This Row],[Age]]),AVERAGE(Table1[Age]),Table1[[#This Row],[Age]])</f>
        <v>54</v>
      </c>
      <c r="S753" t="str">
        <f>PROPER(Table1[[#This Row],[Country]])</f>
        <v>Brazil</v>
      </c>
      <c r="T753" t="str">
        <f>TRIM(Table1[[#This Row],[Profession]])</f>
        <v>Tech Lead</v>
      </c>
      <c r="U753" s="5">
        <f>IF(ISBLANK(H753),AVERAGEIF(Table1[[#This Row],[Profession imputed]],T753,Table1[Monthly_Income]),H753)</f>
        <v>2051</v>
      </c>
      <c r="V753" s="6" t="str">
        <f>PROPER(TRIM(Table1[AI_Tool]))</f>
        <v>Google Gemini</v>
      </c>
      <c r="W753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54" spans="1:23" x14ac:dyDescent="0.25">
      <c r="A754" t="s">
        <v>390</v>
      </c>
      <c r="C754" t="s">
        <v>29</v>
      </c>
      <c r="D754" t="s">
        <v>117</v>
      </c>
      <c r="E754" t="s">
        <v>24</v>
      </c>
      <c r="F754" t="s">
        <v>45</v>
      </c>
      <c r="G754" t="s">
        <v>367</v>
      </c>
      <c r="H754">
        <v>2066</v>
      </c>
      <c r="I754" t="s">
        <v>69</v>
      </c>
      <c r="J754" s="6" t="s">
        <v>38</v>
      </c>
      <c r="K754" s="15">
        <v>4.4000000000000004</v>
      </c>
      <c r="L754" s="5">
        <v>20</v>
      </c>
      <c r="M754" s="15">
        <v>5.8</v>
      </c>
      <c r="N754">
        <v>5</v>
      </c>
      <c r="O754">
        <v>9</v>
      </c>
      <c r="P754">
        <v>11.3</v>
      </c>
      <c r="Q754">
        <v>7.8</v>
      </c>
      <c r="R754" s="2">
        <f>IF(ISBLANK(Table1[[#This Row],[Age]]),AVERAGE(Table1[Age]),Table1[[#This Row],[Age]])</f>
        <v>30.023333333333333</v>
      </c>
      <c r="S754" t="str">
        <f>PROPER(Table1[[#This Row],[Country]])</f>
        <v>United Kingdom</v>
      </c>
      <c r="T754" t="str">
        <f>TRIM(Table1[[#This Row],[Profession]])</f>
        <v>Content Writer</v>
      </c>
      <c r="U754" s="5">
        <f>IF(ISBLANK(H754),AVERAGEIF(Table1[[#This Row],[Profession imputed]],T754,Table1[Monthly_Income]),H754)</f>
        <v>2066</v>
      </c>
      <c r="V754" s="6" t="str">
        <f>PROPER(TRIM(Table1[AI_Tool]))</f>
        <v>Perplexity Ai</v>
      </c>
      <c r="W754" s="8">
        <f>IF(ISBLANK(Table1[[#This Row],[Time_Saved_Hours_Per_Week]]),AVERAGEIF(Table1[Satisfaction_Score],Table1[[#This Row],[Satisfaction_Score]],Table1[Time_Saved_Hours_Per_Week]),Table1[[#This Row],[Time_Saved_Hours_Per_Week]])</f>
        <v>11.3</v>
      </c>
    </row>
    <row r="755" spans="1:23" x14ac:dyDescent="0.25">
      <c r="A755" t="s">
        <v>597</v>
      </c>
      <c r="B755">
        <v>29</v>
      </c>
      <c r="C755" t="s">
        <v>22</v>
      </c>
      <c r="D755" t="s">
        <v>52</v>
      </c>
      <c r="E755" t="s">
        <v>24</v>
      </c>
      <c r="F755" t="s">
        <v>55</v>
      </c>
      <c r="G755" t="s">
        <v>598</v>
      </c>
      <c r="H755">
        <v>2090</v>
      </c>
      <c r="I755" t="s">
        <v>271</v>
      </c>
      <c r="J755" s="6" t="s">
        <v>75</v>
      </c>
      <c r="K755" s="15">
        <v>1.3</v>
      </c>
      <c r="L755" s="5">
        <v>0</v>
      </c>
      <c r="M755" s="15">
        <v>4.3</v>
      </c>
      <c r="N755">
        <v>3</v>
      </c>
      <c r="O755">
        <v>7</v>
      </c>
      <c r="P755">
        <v>2.6</v>
      </c>
      <c r="Q755">
        <v>9.9</v>
      </c>
      <c r="R755" s="2">
        <f>IF(ISBLANK(Table1[[#This Row],[Age]]),AVERAGE(Table1[Age]),Table1[[#This Row],[Age]])</f>
        <v>29</v>
      </c>
      <c r="S755" t="str">
        <f>PROPER(Table1[[#This Row],[Country]])</f>
        <v>India</v>
      </c>
      <c r="T755" t="str">
        <f>TRIM(Table1[[#This Row],[Profession]])</f>
        <v>Digital Content Strategist</v>
      </c>
      <c r="U755" s="5">
        <f>IF(ISBLANK(H755),AVERAGEIF(Table1[Profession imputed],T755,Table1[Monthly_Income]),H755)</f>
        <v>2090</v>
      </c>
      <c r="V755" s="6" t="str">
        <f>PROPER(TRIM(Table1[AI_Tool]))</f>
        <v>Chat Gpt</v>
      </c>
      <c r="W755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756" spans="1:23" x14ac:dyDescent="0.25">
      <c r="A756" t="s">
        <v>361</v>
      </c>
      <c r="B756">
        <v>65</v>
      </c>
      <c r="C756" t="s">
        <v>22</v>
      </c>
      <c r="D756" t="s">
        <v>52</v>
      </c>
      <c r="E756" t="s">
        <v>24</v>
      </c>
      <c r="F756" t="s">
        <v>55</v>
      </c>
      <c r="G756" t="s">
        <v>358</v>
      </c>
      <c r="H756">
        <v>2092</v>
      </c>
      <c r="I756" t="s">
        <v>253</v>
      </c>
      <c r="J756" s="6" t="s">
        <v>75</v>
      </c>
      <c r="K756" s="15">
        <v>5.3</v>
      </c>
      <c r="L756" s="5">
        <v>50</v>
      </c>
      <c r="M756" s="15">
        <v>7.8</v>
      </c>
      <c r="N756">
        <v>3</v>
      </c>
      <c r="O756">
        <v>6</v>
      </c>
      <c r="P756">
        <v>10.7</v>
      </c>
      <c r="Q756">
        <v>9.5</v>
      </c>
      <c r="R756" s="2">
        <f>IF(ISBLANK(Table1[[#This Row],[Age]]),AVERAGE(Table1[Age]),Table1[[#This Row],[Age]])</f>
        <v>65</v>
      </c>
      <c r="S756" t="str">
        <f>PROPER(Table1[[#This Row],[Country]])</f>
        <v>India</v>
      </c>
      <c r="T756" t="str">
        <f>TRIM(Table1[[#This Row],[Profession]])</f>
        <v>Content Strategy Manager</v>
      </c>
      <c r="U756" s="5">
        <f>IF(ISBLANK(H756),AVERAGEIF(Table1[[#This Row],[Profession imputed]],T756,Table1[Monthly_Income]),H756)</f>
        <v>2092</v>
      </c>
      <c r="V756" s="6" t="str">
        <f>PROPER(TRIM(Table1[AI_Tool]))</f>
        <v>Meta Ai</v>
      </c>
      <c r="W756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757" spans="1:23" x14ac:dyDescent="0.25">
      <c r="A757" t="s">
        <v>601</v>
      </c>
      <c r="B757">
        <v>29</v>
      </c>
      <c r="C757" t="s">
        <v>22</v>
      </c>
      <c r="D757" t="s">
        <v>52</v>
      </c>
      <c r="E757" t="s">
        <v>24</v>
      </c>
      <c r="F757" t="s">
        <v>55</v>
      </c>
      <c r="G757" t="s">
        <v>598</v>
      </c>
      <c r="H757">
        <v>2103</v>
      </c>
      <c r="I757" t="s">
        <v>271</v>
      </c>
      <c r="J757" s="6" t="s">
        <v>75</v>
      </c>
      <c r="K757" s="15">
        <v>1.3</v>
      </c>
      <c r="L757" s="5">
        <v>0</v>
      </c>
      <c r="M757" s="15">
        <v>4.3</v>
      </c>
      <c r="N757">
        <v>3</v>
      </c>
      <c r="O757">
        <v>7</v>
      </c>
      <c r="P757">
        <v>2.6</v>
      </c>
      <c r="Q757">
        <v>9.9</v>
      </c>
      <c r="R757" s="2">
        <f>IF(ISBLANK(Table1[[#This Row],[Age]]),AVERAGE(Table1[Age]),Table1[[#This Row],[Age]])</f>
        <v>29</v>
      </c>
      <c r="S757" t="str">
        <f>PROPER(Table1[[#This Row],[Country]])</f>
        <v>India</v>
      </c>
      <c r="T757" t="str">
        <f>TRIM(Table1[[#This Row],[Profession]])</f>
        <v>Digital Content Strategist</v>
      </c>
      <c r="U757" s="5">
        <f>IF(ISBLANK(H757),AVERAGEIF(Table1[Profession imputed],T757,Table1[Monthly_Income]),H757)</f>
        <v>2103</v>
      </c>
      <c r="V757" s="6" t="str">
        <f>PROPER(TRIM(Table1[AI_Tool]))</f>
        <v>Chat Gpt</v>
      </c>
      <c r="W757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758" spans="1:23" x14ac:dyDescent="0.25">
      <c r="A758" t="s">
        <v>1100</v>
      </c>
      <c r="B758">
        <v>55</v>
      </c>
      <c r="C758" t="s">
        <v>29</v>
      </c>
      <c r="D758" t="s">
        <v>30</v>
      </c>
      <c r="E758" t="s">
        <v>24</v>
      </c>
      <c r="F758" t="s">
        <v>55</v>
      </c>
      <c r="G758" t="s">
        <v>1097</v>
      </c>
      <c r="H758">
        <v>2116</v>
      </c>
      <c r="I758" t="s">
        <v>1186</v>
      </c>
      <c r="J758" s="6" t="s">
        <v>130</v>
      </c>
      <c r="K758" s="15">
        <v>1.4</v>
      </c>
      <c r="L758" s="5">
        <v>0</v>
      </c>
      <c r="M758" s="15">
        <v>3.9</v>
      </c>
      <c r="N758">
        <v>2</v>
      </c>
      <c r="O758">
        <v>4</v>
      </c>
      <c r="P758">
        <v>1.6</v>
      </c>
      <c r="Q758">
        <v>8.3000000000000007</v>
      </c>
      <c r="R758" s="2">
        <f>IF(ISBLANK(Table1[[#This Row],[Age]]),AVERAGE(Table1[Age]),Table1[[#This Row],[Age]])</f>
        <v>55</v>
      </c>
      <c r="S758" t="str">
        <f>PROPER(Table1[[#This Row],[Country]])</f>
        <v>Brazil</v>
      </c>
      <c r="T758" t="str">
        <f>TRIM(Table1[[#This Row],[Profession]])</f>
        <v>Tech Lead</v>
      </c>
      <c r="U758" s="5">
        <f>IF(ISBLANK(H758),AVERAGEIF(Table1[[#This Row],[Profession imputed]],T758,Table1[Monthly_Income]),H758)</f>
        <v>2116</v>
      </c>
      <c r="V758" s="6" t="str">
        <f>PROPER(TRIM(Table1[AI_Tool]))</f>
        <v>Google Gemini</v>
      </c>
      <c r="W758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59" spans="1:23" x14ac:dyDescent="0.25">
      <c r="A759" t="s">
        <v>107</v>
      </c>
      <c r="B759">
        <v>59</v>
      </c>
      <c r="C759" t="s">
        <v>22</v>
      </c>
      <c r="D759" t="s">
        <v>30</v>
      </c>
      <c r="E759" t="s">
        <v>24</v>
      </c>
      <c r="F759" t="s">
        <v>55</v>
      </c>
      <c r="G759" t="s">
        <v>105</v>
      </c>
      <c r="H759">
        <v>2117</v>
      </c>
      <c r="I759" t="s">
        <v>1186</v>
      </c>
      <c r="J759" s="6" t="s">
        <v>106</v>
      </c>
      <c r="K759" s="15">
        <v>1.5</v>
      </c>
      <c r="L759" s="5">
        <v>10</v>
      </c>
      <c r="M759" s="15">
        <v>4.9000000000000004</v>
      </c>
      <c r="N759">
        <v>3</v>
      </c>
      <c r="O759">
        <v>4</v>
      </c>
      <c r="Q759">
        <v>7.7</v>
      </c>
      <c r="R759" s="2">
        <f>IF(ISBLANK(Table1[[#This Row],[Age]]),AVERAGE(Table1[Age]),Table1[[#This Row],[Age]])</f>
        <v>59</v>
      </c>
      <c r="S759" t="str">
        <f>PROPER(Table1[[#This Row],[Country]])</f>
        <v>Brazil</v>
      </c>
      <c r="T759" t="str">
        <f>TRIM(Table1[[#This Row],[Profession]])</f>
        <v>Analyst Senior</v>
      </c>
      <c r="U759" s="5">
        <f>IF(ISBLANK(H759),AVERAGEIF(Table1[[#This Row],[Profession imputed]],T759,Table1[Monthly_Income]),H759)</f>
        <v>2117</v>
      </c>
      <c r="V759" s="6" t="str">
        <f>PROPER(TRIM(Table1[AI_Tool]))</f>
        <v>Google Gemini</v>
      </c>
      <c r="W759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760" spans="1:23" x14ac:dyDescent="0.25">
      <c r="A760" t="s">
        <v>108</v>
      </c>
      <c r="B760">
        <v>61</v>
      </c>
      <c r="C760" t="s">
        <v>22</v>
      </c>
      <c r="D760" t="s">
        <v>30</v>
      </c>
      <c r="E760" t="s">
        <v>24</v>
      </c>
      <c r="F760" t="s">
        <v>55</v>
      </c>
      <c r="G760" t="s">
        <v>105</v>
      </c>
      <c r="H760">
        <v>2158</v>
      </c>
      <c r="I760" t="s">
        <v>1186</v>
      </c>
      <c r="J760" s="6" t="s">
        <v>106</v>
      </c>
      <c r="K760" s="15">
        <v>1.5</v>
      </c>
      <c r="L760" s="5">
        <v>10</v>
      </c>
      <c r="M760" s="15">
        <v>4.9000000000000004</v>
      </c>
      <c r="N760">
        <v>3</v>
      </c>
      <c r="O760">
        <v>4</v>
      </c>
      <c r="Q760">
        <v>7.7</v>
      </c>
      <c r="R760" s="2">
        <f>IF(ISBLANK(Table1[[#This Row],[Age]]),AVERAGE(Table1[Age]),Table1[[#This Row],[Age]])</f>
        <v>61</v>
      </c>
      <c r="S760" t="str">
        <f>PROPER(Table1[[#This Row],[Country]])</f>
        <v>Brazil</v>
      </c>
      <c r="T760" t="str">
        <f>TRIM(Table1[[#This Row],[Profession]])</f>
        <v>Analyst Senior</v>
      </c>
      <c r="U760" s="5">
        <f>IF(ISBLANK(H760),AVERAGEIF(Table1[[#This Row],[Profession imputed]],T760,Table1[Monthly_Income]),H760)</f>
        <v>2158</v>
      </c>
      <c r="V760" s="6" t="str">
        <f>PROPER(TRIM(Table1[AI_Tool]))</f>
        <v>Google Gemini</v>
      </c>
      <c r="W760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761" spans="1:23" x14ac:dyDescent="0.25">
      <c r="A761" t="s">
        <v>600</v>
      </c>
      <c r="B761">
        <v>29</v>
      </c>
      <c r="C761" t="s">
        <v>22</v>
      </c>
      <c r="D761" t="s">
        <v>52</v>
      </c>
      <c r="E761" t="s">
        <v>24</v>
      </c>
      <c r="F761" t="s">
        <v>55</v>
      </c>
      <c r="G761" t="s">
        <v>598</v>
      </c>
      <c r="H761">
        <v>2192</v>
      </c>
      <c r="I761" t="s">
        <v>271</v>
      </c>
      <c r="J761" s="6" t="s">
        <v>75</v>
      </c>
      <c r="K761" s="15">
        <v>1.3</v>
      </c>
      <c r="L761" s="5">
        <v>0</v>
      </c>
      <c r="M761" s="15">
        <v>4.3</v>
      </c>
      <c r="N761">
        <v>3</v>
      </c>
      <c r="O761">
        <v>7</v>
      </c>
      <c r="P761">
        <v>2.6</v>
      </c>
      <c r="Q761">
        <v>9.9</v>
      </c>
      <c r="R761" s="2">
        <f>IF(ISBLANK(Table1[[#This Row],[Age]]),AVERAGE(Table1[Age]),Table1[[#This Row],[Age]])</f>
        <v>29</v>
      </c>
      <c r="S761" t="str">
        <f>PROPER(Table1[[#This Row],[Country]])</f>
        <v>India</v>
      </c>
      <c r="T761" t="str">
        <f>TRIM(Table1[[#This Row],[Profession]])</f>
        <v>Digital Content Strategist</v>
      </c>
      <c r="U761" s="5">
        <f>IF(ISBLANK(H761),AVERAGEIF(Table1[Profession imputed],T761,Table1[Monthly_Income]),H761)</f>
        <v>2192</v>
      </c>
      <c r="V761" s="6" t="str">
        <f>PROPER(TRIM(Table1[AI_Tool]))</f>
        <v>Chat Gpt</v>
      </c>
      <c r="W761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762" spans="1:23" x14ac:dyDescent="0.25">
      <c r="A762" t="s">
        <v>1113</v>
      </c>
      <c r="B762">
        <v>54</v>
      </c>
      <c r="C762" t="s">
        <v>29</v>
      </c>
      <c r="D762" t="s">
        <v>30</v>
      </c>
      <c r="E762" t="s">
        <v>24</v>
      </c>
      <c r="F762" t="s">
        <v>55</v>
      </c>
      <c r="G762" t="s">
        <v>1097</v>
      </c>
      <c r="H762">
        <v>2201</v>
      </c>
      <c r="I762" t="s">
        <v>1186</v>
      </c>
      <c r="J762" s="6" t="s">
        <v>130</v>
      </c>
      <c r="K762" s="15">
        <v>1.4</v>
      </c>
      <c r="L762" s="5">
        <v>0</v>
      </c>
      <c r="M762" s="15">
        <v>3.9</v>
      </c>
      <c r="N762">
        <v>2</v>
      </c>
      <c r="O762">
        <v>4</v>
      </c>
      <c r="P762">
        <v>1.6</v>
      </c>
      <c r="Q762">
        <v>8.3000000000000007</v>
      </c>
      <c r="R762" s="2">
        <f>IF(ISBLANK(Table1[[#This Row],[Age]]),AVERAGE(Table1[Age]),Table1[[#This Row],[Age]])</f>
        <v>54</v>
      </c>
      <c r="S762" t="str">
        <f>PROPER(Table1[[#This Row],[Country]])</f>
        <v>Brazil</v>
      </c>
      <c r="T762" t="str">
        <f>TRIM(Table1[[#This Row],[Profession]])</f>
        <v>Tech Lead</v>
      </c>
      <c r="U762" s="5">
        <f>IF(ISBLANK(H762),AVERAGEIF(Table1[[#This Row],[Profession imputed]],T762,Table1[Monthly_Income]),H762)</f>
        <v>2201</v>
      </c>
      <c r="V762" s="6" t="str">
        <f>PROPER(TRIM(Table1[AI_Tool]))</f>
        <v>Google Gemini</v>
      </c>
      <c r="W762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63" spans="1:23" x14ac:dyDescent="0.25">
      <c r="A763" t="s">
        <v>363</v>
      </c>
      <c r="B763">
        <v>65</v>
      </c>
      <c r="C763" t="s">
        <v>22</v>
      </c>
      <c r="D763" t="s">
        <v>52</v>
      </c>
      <c r="E763" t="s">
        <v>24</v>
      </c>
      <c r="F763" t="s">
        <v>55</v>
      </c>
      <c r="G763" t="s">
        <v>358</v>
      </c>
      <c r="H763">
        <v>2203</v>
      </c>
      <c r="I763" t="s">
        <v>253</v>
      </c>
      <c r="J763" s="6" t="s">
        <v>75</v>
      </c>
      <c r="K763" s="15">
        <v>5.3</v>
      </c>
      <c r="L763" s="5">
        <v>50</v>
      </c>
      <c r="M763" s="15">
        <v>7.8</v>
      </c>
      <c r="N763">
        <v>3</v>
      </c>
      <c r="O763">
        <v>6</v>
      </c>
      <c r="P763">
        <v>10.7</v>
      </c>
      <c r="Q763">
        <v>9.5</v>
      </c>
      <c r="R763" s="2">
        <f>IF(ISBLANK(Table1[[#This Row],[Age]]),AVERAGE(Table1[Age]),Table1[[#This Row],[Age]])</f>
        <v>65</v>
      </c>
      <c r="S763" t="str">
        <f>PROPER(Table1[[#This Row],[Country]])</f>
        <v>India</v>
      </c>
      <c r="T763" t="str">
        <f>TRIM(Table1[[#This Row],[Profession]])</f>
        <v>Content Strategy Manager</v>
      </c>
      <c r="U763" s="5">
        <f>IF(ISBLANK(H763),AVERAGEIF(Table1[[#This Row],[Profession imputed]],T763,Table1[Monthly_Income]),H763)</f>
        <v>2203</v>
      </c>
      <c r="V763" s="6" t="str">
        <f>PROPER(TRIM(Table1[AI_Tool]))</f>
        <v>Meta Ai</v>
      </c>
      <c r="W763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764" spans="1:23" x14ac:dyDescent="0.25">
      <c r="A764" t="s">
        <v>64</v>
      </c>
      <c r="B764">
        <v>54</v>
      </c>
      <c r="C764" t="s">
        <v>22</v>
      </c>
      <c r="D764" t="s">
        <v>52</v>
      </c>
      <c r="E764" t="s">
        <v>24</v>
      </c>
      <c r="F764" t="s">
        <v>25</v>
      </c>
      <c r="G764" t="s">
        <v>46</v>
      </c>
      <c r="H764">
        <v>2225</v>
      </c>
      <c r="I764" t="s">
        <v>1186</v>
      </c>
      <c r="J764" s="6" t="s">
        <v>47</v>
      </c>
      <c r="K764" s="15">
        <v>3.9</v>
      </c>
      <c r="L764" s="5">
        <v>0</v>
      </c>
      <c r="M764" s="15">
        <v>7.7</v>
      </c>
      <c r="N764">
        <v>4</v>
      </c>
      <c r="O764">
        <v>8</v>
      </c>
      <c r="P764">
        <v>6.8</v>
      </c>
      <c r="Q764">
        <v>7.6</v>
      </c>
      <c r="R764" s="2">
        <f>IF(ISBLANK(Table1[[#This Row],[Age]]),AVERAGE(Table1[Age]),Table1[[#This Row],[Age]])</f>
        <v>54</v>
      </c>
      <c r="S764" t="str">
        <f>PROPER(Table1[[#This Row],[Country]])</f>
        <v>India</v>
      </c>
      <c r="T764" t="str">
        <f>TRIM(Table1[[#This Row],[Profession]])</f>
        <v>Administrative Assistant</v>
      </c>
      <c r="U764" s="5">
        <f>IF(ISBLANK(H764),AVERAGEIF(Table1[[#This Row],[Profession imputed]],T764,Table1[Monthly_Income]),H764)</f>
        <v>2225</v>
      </c>
      <c r="V764" s="6" t="str">
        <f>PROPER(TRIM(Table1[AI_Tool]))</f>
        <v>Google Gemini</v>
      </c>
      <c r="W764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765" spans="1:23" x14ac:dyDescent="0.25">
      <c r="A765" t="s">
        <v>566</v>
      </c>
      <c r="B765">
        <v>34</v>
      </c>
      <c r="C765" t="s">
        <v>22</v>
      </c>
      <c r="D765" t="s">
        <v>30</v>
      </c>
      <c r="E765" t="s">
        <v>24</v>
      </c>
      <c r="F765" t="s">
        <v>25</v>
      </c>
      <c r="G765" t="s">
        <v>520</v>
      </c>
      <c r="H765">
        <v>2249</v>
      </c>
      <c r="I765" t="s">
        <v>1186</v>
      </c>
      <c r="J765" s="6" t="s">
        <v>33</v>
      </c>
      <c r="K765" s="15">
        <v>1.7</v>
      </c>
      <c r="L765" s="5">
        <v>10</v>
      </c>
      <c r="M765" s="15">
        <v>4</v>
      </c>
      <c r="N765">
        <v>4</v>
      </c>
      <c r="O765">
        <v>6</v>
      </c>
      <c r="P765">
        <v>6.2</v>
      </c>
      <c r="Q765">
        <v>7.3</v>
      </c>
      <c r="R765" s="2">
        <f>IF(ISBLANK(Table1[[#This Row],[Age]]),AVERAGE(Table1[Age]),Table1[[#This Row],[Age]])</f>
        <v>34</v>
      </c>
      <c r="S765" t="str">
        <f>PROPER(Table1[[#This Row],[Country]])</f>
        <v>Brazil</v>
      </c>
      <c r="T765" t="str">
        <f>TRIM(Table1[[#This Row],[Profession]])</f>
        <v>Data Science Student</v>
      </c>
      <c r="U765" s="5">
        <f>IF(ISBLANK(H765),AVERAGEIF(Table1[Profession imputed],T765,Table1[Monthly_Income]),H765)</f>
        <v>2249</v>
      </c>
      <c r="V765" s="6" t="str">
        <f>PROPER(TRIM(Table1[AI_Tool]))</f>
        <v>Google Gemini</v>
      </c>
      <c r="W765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766" spans="1:23" x14ac:dyDescent="0.25">
      <c r="A766" t="s">
        <v>599</v>
      </c>
      <c r="B766">
        <v>28</v>
      </c>
      <c r="C766" t="s">
        <v>22</v>
      </c>
      <c r="D766" t="s">
        <v>52</v>
      </c>
      <c r="E766" t="s">
        <v>24</v>
      </c>
      <c r="F766" t="s">
        <v>55</v>
      </c>
      <c r="G766" t="s">
        <v>598</v>
      </c>
      <c r="H766">
        <v>2267</v>
      </c>
      <c r="I766" t="s">
        <v>271</v>
      </c>
      <c r="J766" s="6" t="s">
        <v>75</v>
      </c>
      <c r="K766" s="15">
        <v>1.3</v>
      </c>
      <c r="L766" s="5">
        <v>0</v>
      </c>
      <c r="M766" s="15">
        <v>4.3</v>
      </c>
      <c r="N766">
        <v>3</v>
      </c>
      <c r="O766">
        <v>7</v>
      </c>
      <c r="P766">
        <v>2.6</v>
      </c>
      <c r="Q766">
        <v>9.9</v>
      </c>
      <c r="R766" s="2">
        <f>IF(ISBLANK(Table1[[#This Row],[Age]]),AVERAGE(Table1[Age]),Table1[[#This Row],[Age]])</f>
        <v>28</v>
      </c>
      <c r="S766" t="str">
        <f>PROPER(Table1[[#This Row],[Country]])</f>
        <v>India</v>
      </c>
      <c r="T766" t="str">
        <f>TRIM(Table1[[#This Row],[Profession]])</f>
        <v>Digital Content Strategist</v>
      </c>
      <c r="U766" s="5">
        <f>IF(ISBLANK(H766),AVERAGEIF(Table1[Profession imputed],T766,Table1[Monthly_Income]),H766)</f>
        <v>2267</v>
      </c>
      <c r="V766" s="6" t="str">
        <f>PROPER(TRIM(Table1[AI_Tool]))</f>
        <v>Chat Gpt</v>
      </c>
      <c r="W766" s="8">
        <f>IF(ISBLANK(Table1[[#This Row],[Time_Saved_Hours_Per_Week]]),AVERAGEIF(Table1[Satisfaction_Score],Table1[[#This Row],[Satisfaction_Score]],Table1[Time_Saved_Hours_Per_Week]),Table1[[#This Row],[Time_Saved_Hours_Per_Week]])</f>
        <v>2.6</v>
      </c>
    </row>
    <row r="767" spans="1:23" x14ac:dyDescent="0.25">
      <c r="A767" t="s">
        <v>56</v>
      </c>
      <c r="B767">
        <v>56</v>
      </c>
      <c r="C767" t="s">
        <v>22</v>
      </c>
      <c r="D767" t="s">
        <v>57</v>
      </c>
      <c r="E767" t="s">
        <v>24</v>
      </c>
      <c r="F767" t="s">
        <v>50</v>
      </c>
      <c r="G767" t="s">
        <v>46</v>
      </c>
      <c r="I767" t="s">
        <v>58</v>
      </c>
      <c r="J767" s="6" t="s">
        <v>47</v>
      </c>
      <c r="K767" s="15">
        <v>5</v>
      </c>
      <c r="L767" s="5">
        <v>10</v>
      </c>
      <c r="M767" s="15">
        <v>7.7</v>
      </c>
      <c r="N767">
        <v>4</v>
      </c>
      <c r="O767">
        <v>7</v>
      </c>
      <c r="P767">
        <v>11.4</v>
      </c>
      <c r="Q767">
        <v>7.8</v>
      </c>
      <c r="R767" s="2">
        <f>IF(ISBLANK(Table1[[#This Row],[Age]]),AVERAGE(Table1[Age]),Table1[[#This Row],[Age]])</f>
        <v>56</v>
      </c>
      <c r="S767" t="str">
        <f>PROPER(Table1[[#This Row],[Country]])</f>
        <v>Pakistan</v>
      </c>
      <c r="T767" t="str">
        <f>TRIM(Table1[[#This Row],[Profession]])</f>
        <v>Administrative Assistant</v>
      </c>
      <c r="U767" s="5">
        <f>IF(ISBLANK(H767),AVERAGEIF(Table1[Profession imputed],T767,Table1[Monthly_Income]),H767)</f>
        <v>2290.818181818182</v>
      </c>
      <c r="V767" s="6" t="str">
        <f>PROPER(TRIM(Table1[AI_Tool]))</f>
        <v>Claude</v>
      </c>
      <c r="W767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768" spans="1:23" x14ac:dyDescent="0.25">
      <c r="A768" t="s">
        <v>62</v>
      </c>
      <c r="B768">
        <v>55</v>
      </c>
      <c r="C768" t="s">
        <v>22</v>
      </c>
      <c r="D768" t="s">
        <v>57</v>
      </c>
      <c r="E768" t="s">
        <v>24</v>
      </c>
      <c r="F768" t="s">
        <v>50</v>
      </c>
      <c r="G768" t="s">
        <v>46</v>
      </c>
      <c r="I768" t="s">
        <v>58</v>
      </c>
      <c r="J768" s="6" t="s">
        <v>47</v>
      </c>
      <c r="K768" s="15">
        <v>5</v>
      </c>
      <c r="L768" s="5">
        <v>10</v>
      </c>
      <c r="M768" s="15">
        <v>7.7</v>
      </c>
      <c r="N768">
        <v>4</v>
      </c>
      <c r="O768">
        <v>7</v>
      </c>
      <c r="P768">
        <v>11.4</v>
      </c>
      <c r="Q768">
        <v>7.8</v>
      </c>
      <c r="R768" s="2">
        <f>IF(ISBLANK(Table1[[#This Row],[Age]]),AVERAGE(Table1[Age]),Table1[[#This Row],[Age]])</f>
        <v>55</v>
      </c>
      <c r="S768" t="str">
        <f>PROPER(Table1[[#This Row],[Country]])</f>
        <v>Pakistan</v>
      </c>
      <c r="T768" t="str">
        <f>TRIM(Table1[[#This Row],[Profession]])</f>
        <v>Administrative Assistant</v>
      </c>
      <c r="U768" s="5">
        <f>IF(ISBLANK(H768),AVERAGEIF(Table1[Profession imputed],T768,Table1[Monthly_Income]),H768)</f>
        <v>2290.818181818182</v>
      </c>
      <c r="V768" s="6" t="str">
        <f>PROPER(TRIM(Table1[AI_Tool]))</f>
        <v>Claude</v>
      </c>
      <c r="W768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769" spans="1:23" x14ac:dyDescent="0.25">
      <c r="A769" t="s">
        <v>373</v>
      </c>
      <c r="C769" t="s">
        <v>29</v>
      </c>
      <c r="D769" t="s">
        <v>117</v>
      </c>
      <c r="E769" t="s">
        <v>24</v>
      </c>
      <c r="F769" t="s">
        <v>45</v>
      </c>
      <c r="G769" t="s">
        <v>367</v>
      </c>
      <c r="H769">
        <v>2303</v>
      </c>
      <c r="I769" t="s">
        <v>69</v>
      </c>
      <c r="J769" s="6" t="s">
        <v>38</v>
      </c>
      <c r="K769" s="15">
        <v>4.4000000000000004</v>
      </c>
      <c r="L769" s="5">
        <v>20</v>
      </c>
      <c r="M769" s="15">
        <v>5.8</v>
      </c>
      <c r="N769">
        <v>5</v>
      </c>
      <c r="O769">
        <v>9</v>
      </c>
      <c r="P769">
        <v>11.3</v>
      </c>
      <c r="Q769">
        <v>7.8</v>
      </c>
      <c r="R769" s="2">
        <f>IF(ISBLANK(Table1[[#This Row],[Age]]),AVERAGE(Table1[Age]),Table1[[#This Row],[Age]])</f>
        <v>30.023333333333333</v>
      </c>
      <c r="S769" t="str">
        <f>PROPER(Table1[[#This Row],[Country]])</f>
        <v>United Kingdom</v>
      </c>
      <c r="T769" t="str">
        <f>TRIM(Table1[[#This Row],[Profession]])</f>
        <v>Content Writer</v>
      </c>
      <c r="U769" s="5">
        <f>IF(ISBLANK(H769),AVERAGEIF(Table1[[#This Row],[Profession imputed]],T769,Table1[Monthly_Income]),H769)</f>
        <v>2303</v>
      </c>
      <c r="V769" s="6" t="str">
        <f>PROPER(TRIM(Table1[AI_Tool]))</f>
        <v>Perplexity Ai</v>
      </c>
      <c r="W769" s="8">
        <f>IF(ISBLANK(Table1[[#This Row],[Time_Saved_Hours_Per_Week]]),AVERAGEIF(Table1[Satisfaction_Score],Table1[[#This Row],[Satisfaction_Score]],Table1[Time_Saved_Hours_Per_Week]),Table1[[#This Row],[Time_Saved_Hours_Per_Week]])</f>
        <v>11.3</v>
      </c>
    </row>
    <row r="770" spans="1:23" x14ac:dyDescent="0.25">
      <c r="A770" t="s">
        <v>1020</v>
      </c>
      <c r="B770">
        <v>24</v>
      </c>
      <c r="C770" t="s">
        <v>22</v>
      </c>
      <c r="D770" t="s">
        <v>52</v>
      </c>
      <c r="E770" t="s">
        <v>24</v>
      </c>
      <c r="F770" t="s">
        <v>371</v>
      </c>
      <c r="G770" t="s">
        <v>1019</v>
      </c>
      <c r="H770">
        <v>2307</v>
      </c>
      <c r="I770" t="s">
        <v>37</v>
      </c>
      <c r="J770" s="6" t="s">
        <v>33</v>
      </c>
      <c r="K770" s="15">
        <v>0.6</v>
      </c>
      <c r="L770" s="5">
        <v>0</v>
      </c>
      <c r="M770" s="15">
        <v>4.4000000000000004</v>
      </c>
      <c r="N770">
        <v>4</v>
      </c>
      <c r="O770">
        <v>7</v>
      </c>
      <c r="P770">
        <v>1.6</v>
      </c>
      <c r="Q770">
        <v>12</v>
      </c>
      <c r="R770" s="2">
        <f>IF(ISBLANK(Table1[[#This Row],[Age]]),AVERAGE(Table1[Age]),Table1[[#This Row],[Age]])</f>
        <v>24</v>
      </c>
      <c r="S770" t="str">
        <f>PROPER(Table1[[#This Row],[Country]])</f>
        <v>India</v>
      </c>
      <c r="T770" t="str">
        <f>TRIM(Table1[[#This Row],[Profession]])</f>
        <v>Software Developer</v>
      </c>
      <c r="U770" s="5">
        <f>IF(ISBLANK(H770),AVERAGEIF(Table1[[#This Row],[Profession imputed]],T770,Table1[Monthly_Income]),H770)</f>
        <v>2307</v>
      </c>
      <c r="V770" s="6" t="str">
        <f>PROPER(TRIM(Table1[AI_Tool]))</f>
        <v>Grammarly</v>
      </c>
      <c r="W770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71" spans="1:23" x14ac:dyDescent="0.25">
      <c r="A771" t="s">
        <v>1104</v>
      </c>
      <c r="B771">
        <v>53</v>
      </c>
      <c r="C771" t="s">
        <v>29</v>
      </c>
      <c r="D771" t="s">
        <v>30</v>
      </c>
      <c r="E771" t="s">
        <v>24</v>
      </c>
      <c r="F771" t="s">
        <v>55</v>
      </c>
      <c r="G771" t="s">
        <v>1097</v>
      </c>
      <c r="H771">
        <v>2320</v>
      </c>
      <c r="I771" t="s">
        <v>1186</v>
      </c>
      <c r="J771" s="6" t="s">
        <v>130</v>
      </c>
      <c r="K771" s="15">
        <v>1.4</v>
      </c>
      <c r="L771" s="5">
        <v>0</v>
      </c>
      <c r="M771" s="15">
        <v>3.9</v>
      </c>
      <c r="N771">
        <v>2</v>
      </c>
      <c r="O771">
        <v>4</v>
      </c>
      <c r="P771">
        <v>1.6</v>
      </c>
      <c r="Q771">
        <v>8.3000000000000007</v>
      </c>
      <c r="R771" s="2">
        <f>IF(ISBLANK(Table1[[#This Row],[Age]]),AVERAGE(Table1[Age]),Table1[[#This Row],[Age]])</f>
        <v>53</v>
      </c>
      <c r="S771" t="str">
        <f>PROPER(Table1[[#This Row],[Country]])</f>
        <v>Brazil</v>
      </c>
      <c r="T771" t="str">
        <f>TRIM(Table1[[#This Row],[Profession]])</f>
        <v>Tech Lead</v>
      </c>
      <c r="U771" s="5">
        <f>IF(ISBLANK(H771),AVERAGEIF(Table1[[#This Row],[Profession imputed]],T771,Table1[Monthly_Income]),H771)</f>
        <v>2320</v>
      </c>
      <c r="V771" s="6" t="str">
        <f>PROPER(TRIM(Table1[AI_Tool]))</f>
        <v>Google Gemini</v>
      </c>
      <c r="W771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72" spans="1:23" x14ac:dyDescent="0.25">
      <c r="A772" t="s">
        <v>388</v>
      </c>
      <c r="C772" t="s">
        <v>29</v>
      </c>
      <c r="D772" t="s">
        <v>117</v>
      </c>
      <c r="E772" t="s">
        <v>24</v>
      </c>
      <c r="F772" t="s">
        <v>45</v>
      </c>
      <c r="G772" t="s">
        <v>367</v>
      </c>
      <c r="H772">
        <v>2372</v>
      </c>
      <c r="I772" t="s">
        <v>69</v>
      </c>
      <c r="J772" s="6" t="s">
        <v>38</v>
      </c>
      <c r="K772" s="15">
        <v>4.4000000000000004</v>
      </c>
      <c r="L772" s="5">
        <v>20</v>
      </c>
      <c r="M772" s="15">
        <v>5.8</v>
      </c>
      <c r="N772">
        <v>5</v>
      </c>
      <c r="O772">
        <v>9</v>
      </c>
      <c r="P772">
        <v>11.3</v>
      </c>
      <c r="Q772">
        <v>7.8</v>
      </c>
      <c r="R772" s="2">
        <f>IF(ISBLANK(Table1[[#This Row],[Age]]),AVERAGE(Table1[Age]),Table1[[#This Row],[Age]])</f>
        <v>30.023333333333333</v>
      </c>
      <c r="S772" t="str">
        <f>PROPER(Table1[[#This Row],[Country]])</f>
        <v>United Kingdom</v>
      </c>
      <c r="T772" t="str">
        <f>TRIM(Table1[[#This Row],[Profession]])</f>
        <v>Content Writer</v>
      </c>
      <c r="U772" s="5">
        <f>IF(ISBLANK(H772),AVERAGEIF(Table1[[#This Row],[Profession imputed]],T772,Table1[Monthly_Income]),H772)</f>
        <v>2372</v>
      </c>
      <c r="V772" s="6" t="str">
        <f>PROPER(TRIM(Table1[AI_Tool]))</f>
        <v>Perplexity Ai</v>
      </c>
      <c r="W772" s="8">
        <f>IF(ISBLANK(Table1[[#This Row],[Time_Saved_Hours_Per_Week]]),AVERAGEIF(Table1[Satisfaction_Score],Table1[[#This Row],[Satisfaction_Score]],Table1[Time_Saved_Hours_Per_Week]),Table1[[#This Row],[Time_Saved_Hours_Per_Week]])</f>
        <v>11.3</v>
      </c>
    </row>
    <row r="773" spans="1:23" x14ac:dyDescent="0.25">
      <c r="A773" t="s">
        <v>344</v>
      </c>
      <c r="B773">
        <v>49</v>
      </c>
      <c r="C773" t="s">
        <v>29</v>
      </c>
      <c r="D773" t="s">
        <v>92</v>
      </c>
      <c r="E773" t="s">
        <v>24</v>
      </c>
      <c r="F773" t="s">
        <v>25</v>
      </c>
      <c r="G773" t="s">
        <v>337</v>
      </c>
      <c r="H773">
        <v>2380</v>
      </c>
      <c r="I773" t="s">
        <v>253</v>
      </c>
      <c r="J773" s="6" t="s">
        <v>38</v>
      </c>
      <c r="K773" s="15">
        <v>0.9</v>
      </c>
      <c r="L773" s="5">
        <v>10</v>
      </c>
      <c r="M773" s="15">
        <v>3.9</v>
      </c>
      <c r="N773">
        <v>3</v>
      </c>
      <c r="O773">
        <v>5</v>
      </c>
      <c r="P773">
        <v>1.5</v>
      </c>
      <c r="Q773">
        <v>9.1</v>
      </c>
      <c r="R773" s="2">
        <f>IF(ISBLANK(Table1[[#This Row],[Age]]),AVERAGE(Table1[Age]),Table1[[#This Row],[Age]])</f>
        <v>49</v>
      </c>
      <c r="S773" t="str">
        <f>PROPER(Table1[[#This Row],[Country]])</f>
        <v>Canada</v>
      </c>
      <c r="T773" t="str">
        <f>TRIM(Table1[[#This Row],[Profession]])</f>
        <v>Content Marketing Manager</v>
      </c>
      <c r="U773" s="5">
        <f>IF(ISBLANK(H773),AVERAGEIF(Table1[[#This Row],[Profession imputed]],T773,Table1[Monthly_Income]),H773)</f>
        <v>2380</v>
      </c>
      <c r="V773" s="6" t="str">
        <f>PROPER(TRIM(Table1[AI_Tool]))</f>
        <v>Meta Ai</v>
      </c>
      <c r="W773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774" spans="1:23" x14ac:dyDescent="0.25">
      <c r="A774" t="s">
        <v>391</v>
      </c>
      <c r="C774" t="s">
        <v>29</v>
      </c>
      <c r="D774" t="s">
        <v>117</v>
      </c>
      <c r="E774" t="s">
        <v>24</v>
      </c>
      <c r="F774" t="s">
        <v>45</v>
      </c>
      <c r="G774" t="s">
        <v>367</v>
      </c>
      <c r="H774">
        <v>2402</v>
      </c>
      <c r="I774" t="s">
        <v>69</v>
      </c>
      <c r="J774" s="6" t="s">
        <v>38</v>
      </c>
      <c r="K774" s="15">
        <v>4.4000000000000004</v>
      </c>
      <c r="L774" s="5">
        <v>20</v>
      </c>
      <c r="M774" s="15">
        <v>5.8</v>
      </c>
      <c r="N774">
        <v>5</v>
      </c>
      <c r="O774">
        <v>9</v>
      </c>
      <c r="P774">
        <v>11.3</v>
      </c>
      <c r="Q774">
        <v>7.8</v>
      </c>
      <c r="R774" s="2">
        <f>IF(ISBLANK(Table1[[#This Row],[Age]]),AVERAGE(Table1[Age]),Table1[[#This Row],[Age]])</f>
        <v>30.023333333333333</v>
      </c>
      <c r="S774" t="str">
        <f>PROPER(Table1[[#This Row],[Country]])</f>
        <v>United Kingdom</v>
      </c>
      <c r="T774" t="str">
        <f>TRIM(Table1[[#This Row],[Profession]])</f>
        <v>Content Writer</v>
      </c>
      <c r="U774" s="5">
        <f>IF(ISBLANK(H774),AVERAGEIF(Table1[[#This Row],[Profession imputed]],T774,Table1[Monthly_Income]),H774)</f>
        <v>2402</v>
      </c>
      <c r="V774" s="6" t="str">
        <f>PROPER(TRIM(Table1[AI_Tool]))</f>
        <v>Perplexity Ai</v>
      </c>
      <c r="W774" s="8">
        <f>IF(ISBLANK(Table1[[#This Row],[Time_Saved_Hours_Per_Week]]),AVERAGEIF(Table1[Satisfaction_Score],Table1[[#This Row],[Satisfaction_Score]],Table1[Time_Saved_Hours_Per_Week]),Table1[[#This Row],[Time_Saved_Hours_Per_Week]])</f>
        <v>11.3</v>
      </c>
    </row>
    <row r="775" spans="1:23" x14ac:dyDescent="0.25">
      <c r="A775" t="s">
        <v>384</v>
      </c>
      <c r="C775" t="s">
        <v>29</v>
      </c>
      <c r="D775" t="s">
        <v>117</v>
      </c>
      <c r="E775" t="s">
        <v>24</v>
      </c>
      <c r="F775" t="s">
        <v>45</v>
      </c>
      <c r="G775" t="s">
        <v>367</v>
      </c>
      <c r="H775">
        <v>2445</v>
      </c>
      <c r="I775" t="s">
        <v>69</v>
      </c>
      <c r="J775" s="6" t="s">
        <v>38</v>
      </c>
      <c r="K775" s="15">
        <v>4.4000000000000004</v>
      </c>
      <c r="L775" s="5">
        <v>20</v>
      </c>
      <c r="M775" s="15">
        <v>5.8</v>
      </c>
      <c r="N775">
        <v>5</v>
      </c>
      <c r="O775">
        <v>9</v>
      </c>
      <c r="P775">
        <v>11.3</v>
      </c>
      <c r="Q775">
        <v>7.8</v>
      </c>
      <c r="R775" s="2">
        <f>IF(ISBLANK(Table1[[#This Row],[Age]]),AVERAGE(Table1[Age]),Table1[[#This Row],[Age]])</f>
        <v>30.023333333333333</v>
      </c>
      <c r="S775" t="str">
        <f>PROPER(Table1[[#This Row],[Country]])</f>
        <v>United Kingdom</v>
      </c>
      <c r="T775" t="str">
        <f>TRIM(Table1[[#This Row],[Profession]])</f>
        <v>Content Writer</v>
      </c>
      <c r="U775" s="5">
        <f>IF(ISBLANK(H775),AVERAGEIF(Table1[[#This Row],[Profession imputed]],T775,Table1[Monthly_Income]),H775)</f>
        <v>2445</v>
      </c>
      <c r="V775" s="6" t="str">
        <f>PROPER(TRIM(Table1[AI_Tool]))</f>
        <v>Perplexity Ai</v>
      </c>
      <c r="W775" s="8">
        <f>IF(ISBLANK(Table1[[#This Row],[Time_Saved_Hours_Per_Week]]),AVERAGEIF(Table1[Satisfaction_Score],Table1[[#This Row],[Satisfaction_Score]],Table1[Time_Saved_Hours_Per_Week]),Table1[[#This Row],[Time_Saved_Hours_Per_Week]])</f>
        <v>11.3</v>
      </c>
    </row>
    <row r="776" spans="1:23" x14ac:dyDescent="0.25">
      <c r="A776" t="s">
        <v>1034</v>
      </c>
      <c r="B776">
        <v>25</v>
      </c>
      <c r="C776" t="s">
        <v>22</v>
      </c>
      <c r="D776" t="s">
        <v>52</v>
      </c>
      <c r="E776" t="s">
        <v>24</v>
      </c>
      <c r="F776" t="s">
        <v>371</v>
      </c>
      <c r="G776" t="s">
        <v>1019</v>
      </c>
      <c r="H776">
        <v>2455</v>
      </c>
      <c r="I776" t="s">
        <v>37</v>
      </c>
      <c r="J776" s="6" t="s">
        <v>33</v>
      </c>
      <c r="K776" s="15">
        <v>0.6</v>
      </c>
      <c r="L776" s="5">
        <v>0</v>
      </c>
      <c r="M776" s="15">
        <v>4.4000000000000004</v>
      </c>
      <c r="N776">
        <v>4</v>
      </c>
      <c r="O776">
        <v>7</v>
      </c>
      <c r="P776">
        <v>1.6</v>
      </c>
      <c r="Q776">
        <v>12</v>
      </c>
      <c r="R776" s="2">
        <f>IF(ISBLANK(Table1[[#This Row],[Age]]),AVERAGE(Table1[Age]),Table1[[#This Row],[Age]])</f>
        <v>25</v>
      </c>
      <c r="S776" t="str">
        <f>PROPER(Table1[[#This Row],[Country]])</f>
        <v>India</v>
      </c>
      <c r="T776" t="str">
        <f>TRIM(Table1[[#This Row],[Profession]])</f>
        <v>Software Developer</v>
      </c>
      <c r="U776" s="5">
        <f>IF(ISBLANK(H776),AVERAGEIF(Table1[[#This Row],[Profession imputed]],T776,Table1[Monthly_Income]),H776)</f>
        <v>2455</v>
      </c>
      <c r="V776" s="6" t="str">
        <f>PROPER(TRIM(Table1[AI_Tool]))</f>
        <v>Grammarly</v>
      </c>
      <c r="W776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77" spans="1:23" x14ac:dyDescent="0.25">
      <c r="A777" t="s">
        <v>51</v>
      </c>
      <c r="B777">
        <v>54</v>
      </c>
      <c r="C777" t="s">
        <v>22</v>
      </c>
      <c r="D777" t="s">
        <v>52</v>
      </c>
      <c r="E777" t="s">
        <v>24</v>
      </c>
      <c r="F777" t="s">
        <v>25</v>
      </c>
      <c r="G777" t="s">
        <v>46</v>
      </c>
      <c r="H777">
        <v>2464</v>
      </c>
      <c r="I777" t="s">
        <v>1186</v>
      </c>
      <c r="J777" s="6" t="s">
        <v>47</v>
      </c>
      <c r="K777" s="15">
        <v>3.9</v>
      </c>
      <c r="L777" s="5">
        <v>0</v>
      </c>
      <c r="M777" s="15">
        <v>7.7</v>
      </c>
      <c r="N777">
        <v>4</v>
      </c>
      <c r="O777">
        <v>8</v>
      </c>
      <c r="P777">
        <v>6.8</v>
      </c>
      <c r="Q777">
        <v>7.6</v>
      </c>
      <c r="R777" s="2">
        <f>IF(ISBLANK(Table1[[#This Row],[Age]]),AVERAGE(Table1[Age]),Table1[[#This Row],[Age]])</f>
        <v>54</v>
      </c>
      <c r="S777" t="str">
        <f>PROPER(Table1[[#This Row],[Country]])</f>
        <v>India</v>
      </c>
      <c r="T777" t="str">
        <f>TRIM(Table1[[#This Row],[Profession]])</f>
        <v>Administrative Assistant</v>
      </c>
      <c r="U777" s="5">
        <f>IF(ISBLANK(H777),AVERAGEIF(Table1[Profession imputed],T777,Table1[Monthly_Income]),H777)</f>
        <v>2464</v>
      </c>
      <c r="V777" s="6" t="str">
        <f>PROPER(TRIM(Table1[AI_Tool]))</f>
        <v>Google Gemini</v>
      </c>
      <c r="W777" s="8">
        <f>IF(ISBLANK(Table1[[#This Row],[Time_Saved_Hours_Per_Week]]),AVERAGEIF(Table1[Satisfaction_Score],Table1[[#This Row],[Satisfaction_Score]],Table1[Time_Saved_Hours_Per_Week]),Table1[[#This Row],[Time_Saved_Hours_Per_Week]])</f>
        <v>6.8</v>
      </c>
    </row>
    <row r="778" spans="1:23" x14ac:dyDescent="0.25">
      <c r="A778" t="s">
        <v>1031</v>
      </c>
      <c r="B778">
        <v>23</v>
      </c>
      <c r="C778" t="s">
        <v>22</v>
      </c>
      <c r="D778" t="s">
        <v>52</v>
      </c>
      <c r="E778" t="s">
        <v>24</v>
      </c>
      <c r="F778" t="s">
        <v>371</v>
      </c>
      <c r="G778" t="s">
        <v>1019</v>
      </c>
      <c r="H778">
        <v>2533</v>
      </c>
      <c r="I778" t="s">
        <v>37</v>
      </c>
      <c r="J778" s="6" t="s">
        <v>33</v>
      </c>
      <c r="K778" s="15">
        <v>0.6</v>
      </c>
      <c r="L778" s="5">
        <v>0</v>
      </c>
      <c r="M778" s="15">
        <v>4.4000000000000004</v>
      </c>
      <c r="N778">
        <v>4</v>
      </c>
      <c r="O778">
        <v>7</v>
      </c>
      <c r="P778">
        <v>1.6</v>
      </c>
      <c r="Q778">
        <v>12</v>
      </c>
      <c r="R778" s="2">
        <f>IF(ISBLANK(Table1[[#This Row],[Age]]),AVERAGE(Table1[Age]),Table1[[#This Row],[Age]])</f>
        <v>23</v>
      </c>
      <c r="S778" t="str">
        <f>PROPER(Table1[[#This Row],[Country]])</f>
        <v>India</v>
      </c>
      <c r="T778" t="str">
        <f>TRIM(Table1[[#This Row],[Profession]])</f>
        <v>Software Developer</v>
      </c>
      <c r="U778" s="5">
        <f>IF(ISBLANK(H778),AVERAGEIF(Table1[[#This Row],[Profession imputed]],T778,Table1[Monthly_Income]),H778)</f>
        <v>2533</v>
      </c>
      <c r="V778" s="6" t="str">
        <f>PROPER(TRIM(Table1[AI_Tool]))</f>
        <v>Grammarly</v>
      </c>
      <c r="W778" s="8">
        <f>IF(ISBLANK(Table1[[#This Row],[Time_Saved_Hours_Per_Week]]),AVERAGEIF(Table1[Satisfaction_Score],Table1[[#This Row],[Satisfaction_Score]],Table1[Time_Saved_Hours_Per_Week]),Table1[[#This Row],[Time_Saved_Hours_Per_Week]])</f>
        <v>1.6</v>
      </c>
    </row>
    <row r="779" spans="1:23" x14ac:dyDescent="0.25">
      <c r="A779" t="s">
        <v>382</v>
      </c>
      <c r="C779" t="s">
        <v>29</v>
      </c>
      <c r="D779" t="s">
        <v>117</v>
      </c>
      <c r="E779" t="s">
        <v>24</v>
      </c>
      <c r="F779" t="s">
        <v>45</v>
      </c>
      <c r="G779" t="s">
        <v>367</v>
      </c>
      <c r="H779">
        <v>2539</v>
      </c>
      <c r="I779" t="s">
        <v>69</v>
      </c>
      <c r="J779" s="6" t="s">
        <v>38</v>
      </c>
      <c r="K779" s="15">
        <v>4.4000000000000004</v>
      </c>
      <c r="L779" s="5">
        <v>20</v>
      </c>
      <c r="M779" s="15">
        <v>5.8</v>
      </c>
      <c r="N779">
        <v>5</v>
      </c>
      <c r="O779">
        <v>9</v>
      </c>
      <c r="P779">
        <v>11.3</v>
      </c>
      <c r="Q779">
        <v>7.8</v>
      </c>
      <c r="R779" s="2">
        <f>IF(ISBLANK(Table1[[#This Row],[Age]]),AVERAGE(Table1[Age]),Table1[[#This Row],[Age]])</f>
        <v>30.023333333333333</v>
      </c>
      <c r="S779" t="str">
        <f>PROPER(Table1[[#This Row],[Country]])</f>
        <v>United Kingdom</v>
      </c>
      <c r="T779" t="str">
        <f>TRIM(Table1[[#This Row],[Profession]])</f>
        <v>Content Writer</v>
      </c>
      <c r="U779" s="5">
        <f>IF(ISBLANK(H779),AVERAGEIF(Table1[[#This Row],[Profession imputed]],T779,Table1[Monthly_Income]),H779)</f>
        <v>2539</v>
      </c>
      <c r="V779" s="6" t="str">
        <f>PROPER(TRIM(Table1[AI_Tool]))</f>
        <v>Perplexity Ai</v>
      </c>
      <c r="W779" s="8">
        <f>IF(ISBLANK(Table1[[#This Row],[Time_Saved_Hours_Per_Week]]),AVERAGEIF(Table1[Satisfaction_Score],Table1[[#This Row],[Satisfaction_Score]],Table1[Time_Saved_Hours_Per_Week]),Table1[[#This Row],[Time_Saved_Hours_Per_Week]])</f>
        <v>11.3</v>
      </c>
    </row>
    <row r="780" spans="1:23" x14ac:dyDescent="0.25">
      <c r="A780" t="s">
        <v>342</v>
      </c>
      <c r="B780">
        <v>48</v>
      </c>
      <c r="C780" t="s">
        <v>29</v>
      </c>
      <c r="D780" t="s">
        <v>92</v>
      </c>
      <c r="E780" t="s">
        <v>24</v>
      </c>
      <c r="F780" t="s">
        <v>25</v>
      </c>
      <c r="G780" t="s">
        <v>337</v>
      </c>
      <c r="H780">
        <v>2630</v>
      </c>
      <c r="I780" t="s">
        <v>253</v>
      </c>
      <c r="J780" s="6" t="s">
        <v>38</v>
      </c>
      <c r="K780" s="15">
        <v>0.9</v>
      </c>
      <c r="L780" s="5">
        <v>10</v>
      </c>
      <c r="M780" s="15">
        <v>3.9</v>
      </c>
      <c r="N780">
        <v>3</v>
      </c>
      <c r="O780">
        <v>5</v>
      </c>
      <c r="P780">
        <v>1.5</v>
      </c>
      <c r="Q780">
        <v>9.1</v>
      </c>
      <c r="R780" s="2">
        <f>IF(ISBLANK(Table1[[#This Row],[Age]]),AVERAGE(Table1[Age]),Table1[[#This Row],[Age]])</f>
        <v>48</v>
      </c>
      <c r="S780" t="str">
        <f>PROPER(Table1[[#This Row],[Country]])</f>
        <v>Canada</v>
      </c>
      <c r="T780" t="str">
        <f>TRIM(Table1[[#This Row],[Profession]])</f>
        <v>Content Marketing Manager</v>
      </c>
      <c r="U780" s="5">
        <f>IF(ISBLANK(H780),AVERAGEIF(Table1[[#This Row],[Profession imputed]],T780,Table1[Monthly_Income]),H780)</f>
        <v>2630</v>
      </c>
      <c r="V780" s="6" t="str">
        <f>PROPER(TRIM(Table1[AI_Tool]))</f>
        <v>Meta Ai</v>
      </c>
      <c r="W780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781" spans="1:23" x14ac:dyDescent="0.25">
      <c r="A781" t="s">
        <v>811</v>
      </c>
      <c r="B781">
        <v>24</v>
      </c>
      <c r="C781" t="s">
        <v>22</v>
      </c>
      <c r="D781" t="s">
        <v>117</v>
      </c>
      <c r="E781" t="s">
        <v>24</v>
      </c>
      <c r="F781" t="s">
        <v>218</v>
      </c>
      <c r="G781" t="s">
        <v>803</v>
      </c>
      <c r="H781">
        <v>2646</v>
      </c>
      <c r="I781" t="s">
        <v>69</v>
      </c>
      <c r="J781" s="6" t="s">
        <v>33</v>
      </c>
      <c r="K781" s="15">
        <v>0</v>
      </c>
      <c r="L781" s="5">
        <v>20</v>
      </c>
      <c r="M781" s="15">
        <v>9.4</v>
      </c>
      <c r="N781">
        <v>3</v>
      </c>
      <c r="O781">
        <v>8</v>
      </c>
      <c r="P781">
        <v>15.1</v>
      </c>
      <c r="Q781">
        <v>11.3</v>
      </c>
      <c r="R781" s="2">
        <f>IF(ISBLANK(Table1[[#This Row],[Age]]),AVERAGE(Table1[Age]),Table1[[#This Row],[Age]])</f>
        <v>24</v>
      </c>
      <c r="S781" t="str">
        <f>PROPER(Table1[[#This Row],[Country]])</f>
        <v>United Kingdom</v>
      </c>
      <c r="T781" t="str">
        <f>TRIM(Table1[[#This Row],[Profession]])</f>
        <v>Junior Software Developer</v>
      </c>
      <c r="U781" s="5">
        <f>IF(ISBLANK(H781),AVERAGEIF(Table1[[#This Row],[Profession imputed]],T781,Table1[Monthly_Income]),H781)</f>
        <v>2646</v>
      </c>
      <c r="V781" s="6" t="str">
        <f>PROPER(TRIM(Table1[AI_Tool]))</f>
        <v>Perplexity Ai</v>
      </c>
      <c r="W781" s="8">
        <f>IF(ISBLANK(Table1[[#This Row],[Time_Saved_Hours_Per_Week]]),AVERAGEIF(Table1[Satisfaction_Score],Table1[[#This Row],[Satisfaction_Score]],Table1[Time_Saved_Hours_Per_Week]),Table1[[#This Row],[Time_Saved_Hours_Per_Week]])</f>
        <v>15.1</v>
      </c>
    </row>
    <row r="782" spans="1:23" x14ac:dyDescent="0.25">
      <c r="A782" t="s">
        <v>338</v>
      </c>
      <c r="B782">
        <v>47</v>
      </c>
      <c r="C782" t="s">
        <v>29</v>
      </c>
      <c r="D782" t="s">
        <v>92</v>
      </c>
      <c r="E782" t="s">
        <v>24</v>
      </c>
      <c r="F782" t="s">
        <v>25</v>
      </c>
      <c r="G782" t="s">
        <v>337</v>
      </c>
      <c r="H782">
        <v>2688</v>
      </c>
      <c r="I782" t="s">
        <v>253</v>
      </c>
      <c r="J782" s="6" t="s">
        <v>38</v>
      </c>
      <c r="K782" s="15">
        <v>0.9</v>
      </c>
      <c r="L782" s="5">
        <v>10</v>
      </c>
      <c r="M782" s="15">
        <v>3.9</v>
      </c>
      <c r="N782">
        <v>3</v>
      </c>
      <c r="O782">
        <v>5</v>
      </c>
      <c r="P782">
        <v>1.5</v>
      </c>
      <c r="Q782">
        <v>9.1</v>
      </c>
      <c r="R782" s="2">
        <f>IF(ISBLANK(Table1[[#This Row],[Age]]),AVERAGE(Table1[Age]),Table1[[#This Row],[Age]])</f>
        <v>47</v>
      </c>
      <c r="S782" t="str">
        <f>PROPER(Table1[[#This Row],[Country]])</f>
        <v>Canada</v>
      </c>
      <c r="T782" t="str">
        <f>TRIM(Table1[[#This Row],[Profession]])</f>
        <v>Content Marketing Manager</v>
      </c>
      <c r="U782" s="5">
        <f>IF(ISBLANK(H782),AVERAGEIF(Table1[[#This Row],[Profession imputed]],T782,Table1[Monthly_Income]),H782)</f>
        <v>2688</v>
      </c>
      <c r="V782" s="6" t="str">
        <f>PROPER(TRIM(Table1[AI_Tool]))</f>
        <v>Meta Ai</v>
      </c>
      <c r="W782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783" spans="1:23" x14ac:dyDescent="0.25">
      <c r="A783" t="s">
        <v>1077</v>
      </c>
      <c r="B783">
        <v>49</v>
      </c>
      <c r="C783" t="s">
        <v>29</v>
      </c>
      <c r="D783" t="s">
        <v>44</v>
      </c>
      <c r="E783" t="s">
        <v>24</v>
      </c>
      <c r="F783" t="s">
        <v>45</v>
      </c>
      <c r="G783" t="s">
        <v>1078</v>
      </c>
      <c r="H783">
        <v>2690</v>
      </c>
      <c r="I783" t="s">
        <v>282</v>
      </c>
      <c r="J783" s="6" t="s">
        <v>33</v>
      </c>
      <c r="K783" s="15">
        <v>0.6</v>
      </c>
      <c r="L783" s="5">
        <v>10</v>
      </c>
      <c r="M783" s="15">
        <v>1.6</v>
      </c>
      <c r="N783" s="7">
        <v>4</v>
      </c>
      <c r="O783">
        <v>3</v>
      </c>
      <c r="P783">
        <v>2.2000000000000002</v>
      </c>
      <c r="Q783">
        <v>6.5</v>
      </c>
      <c r="R783" s="2">
        <f>IF(ISBLANK(Table1[[#This Row],[Age]]),AVERAGE(Table1[Age]),Table1[[#This Row],[Age]])</f>
        <v>49</v>
      </c>
      <c r="S783" t="str">
        <f>PROPER(Table1[[#This Row],[Country]])</f>
        <v>United States</v>
      </c>
      <c r="T783" t="str">
        <f>TRIM(Table1[[#This Row],[Profession]])</f>
        <v>Software Support Technician</v>
      </c>
      <c r="U783" s="5">
        <f>IF(ISBLANK(H783),AVERAGEIF(Table1[[#This Row],[Profession imputed]],T783,Table1[Monthly_Income]),H783)</f>
        <v>2690</v>
      </c>
      <c r="V783" s="6" t="str">
        <f>PROPER(TRIM(Table1[AI_Tool]))</f>
        <v>Deepseek</v>
      </c>
      <c r="W783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784" spans="1:23" x14ac:dyDescent="0.25">
      <c r="A784" t="s">
        <v>1107</v>
      </c>
      <c r="B784">
        <v>39</v>
      </c>
      <c r="C784" t="s">
        <v>22</v>
      </c>
      <c r="D784" t="s">
        <v>23</v>
      </c>
      <c r="E784" t="s">
        <v>24</v>
      </c>
      <c r="F784" t="s">
        <v>50</v>
      </c>
      <c r="G784" t="s">
        <v>1097</v>
      </c>
      <c r="H784">
        <v>2699</v>
      </c>
      <c r="I784" t="s">
        <v>271</v>
      </c>
      <c r="J784" s="6" t="s">
        <v>27</v>
      </c>
      <c r="K784" s="15">
        <v>1.5</v>
      </c>
      <c r="L784" s="5">
        <v>0</v>
      </c>
      <c r="M784" s="15">
        <v>4</v>
      </c>
      <c r="N784">
        <v>2</v>
      </c>
      <c r="O784">
        <v>3</v>
      </c>
      <c r="P784">
        <v>7.1</v>
      </c>
      <c r="Q784">
        <v>7.6</v>
      </c>
      <c r="R784" s="2">
        <f>IF(ISBLANK(Table1[[#This Row],[Age]]),AVERAGE(Table1[Age]),Table1[[#This Row],[Age]])</f>
        <v>39</v>
      </c>
      <c r="S784" t="str">
        <f>PROPER(Table1[[#This Row],[Country]])</f>
        <v>Germany</v>
      </c>
      <c r="T784" t="str">
        <f>TRIM(Table1[[#This Row],[Profession]])</f>
        <v>Tech Lead</v>
      </c>
      <c r="U784" s="5">
        <f>IF(ISBLANK(H784),AVERAGEIF(Table1[[#This Row],[Profession imputed]],T784,Table1[Monthly_Income]),H784)</f>
        <v>2699</v>
      </c>
      <c r="V784" s="6" t="str">
        <f>PROPER(TRIM(Table1[AI_Tool]))</f>
        <v>Chat Gpt</v>
      </c>
      <c r="W784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85" spans="1:23" x14ac:dyDescent="0.25">
      <c r="A785" t="s">
        <v>812</v>
      </c>
      <c r="B785">
        <v>24</v>
      </c>
      <c r="C785" t="s">
        <v>22</v>
      </c>
      <c r="D785" t="s">
        <v>117</v>
      </c>
      <c r="E785" t="s">
        <v>24</v>
      </c>
      <c r="F785" t="s">
        <v>218</v>
      </c>
      <c r="G785" t="s">
        <v>803</v>
      </c>
      <c r="H785">
        <v>2759</v>
      </c>
      <c r="I785" t="s">
        <v>69</v>
      </c>
      <c r="J785" s="6" t="s">
        <v>33</v>
      </c>
      <c r="K785" s="15">
        <v>0</v>
      </c>
      <c r="L785" s="5">
        <v>20</v>
      </c>
      <c r="M785" s="15">
        <v>9.4</v>
      </c>
      <c r="N785">
        <v>3</v>
      </c>
      <c r="O785">
        <v>8</v>
      </c>
      <c r="P785">
        <v>15.1</v>
      </c>
      <c r="Q785">
        <v>11.3</v>
      </c>
      <c r="R785" s="2">
        <f>IF(ISBLANK(Table1[[#This Row],[Age]]),AVERAGE(Table1[Age]),Table1[[#This Row],[Age]])</f>
        <v>24</v>
      </c>
      <c r="S785" t="str">
        <f>PROPER(Table1[[#This Row],[Country]])</f>
        <v>United Kingdom</v>
      </c>
      <c r="T785" t="str">
        <f>TRIM(Table1[[#This Row],[Profession]])</f>
        <v>Junior Software Developer</v>
      </c>
      <c r="U785" s="5">
        <f>IF(ISBLANK(H785),AVERAGEIF(Table1[[#This Row],[Profession imputed]],T785,Table1[Monthly_Income]),H785)</f>
        <v>2759</v>
      </c>
      <c r="V785" s="6" t="str">
        <f>PROPER(TRIM(Table1[AI_Tool]))</f>
        <v>Perplexity Ai</v>
      </c>
      <c r="W785" s="8">
        <f>IF(ISBLANK(Table1[[#This Row],[Time_Saved_Hours_Per_Week]]),AVERAGEIF(Table1[Satisfaction_Score],Table1[[#This Row],[Satisfaction_Score]],Table1[Time_Saved_Hours_Per_Week]),Table1[[#This Row],[Time_Saved_Hours_Per_Week]])</f>
        <v>15.1</v>
      </c>
    </row>
    <row r="786" spans="1:23" x14ac:dyDescent="0.25">
      <c r="A786" t="s">
        <v>486</v>
      </c>
      <c r="B786">
        <v>29</v>
      </c>
      <c r="C786" t="s">
        <v>29</v>
      </c>
      <c r="D786" t="s">
        <v>117</v>
      </c>
      <c r="E786" t="s">
        <v>24</v>
      </c>
      <c r="F786" t="s">
        <v>25</v>
      </c>
      <c r="G786" t="s">
        <v>476</v>
      </c>
      <c r="H786">
        <v>2764</v>
      </c>
      <c r="I786" t="s">
        <v>58</v>
      </c>
      <c r="J786" s="6" t="s">
        <v>106</v>
      </c>
      <c r="K786" s="15">
        <v>3.9</v>
      </c>
      <c r="L786" s="5">
        <v>10</v>
      </c>
      <c r="M786" s="15">
        <v>8.6</v>
      </c>
      <c r="N786">
        <v>3</v>
      </c>
      <c r="O786">
        <v>8</v>
      </c>
      <c r="P786">
        <v>11.8</v>
      </c>
      <c r="Q786">
        <v>7.6</v>
      </c>
      <c r="R786" s="2">
        <f>IF(ISBLANK(Table1[[#This Row],[Age]]),AVERAGE(Table1[Age]),Table1[[#This Row],[Age]])</f>
        <v>29</v>
      </c>
      <c r="S786" t="str">
        <f>PROPER(Table1[[#This Row],[Country]])</f>
        <v>United Kingdom</v>
      </c>
      <c r="T786" t="str">
        <f>TRIM(Table1[[#This Row],[Profession]])</f>
        <v>Data Analyst</v>
      </c>
      <c r="U786" s="5">
        <f>IF(ISBLANK(H786),AVERAGEIF(Table1[Profession imputed],T786,Table1[Monthly_Income]),H786)</f>
        <v>2764</v>
      </c>
      <c r="V786" s="6" t="str">
        <f>PROPER(TRIM(Table1[AI_Tool]))</f>
        <v>Claude</v>
      </c>
      <c r="W786" s="8">
        <f>IF(ISBLANK(Table1[[#This Row],[Time_Saved_Hours_Per_Week]]),AVERAGEIF(Table1[Satisfaction_Score],Table1[[#This Row],[Satisfaction_Score]],Table1[Time_Saved_Hours_Per_Week]),Table1[[#This Row],[Time_Saved_Hours_Per_Week]])</f>
        <v>11.8</v>
      </c>
    </row>
    <row r="787" spans="1:23" x14ac:dyDescent="0.25">
      <c r="A787" t="s">
        <v>500</v>
      </c>
      <c r="B787">
        <v>38</v>
      </c>
      <c r="C787" t="s">
        <v>22</v>
      </c>
      <c r="D787" t="s">
        <v>44</v>
      </c>
      <c r="E787" t="s">
        <v>24</v>
      </c>
      <c r="F787" t="s">
        <v>25</v>
      </c>
      <c r="G787" t="s">
        <v>476</v>
      </c>
      <c r="H787">
        <v>2809</v>
      </c>
      <c r="I787" t="s">
        <v>271</v>
      </c>
      <c r="J787" s="6" t="s">
        <v>106</v>
      </c>
      <c r="K787" s="15">
        <v>2.6</v>
      </c>
      <c r="L787" s="5">
        <v>0</v>
      </c>
      <c r="M787" s="15">
        <v>0</v>
      </c>
      <c r="N787">
        <v>3</v>
      </c>
      <c r="O787">
        <v>6</v>
      </c>
      <c r="P787">
        <v>3.6</v>
      </c>
      <c r="Q787">
        <v>9.1999999999999993</v>
      </c>
      <c r="R787" s="2">
        <f>IF(ISBLANK(Table1[[#This Row],[Age]]),AVERAGE(Table1[Age]),Table1[[#This Row],[Age]])</f>
        <v>38</v>
      </c>
      <c r="S787" t="str">
        <f>PROPER(Table1[[#This Row],[Country]])</f>
        <v>United States</v>
      </c>
      <c r="T787" t="str">
        <f>TRIM(Table1[[#This Row],[Profession]])</f>
        <v>Data Analyst</v>
      </c>
      <c r="U787" s="5">
        <f>IF(ISBLANK(H787),AVERAGEIF(Table1[Profession imputed],T787,Table1[Monthly_Income]),H787)</f>
        <v>2809</v>
      </c>
      <c r="V787" s="6" t="str">
        <f>PROPER(TRIM(Table1[AI_Tool]))</f>
        <v>Chat Gpt</v>
      </c>
      <c r="W787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788" spans="1:23" x14ac:dyDescent="0.25">
      <c r="A788" t="s">
        <v>1080</v>
      </c>
      <c r="B788">
        <v>51</v>
      </c>
      <c r="C788" t="s">
        <v>29</v>
      </c>
      <c r="D788" t="s">
        <v>44</v>
      </c>
      <c r="E788" t="s">
        <v>24</v>
      </c>
      <c r="F788" t="s">
        <v>45</v>
      </c>
      <c r="G788" t="s">
        <v>1078</v>
      </c>
      <c r="H788">
        <v>2827</v>
      </c>
      <c r="I788" t="s">
        <v>282</v>
      </c>
      <c r="J788" s="6" t="s">
        <v>33</v>
      </c>
      <c r="K788" s="15">
        <v>0.6</v>
      </c>
      <c r="L788" s="5">
        <v>10</v>
      </c>
      <c r="M788" s="15">
        <v>1.6</v>
      </c>
      <c r="N788" s="7">
        <v>4</v>
      </c>
      <c r="O788">
        <v>3</v>
      </c>
      <c r="P788">
        <v>2.2000000000000002</v>
      </c>
      <c r="Q788">
        <v>6.5</v>
      </c>
      <c r="R788" s="2">
        <f>IF(ISBLANK(Table1[[#This Row],[Age]]),AVERAGE(Table1[Age]),Table1[[#This Row],[Age]])</f>
        <v>51</v>
      </c>
      <c r="S788" t="str">
        <f>PROPER(Table1[[#This Row],[Country]])</f>
        <v>United States</v>
      </c>
      <c r="T788" t="str">
        <f>TRIM(Table1[[#This Row],[Profession]])</f>
        <v>Software Support Technician</v>
      </c>
      <c r="U788" s="5">
        <f>IF(ISBLANK(H788),AVERAGEIF(Table1[[#This Row],[Profession imputed]],T788,Table1[Monthly_Income]),H788)</f>
        <v>2827</v>
      </c>
      <c r="V788" s="6" t="str">
        <f>PROPER(TRIM(Table1[AI_Tool]))</f>
        <v>Deepseek</v>
      </c>
      <c r="W788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789" spans="1:23" x14ac:dyDescent="0.25">
      <c r="A789" t="s">
        <v>1110</v>
      </c>
      <c r="B789">
        <v>42</v>
      </c>
      <c r="C789" t="s">
        <v>22</v>
      </c>
      <c r="D789" t="s">
        <v>23</v>
      </c>
      <c r="E789" t="s">
        <v>24</v>
      </c>
      <c r="F789" t="s">
        <v>50</v>
      </c>
      <c r="G789" t="s">
        <v>1097</v>
      </c>
      <c r="H789">
        <v>2864</v>
      </c>
      <c r="I789" t="s">
        <v>271</v>
      </c>
      <c r="J789" s="6" t="s">
        <v>27</v>
      </c>
      <c r="K789" s="15">
        <v>1.5</v>
      </c>
      <c r="L789" s="5">
        <v>0</v>
      </c>
      <c r="M789" s="15">
        <v>4</v>
      </c>
      <c r="N789">
        <v>2</v>
      </c>
      <c r="O789">
        <v>3</v>
      </c>
      <c r="P789">
        <v>7.1</v>
      </c>
      <c r="Q789">
        <v>7.6</v>
      </c>
      <c r="R789" s="2">
        <f>IF(ISBLANK(Table1[[#This Row],[Age]]),AVERAGE(Table1[Age]),Table1[[#This Row],[Age]])</f>
        <v>42</v>
      </c>
      <c r="S789" t="str">
        <f>PROPER(Table1[[#This Row],[Country]])</f>
        <v>Germany</v>
      </c>
      <c r="T789" t="str">
        <f>TRIM(Table1[[#This Row],[Profession]])</f>
        <v>Tech Lead</v>
      </c>
      <c r="U789" s="5">
        <f>IF(ISBLANK(H789),AVERAGEIF(Table1[[#This Row],[Profession imputed]],T789,Table1[Monthly_Income]),H789)</f>
        <v>2864</v>
      </c>
      <c r="V789" s="6" t="str">
        <f>PROPER(TRIM(Table1[AI_Tool]))</f>
        <v>Chat Gpt</v>
      </c>
      <c r="W789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90" spans="1:23" x14ac:dyDescent="0.25">
      <c r="A790" t="s">
        <v>493</v>
      </c>
      <c r="B790">
        <v>38</v>
      </c>
      <c r="C790" t="s">
        <v>22</v>
      </c>
      <c r="D790" t="s">
        <v>44</v>
      </c>
      <c r="E790" t="s">
        <v>24</v>
      </c>
      <c r="F790" t="s">
        <v>25</v>
      </c>
      <c r="G790" t="s">
        <v>476</v>
      </c>
      <c r="H790">
        <v>2874</v>
      </c>
      <c r="I790" t="s">
        <v>271</v>
      </c>
      <c r="J790" s="6" t="s">
        <v>106</v>
      </c>
      <c r="K790" s="15">
        <v>2.6</v>
      </c>
      <c r="L790" s="5">
        <v>0</v>
      </c>
      <c r="M790" s="15">
        <v>0</v>
      </c>
      <c r="N790">
        <v>3</v>
      </c>
      <c r="O790">
        <v>6</v>
      </c>
      <c r="P790">
        <v>3.6</v>
      </c>
      <c r="Q790">
        <v>9.1999999999999993</v>
      </c>
      <c r="R790" s="2">
        <f>IF(ISBLANK(Table1[[#This Row],[Age]]),AVERAGE(Table1[Age]),Table1[[#This Row],[Age]])</f>
        <v>38</v>
      </c>
      <c r="S790" t="str">
        <f>PROPER(Table1[[#This Row],[Country]])</f>
        <v>United States</v>
      </c>
      <c r="T790" t="str">
        <f>TRIM(Table1[[#This Row],[Profession]])</f>
        <v>Data Analyst</v>
      </c>
      <c r="U790" s="5">
        <f>IF(ISBLANK(H790),AVERAGEIF(Table1[Profession imputed],T790,Table1[Monthly_Income]),H790)</f>
        <v>2874</v>
      </c>
      <c r="V790" s="6" t="str">
        <f>PROPER(TRIM(Table1[AI_Tool]))</f>
        <v>Chat Gpt</v>
      </c>
      <c r="W790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791" spans="1:23" x14ac:dyDescent="0.25">
      <c r="A791" t="s">
        <v>1079</v>
      </c>
      <c r="B791">
        <v>49</v>
      </c>
      <c r="C791" t="s">
        <v>29</v>
      </c>
      <c r="D791" t="s">
        <v>44</v>
      </c>
      <c r="E791" t="s">
        <v>24</v>
      </c>
      <c r="F791" t="s">
        <v>45</v>
      </c>
      <c r="G791" t="s">
        <v>1078</v>
      </c>
      <c r="H791">
        <v>2879</v>
      </c>
      <c r="I791" t="s">
        <v>282</v>
      </c>
      <c r="J791" s="6" t="s">
        <v>33</v>
      </c>
      <c r="K791" s="15">
        <v>0.6</v>
      </c>
      <c r="L791" s="5">
        <v>10</v>
      </c>
      <c r="M791" s="15">
        <v>1.6</v>
      </c>
      <c r="N791" s="7">
        <v>4</v>
      </c>
      <c r="O791">
        <v>3</v>
      </c>
      <c r="P791">
        <v>2.2000000000000002</v>
      </c>
      <c r="Q791">
        <v>6.5</v>
      </c>
      <c r="R791" s="2">
        <f>IF(ISBLANK(Table1[[#This Row],[Age]]),AVERAGE(Table1[Age]),Table1[[#This Row],[Age]])</f>
        <v>49</v>
      </c>
      <c r="S791" t="str">
        <f>PROPER(Table1[[#This Row],[Country]])</f>
        <v>United States</v>
      </c>
      <c r="T791" t="str">
        <f>TRIM(Table1[[#This Row],[Profession]])</f>
        <v>Software Support Technician</v>
      </c>
      <c r="U791" s="5">
        <f>IF(ISBLANK(H791),AVERAGEIF(Table1[[#This Row],[Profession imputed]],T791,Table1[Monthly_Income]),H791)</f>
        <v>2879</v>
      </c>
      <c r="V791" s="6" t="str">
        <f>PROPER(TRIM(Table1[AI_Tool]))</f>
        <v>Deepseek</v>
      </c>
      <c r="W791" s="8">
        <f>IF(ISBLANK(Table1[[#This Row],[Time_Saved_Hours_Per_Week]]),AVERAGEIF(Table1[Satisfaction_Score],Table1[[#This Row],[Satisfaction_Score]],Table1[Time_Saved_Hours_Per_Week]),Table1[[#This Row],[Time_Saved_Hours_Per_Week]])</f>
        <v>2.2000000000000002</v>
      </c>
    </row>
    <row r="792" spans="1:23" x14ac:dyDescent="0.25">
      <c r="A792" t="s">
        <v>491</v>
      </c>
      <c r="B792">
        <v>27</v>
      </c>
      <c r="C792" t="s">
        <v>29</v>
      </c>
      <c r="D792" t="s">
        <v>117</v>
      </c>
      <c r="E792" t="s">
        <v>24</v>
      </c>
      <c r="F792" t="s">
        <v>25</v>
      </c>
      <c r="G792" t="s">
        <v>476</v>
      </c>
      <c r="H792">
        <v>2936</v>
      </c>
      <c r="I792" t="s">
        <v>58</v>
      </c>
      <c r="J792" s="6" t="s">
        <v>106</v>
      </c>
      <c r="K792" s="15">
        <v>3.9</v>
      </c>
      <c r="L792" s="5">
        <v>10</v>
      </c>
      <c r="M792" s="15">
        <v>8.6</v>
      </c>
      <c r="N792">
        <v>3</v>
      </c>
      <c r="O792">
        <v>8</v>
      </c>
      <c r="P792">
        <v>11.8</v>
      </c>
      <c r="Q792">
        <v>7.6</v>
      </c>
      <c r="R792" s="2">
        <f>IF(ISBLANK(Table1[[#This Row],[Age]]),AVERAGE(Table1[Age]),Table1[[#This Row],[Age]])</f>
        <v>27</v>
      </c>
      <c r="S792" t="str">
        <f>PROPER(Table1[[#This Row],[Country]])</f>
        <v>United Kingdom</v>
      </c>
      <c r="T792" t="str">
        <f>TRIM(Table1[[#This Row],[Profession]])</f>
        <v>Data Analyst</v>
      </c>
      <c r="U792" s="5">
        <f>IF(ISBLANK(H792),AVERAGEIF(Table1[Profession imputed],T792,Table1[Monthly_Income]),H792)</f>
        <v>2936</v>
      </c>
      <c r="V792" s="6" t="str">
        <f>PROPER(TRIM(Table1[AI_Tool]))</f>
        <v>Claude</v>
      </c>
      <c r="W792" s="8">
        <f>IF(ISBLANK(Table1[[#This Row],[Time_Saved_Hours_Per_Week]]),AVERAGEIF(Table1[Satisfaction_Score],Table1[[#This Row],[Satisfaction_Score]],Table1[Time_Saved_Hours_Per_Week]),Table1[[#This Row],[Time_Saved_Hours_Per_Week]])</f>
        <v>11.8</v>
      </c>
    </row>
    <row r="793" spans="1:23" x14ac:dyDescent="0.25">
      <c r="A793" t="s">
        <v>802</v>
      </c>
      <c r="B793">
        <v>25</v>
      </c>
      <c r="C793" t="s">
        <v>22</v>
      </c>
      <c r="D793" t="s">
        <v>117</v>
      </c>
      <c r="E793" t="s">
        <v>24</v>
      </c>
      <c r="F793" t="s">
        <v>594</v>
      </c>
      <c r="G793" t="s">
        <v>803</v>
      </c>
      <c r="H793">
        <v>2945</v>
      </c>
      <c r="I793" t="s">
        <v>69</v>
      </c>
      <c r="J793" s="6" t="s">
        <v>33</v>
      </c>
      <c r="K793" s="15">
        <v>0</v>
      </c>
      <c r="L793" s="5">
        <v>20</v>
      </c>
      <c r="M793" s="15">
        <v>9.4</v>
      </c>
      <c r="N793">
        <v>3</v>
      </c>
      <c r="O793">
        <v>8</v>
      </c>
      <c r="P793">
        <v>15.1</v>
      </c>
      <c r="Q793">
        <v>11.3</v>
      </c>
      <c r="R793" s="2">
        <f>IF(ISBLANK(Table1[[#This Row],[Age]]),AVERAGE(Table1[Age]),Table1[[#This Row],[Age]])</f>
        <v>25</v>
      </c>
      <c r="S793" t="str">
        <f>PROPER(Table1[[#This Row],[Country]])</f>
        <v>United Kingdom</v>
      </c>
      <c r="T793" t="str">
        <f>TRIM(Table1[[#This Row],[Profession]])</f>
        <v>Junior Software Developer</v>
      </c>
      <c r="U793" s="5">
        <f>IF(ISBLANK(H793),AVERAGEIF(Table1[[#This Row],[Profession imputed]],T793,Table1[Monthly_Income]),H793)</f>
        <v>2945</v>
      </c>
      <c r="V793" s="6" t="str">
        <f>PROPER(TRIM(Table1[AI_Tool]))</f>
        <v>Perplexity Ai</v>
      </c>
      <c r="W793" s="8">
        <f>IF(ISBLANK(Table1[[#This Row],[Time_Saved_Hours_Per_Week]]),AVERAGEIF(Table1[Satisfaction_Score],Table1[[#This Row],[Satisfaction_Score]],Table1[Time_Saved_Hours_Per_Week]),Table1[[#This Row],[Time_Saved_Hours_Per_Week]])</f>
        <v>15.1</v>
      </c>
    </row>
    <row r="794" spans="1:23" x14ac:dyDescent="0.25">
      <c r="A794" t="s">
        <v>1029</v>
      </c>
      <c r="B794">
        <v>31</v>
      </c>
      <c r="C794" t="s">
        <v>22</v>
      </c>
      <c r="D794" t="s">
        <v>189</v>
      </c>
      <c r="E794" t="s">
        <v>24</v>
      </c>
      <c r="F794" t="s">
        <v>25</v>
      </c>
      <c r="G794" t="s">
        <v>1019</v>
      </c>
      <c r="H794">
        <v>3005</v>
      </c>
      <c r="I794" t="s">
        <v>271</v>
      </c>
      <c r="J794" s="6" t="s">
        <v>33</v>
      </c>
      <c r="K794" s="15">
        <v>0.8</v>
      </c>
      <c r="L794" s="5">
        <v>10</v>
      </c>
      <c r="M794" s="15">
        <v>2.2999999999999998</v>
      </c>
      <c r="N794">
        <v>4</v>
      </c>
      <c r="O794">
        <v>4</v>
      </c>
      <c r="P794">
        <v>0.5</v>
      </c>
      <c r="Q794">
        <v>8</v>
      </c>
      <c r="R794" s="2">
        <f>IF(ISBLANK(Table1[[#This Row],[Age]]),AVERAGE(Table1[Age]),Table1[[#This Row],[Age]])</f>
        <v>31</v>
      </c>
      <c r="S794" t="str">
        <f>PROPER(Table1[[#This Row],[Country]])</f>
        <v>Australia</v>
      </c>
      <c r="T794" t="str">
        <f>TRIM(Table1[[#This Row],[Profession]])</f>
        <v>Software Developer</v>
      </c>
      <c r="U794" s="5">
        <f>IF(ISBLANK(H794),AVERAGEIF(Table1[[#This Row],[Profession imputed]],T794,Table1[Monthly_Income]),H794)</f>
        <v>3005</v>
      </c>
      <c r="V794" s="6" t="str">
        <f>PROPER(TRIM(Table1[AI_Tool]))</f>
        <v>Chat Gpt</v>
      </c>
      <c r="W794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795" spans="1:23" x14ac:dyDescent="0.25">
      <c r="A795" t="s">
        <v>339</v>
      </c>
      <c r="B795">
        <v>45</v>
      </c>
      <c r="C795" t="s">
        <v>29</v>
      </c>
      <c r="D795" t="s">
        <v>92</v>
      </c>
      <c r="E795" t="s">
        <v>24</v>
      </c>
      <c r="F795" t="s">
        <v>25</v>
      </c>
      <c r="G795" t="s">
        <v>337</v>
      </c>
      <c r="H795">
        <v>3012</v>
      </c>
      <c r="I795" t="s">
        <v>253</v>
      </c>
      <c r="J795" s="6" t="s">
        <v>38</v>
      </c>
      <c r="K795" s="15">
        <v>0.9</v>
      </c>
      <c r="L795" s="5">
        <v>10</v>
      </c>
      <c r="M795" s="15">
        <v>3.9</v>
      </c>
      <c r="N795">
        <v>3</v>
      </c>
      <c r="O795">
        <v>5</v>
      </c>
      <c r="P795">
        <v>1.5</v>
      </c>
      <c r="Q795">
        <v>9.1</v>
      </c>
      <c r="R795" s="2">
        <f>IF(ISBLANK(Table1[[#This Row],[Age]]),AVERAGE(Table1[Age]),Table1[[#This Row],[Age]])</f>
        <v>45</v>
      </c>
      <c r="S795" t="str">
        <f>PROPER(Table1[[#This Row],[Country]])</f>
        <v>Canada</v>
      </c>
      <c r="T795" t="str">
        <f>TRIM(Table1[[#This Row],[Profession]])</f>
        <v>Content Marketing Manager</v>
      </c>
      <c r="U795" s="5">
        <f>IF(ISBLANK(H795),AVERAGEIF(Table1[[#This Row],[Profession imputed]],T795,Table1[Monthly_Income]),H795)</f>
        <v>3012</v>
      </c>
      <c r="V795" s="6" t="str">
        <f>PROPER(TRIM(Table1[AI_Tool]))</f>
        <v>Meta Ai</v>
      </c>
      <c r="W795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796" spans="1:23" x14ac:dyDescent="0.25">
      <c r="A796" t="s">
        <v>341</v>
      </c>
      <c r="B796">
        <v>45</v>
      </c>
      <c r="C796" t="s">
        <v>29</v>
      </c>
      <c r="D796" t="s">
        <v>92</v>
      </c>
      <c r="E796" t="s">
        <v>24</v>
      </c>
      <c r="F796" t="s">
        <v>25</v>
      </c>
      <c r="G796" t="s">
        <v>337</v>
      </c>
      <c r="H796">
        <v>3031</v>
      </c>
      <c r="I796" t="s">
        <v>253</v>
      </c>
      <c r="J796" s="6" t="s">
        <v>38</v>
      </c>
      <c r="K796" s="15">
        <v>0.9</v>
      </c>
      <c r="L796" s="5">
        <v>10</v>
      </c>
      <c r="M796" s="15">
        <v>3.9</v>
      </c>
      <c r="N796">
        <v>3</v>
      </c>
      <c r="O796">
        <v>5</v>
      </c>
      <c r="P796">
        <v>1.5</v>
      </c>
      <c r="Q796">
        <v>9.1</v>
      </c>
      <c r="R796" s="2">
        <f>IF(ISBLANK(Table1[[#This Row],[Age]]),AVERAGE(Table1[Age]),Table1[[#This Row],[Age]])</f>
        <v>45</v>
      </c>
      <c r="S796" t="str">
        <f>PROPER(Table1[[#This Row],[Country]])</f>
        <v>Canada</v>
      </c>
      <c r="T796" t="str">
        <f>TRIM(Table1[[#This Row],[Profession]])</f>
        <v>Content Marketing Manager</v>
      </c>
      <c r="U796" s="5">
        <f>IF(ISBLANK(H796),AVERAGEIF(Table1[[#This Row],[Profession imputed]],T796,Table1[Monthly_Income]),H796)</f>
        <v>3031</v>
      </c>
      <c r="V796" s="6" t="str">
        <f>PROPER(TRIM(Table1[AI_Tool]))</f>
        <v>Meta Ai</v>
      </c>
      <c r="W796" s="8">
        <f>IF(ISBLANK(Table1[[#This Row],[Time_Saved_Hours_Per_Week]]),AVERAGEIF(Table1[Satisfaction_Score],Table1[[#This Row],[Satisfaction_Score]],Table1[Time_Saved_Hours_Per_Week]),Table1[[#This Row],[Time_Saved_Hours_Per_Week]])</f>
        <v>1.5</v>
      </c>
    </row>
    <row r="797" spans="1:23" x14ac:dyDescent="0.25">
      <c r="A797" t="s">
        <v>450</v>
      </c>
      <c r="B797">
        <v>48</v>
      </c>
      <c r="C797" t="s">
        <v>22</v>
      </c>
      <c r="D797" t="s">
        <v>117</v>
      </c>
      <c r="E797" t="s">
        <v>24</v>
      </c>
      <c r="F797" t="s">
        <v>25</v>
      </c>
      <c r="G797" t="s">
        <v>441</v>
      </c>
      <c r="H797">
        <v>3036</v>
      </c>
      <c r="I797" t="s">
        <v>69</v>
      </c>
      <c r="J797" s="6" t="s">
        <v>27</v>
      </c>
      <c r="K797" s="15">
        <v>1.9</v>
      </c>
      <c r="L797" s="5">
        <v>0</v>
      </c>
      <c r="M797" s="15">
        <v>3.4</v>
      </c>
      <c r="N797" s="7">
        <v>4</v>
      </c>
      <c r="O797">
        <v>7</v>
      </c>
      <c r="P797">
        <v>4.0999999999999996</v>
      </c>
      <c r="Q797">
        <v>8.6</v>
      </c>
      <c r="R797" s="2">
        <f>IF(ISBLANK(Table1[[#This Row],[Age]]),AVERAGE(Table1[Age]),Table1[[#This Row],[Age]])</f>
        <v>48</v>
      </c>
      <c r="S797" t="str">
        <f>PROPER(Table1[[#This Row],[Country]])</f>
        <v>United Kingdom</v>
      </c>
      <c r="T797" t="str">
        <f>TRIM(Table1[[#This Row],[Profession]])</f>
        <v>Customer Support Manager</v>
      </c>
      <c r="U797" s="5">
        <f>IF(ISBLANK(H797),AVERAGEIF(Table1[Profession imputed],T797,Table1[Monthly_Income]),H797)</f>
        <v>3036</v>
      </c>
      <c r="V797" s="6" t="str">
        <f>PROPER(TRIM(Table1[AI_Tool]))</f>
        <v>Perplexity Ai</v>
      </c>
      <c r="W797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798" spans="1:23" x14ac:dyDescent="0.25">
      <c r="A798" t="s">
        <v>1099</v>
      </c>
      <c r="B798">
        <v>40</v>
      </c>
      <c r="C798" t="s">
        <v>22</v>
      </c>
      <c r="D798" t="s">
        <v>23</v>
      </c>
      <c r="E798" t="s">
        <v>24</v>
      </c>
      <c r="F798" t="s">
        <v>50</v>
      </c>
      <c r="G798" t="s">
        <v>1097</v>
      </c>
      <c r="H798">
        <v>3054</v>
      </c>
      <c r="I798" t="s">
        <v>271</v>
      </c>
      <c r="J798" s="6" t="s">
        <v>27</v>
      </c>
      <c r="K798" s="15">
        <v>1.5</v>
      </c>
      <c r="L798" s="5">
        <v>0</v>
      </c>
      <c r="M798" s="15">
        <v>4</v>
      </c>
      <c r="N798">
        <v>2</v>
      </c>
      <c r="O798">
        <v>3</v>
      </c>
      <c r="P798">
        <v>7.1</v>
      </c>
      <c r="Q798">
        <v>7.6</v>
      </c>
      <c r="R798" s="2">
        <f>IF(ISBLANK(Table1[[#This Row],[Age]]),AVERAGE(Table1[Age]),Table1[[#This Row],[Age]])</f>
        <v>40</v>
      </c>
      <c r="S798" t="str">
        <f>PROPER(Table1[[#This Row],[Country]])</f>
        <v>Germany</v>
      </c>
      <c r="T798" t="str">
        <f>TRIM(Table1[[#This Row],[Profession]])</f>
        <v>Tech Lead</v>
      </c>
      <c r="U798" s="5">
        <f>IF(ISBLANK(H798),AVERAGEIF(Table1[[#This Row],[Profession imputed]],T798,Table1[Monthly_Income]),H798)</f>
        <v>3054</v>
      </c>
      <c r="V798" s="6" t="str">
        <f>PROPER(TRIM(Table1[AI_Tool]))</f>
        <v>Chat Gpt</v>
      </c>
      <c r="W798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799" spans="1:23" x14ac:dyDescent="0.25">
      <c r="A799" t="s">
        <v>927</v>
      </c>
      <c r="B799">
        <v>33</v>
      </c>
      <c r="C799" t="s">
        <v>22</v>
      </c>
      <c r="D799" t="s">
        <v>117</v>
      </c>
      <c r="E799" t="s">
        <v>24</v>
      </c>
      <c r="F799" t="s">
        <v>55</v>
      </c>
      <c r="G799" t="s">
        <v>924</v>
      </c>
      <c r="H799">
        <v>3058</v>
      </c>
      <c r="I799" t="s">
        <v>69</v>
      </c>
      <c r="J799" s="6" t="s">
        <v>130</v>
      </c>
      <c r="K799" s="15">
        <v>5.7</v>
      </c>
      <c r="L799" s="5">
        <v>0</v>
      </c>
      <c r="M799" s="15">
        <v>5.9</v>
      </c>
      <c r="N799">
        <v>3</v>
      </c>
      <c r="O799">
        <v>7</v>
      </c>
      <c r="P799">
        <v>13.4</v>
      </c>
      <c r="Q799">
        <v>9</v>
      </c>
      <c r="R799" s="2">
        <f>IF(ISBLANK(Table1[[#This Row],[Age]]),AVERAGE(Table1[Age]),Table1[[#This Row],[Age]])</f>
        <v>33</v>
      </c>
      <c r="S799" t="str">
        <f>PROPER(Table1[[#This Row],[Country]])</f>
        <v>United Kingdom</v>
      </c>
      <c r="T799" t="str">
        <f>TRIM(Table1[[#This Row],[Profession]])</f>
        <v>Research Scientist</v>
      </c>
      <c r="U799" s="5">
        <f>IF(ISBLANK(H799),AVERAGEIF(Table1[[#This Row],[Profession imputed]],T799,Table1[Monthly_Income]),H799)</f>
        <v>3058</v>
      </c>
      <c r="V799" s="6" t="str">
        <f>PROPER(TRIM(Table1[AI_Tool]))</f>
        <v>Perplexity Ai</v>
      </c>
      <c r="W799" s="8">
        <f>IF(ISBLANK(Table1[[#This Row],[Time_Saved_Hours_Per_Week]]),AVERAGEIF(Table1[Satisfaction_Score],Table1[[#This Row],[Satisfaction_Score]],Table1[Time_Saved_Hours_Per_Week]),Table1[[#This Row],[Time_Saved_Hours_Per_Week]])</f>
        <v>13.4</v>
      </c>
    </row>
    <row r="800" spans="1:23" x14ac:dyDescent="0.25">
      <c r="A800" t="s">
        <v>806</v>
      </c>
      <c r="B800">
        <v>23</v>
      </c>
      <c r="C800" t="s">
        <v>22</v>
      </c>
      <c r="D800" t="s">
        <v>117</v>
      </c>
      <c r="E800" t="s">
        <v>24</v>
      </c>
      <c r="F800" t="s">
        <v>218</v>
      </c>
      <c r="G800" t="s">
        <v>803</v>
      </c>
      <c r="H800">
        <v>3062</v>
      </c>
      <c r="I800" t="s">
        <v>69</v>
      </c>
      <c r="J800" s="6" t="s">
        <v>33</v>
      </c>
      <c r="K800" s="15">
        <v>0</v>
      </c>
      <c r="L800" s="5">
        <v>20</v>
      </c>
      <c r="M800" s="15">
        <v>9.4</v>
      </c>
      <c r="N800">
        <v>3</v>
      </c>
      <c r="O800">
        <v>8</v>
      </c>
      <c r="P800">
        <v>15.1</v>
      </c>
      <c r="Q800">
        <v>11.3</v>
      </c>
      <c r="R800" s="2">
        <f>IF(ISBLANK(Table1[[#This Row],[Age]]),AVERAGE(Table1[Age]),Table1[[#This Row],[Age]])</f>
        <v>23</v>
      </c>
      <c r="S800" t="str">
        <f>PROPER(Table1[[#This Row],[Country]])</f>
        <v>United Kingdom</v>
      </c>
      <c r="T800" t="str">
        <f>TRIM(Table1[[#This Row],[Profession]])</f>
        <v>Junior Software Developer</v>
      </c>
      <c r="U800" s="5">
        <f>IF(ISBLANK(H800),AVERAGEIF(Table1[[#This Row],[Profession imputed]],T800,Table1[Monthly_Income]),H800)</f>
        <v>3062</v>
      </c>
      <c r="V800" s="6" t="str">
        <f>PROPER(TRIM(Table1[AI_Tool]))</f>
        <v>Perplexity Ai</v>
      </c>
      <c r="W800" s="8">
        <f>IF(ISBLANK(Table1[[#This Row],[Time_Saved_Hours_Per_Week]]),AVERAGEIF(Table1[Satisfaction_Score],Table1[[#This Row],[Satisfaction_Score]],Table1[Time_Saved_Hours_Per_Week]),Table1[[#This Row],[Time_Saved_Hours_Per_Week]])</f>
        <v>15.1</v>
      </c>
    </row>
    <row r="801" spans="1:23" x14ac:dyDescent="0.25">
      <c r="A801" t="s">
        <v>925</v>
      </c>
      <c r="B801">
        <v>35</v>
      </c>
      <c r="C801" t="s">
        <v>22</v>
      </c>
      <c r="D801" t="s">
        <v>117</v>
      </c>
      <c r="E801" t="s">
        <v>24</v>
      </c>
      <c r="F801" t="s">
        <v>55</v>
      </c>
      <c r="G801" t="s">
        <v>924</v>
      </c>
      <c r="H801">
        <v>3062</v>
      </c>
      <c r="I801" t="s">
        <v>69</v>
      </c>
      <c r="J801" s="6" t="s">
        <v>130</v>
      </c>
      <c r="K801" s="15">
        <v>5.7</v>
      </c>
      <c r="L801" s="5">
        <v>0</v>
      </c>
      <c r="M801" s="15">
        <v>5.9</v>
      </c>
      <c r="N801">
        <v>3</v>
      </c>
      <c r="O801">
        <v>7</v>
      </c>
      <c r="P801">
        <v>13.4</v>
      </c>
      <c r="Q801">
        <v>9</v>
      </c>
      <c r="R801" s="2">
        <f>IF(ISBLANK(Table1[[#This Row],[Age]]),AVERAGE(Table1[Age]),Table1[[#This Row],[Age]])</f>
        <v>35</v>
      </c>
      <c r="S801" t="str">
        <f>PROPER(Table1[[#This Row],[Country]])</f>
        <v>United Kingdom</v>
      </c>
      <c r="T801" t="str">
        <f>TRIM(Table1[[#This Row],[Profession]])</f>
        <v>Research Scientist</v>
      </c>
      <c r="U801" s="5">
        <f>IF(ISBLANK(H801),AVERAGEIF(Table1[[#This Row],[Profession imputed]],T801,Table1[Monthly_Income]),H801)</f>
        <v>3062</v>
      </c>
      <c r="V801" s="6" t="str">
        <f>PROPER(TRIM(Table1[AI_Tool]))</f>
        <v>Perplexity Ai</v>
      </c>
      <c r="W801" s="8">
        <f>IF(ISBLANK(Table1[[#This Row],[Time_Saved_Hours_Per_Week]]),AVERAGEIF(Table1[Satisfaction_Score],Table1[[#This Row],[Satisfaction_Score]],Table1[Time_Saved_Hours_Per_Week]),Table1[[#This Row],[Time_Saved_Hours_Per_Week]])</f>
        <v>13.4</v>
      </c>
    </row>
    <row r="802" spans="1:23" x14ac:dyDescent="0.25">
      <c r="A802" t="s">
        <v>1108</v>
      </c>
      <c r="B802">
        <v>42</v>
      </c>
      <c r="C802" t="s">
        <v>22</v>
      </c>
      <c r="D802" t="s">
        <v>23</v>
      </c>
      <c r="E802" t="s">
        <v>24</v>
      </c>
      <c r="F802" t="s">
        <v>50</v>
      </c>
      <c r="G802" t="s">
        <v>1097</v>
      </c>
      <c r="H802">
        <v>3075</v>
      </c>
      <c r="I802" t="s">
        <v>271</v>
      </c>
      <c r="J802" s="6" t="s">
        <v>27</v>
      </c>
      <c r="K802" s="15">
        <v>1.5</v>
      </c>
      <c r="L802" s="5">
        <v>0</v>
      </c>
      <c r="M802" s="15">
        <v>4</v>
      </c>
      <c r="N802">
        <v>2</v>
      </c>
      <c r="O802">
        <v>3</v>
      </c>
      <c r="P802">
        <v>7.1</v>
      </c>
      <c r="Q802">
        <v>7.6</v>
      </c>
      <c r="R802" s="2">
        <f>IF(ISBLANK(Table1[[#This Row],[Age]]),AVERAGE(Table1[Age]),Table1[[#This Row],[Age]])</f>
        <v>42</v>
      </c>
      <c r="S802" t="str">
        <f>PROPER(Table1[[#This Row],[Country]])</f>
        <v>Germany</v>
      </c>
      <c r="T802" t="str">
        <f>TRIM(Table1[[#This Row],[Profession]])</f>
        <v>Tech Lead</v>
      </c>
      <c r="U802" s="5">
        <f>IF(ISBLANK(H802),AVERAGEIF(Table1[[#This Row],[Profession imputed]],T802,Table1[Monthly_Income]),H802)</f>
        <v>3075</v>
      </c>
      <c r="V802" s="6" t="str">
        <f>PROPER(TRIM(Table1[AI_Tool]))</f>
        <v>Chat Gpt</v>
      </c>
      <c r="W802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803" spans="1:23" x14ac:dyDescent="0.25">
      <c r="A803" t="s">
        <v>926</v>
      </c>
      <c r="B803">
        <v>34</v>
      </c>
      <c r="C803" t="s">
        <v>22</v>
      </c>
      <c r="D803" t="s">
        <v>117</v>
      </c>
      <c r="E803" t="s">
        <v>24</v>
      </c>
      <c r="F803" t="s">
        <v>55</v>
      </c>
      <c r="G803" t="s">
        <v>924</v>
      </c>
      <c r="H803">
        <v>3092</v>
      </c>
      <c r="I803" t="s">
        <v>69</v>
      </c>
      <c r="J803" s="6" t="s">
        <v>130</v>
      </c>
      <c r="K803" s="15">
        <v>5.7</v>
      </c>
      <c r="L803" s="5">
        <v>0</v>
      </c>
      <c r="M803" s="15">
        <v>5.9</v>
      </c>
      <c r="N803">
        <v>3</v>
      </c>
      <c r="O803">
        <v>7</v>
      </c>
      <c r="P803">
        <v>13.4</v>
      </c>
      <c r="Q803">
        <v>9</v>
      </c>
      <c r="R803" s="2">
        <f>IF(ISBLANK(Table1[[#This Row],[Age]]),AVERAGE(Table1[Age]),Table1[[#This Row],[Age]])</f>
        <v>34</v>
      </c>
      <c r="S803" t="str">
        <f>PROPER(Table1[[#This Row],[Country]])</f>
        <v>United Kingdom</v>
      </c>
      <c r="T803" t="str">
        <f>TRIM(Table1[[#This Row],[Profession]])</f>
        <v>Research Scientist</v>
      </c>
      <c r="U803" s="5">
        <f>IF(ISBLANK(H803),AVERAGEIF(Table1[[#This Row],[Profession imputed]],T803,Table1[Monthly_Income]),H803)</f>
        <v>3092</v>
      </c>
      <c r="V803" s="6" t="str">
        <f>PROPER(TRIM(Table1[AI_Tool]))</f>
        <v>Perplexity Ai</v>
      </c>
      <c r="W803" s="8">
        <f>IF(ISBLANK(Table1[[#This Row],[Time_Saved_Hours_Per_Week]]),AVERAGEIF(Table1[Satisfaction_Score],Table1[[#This Row],[Satisfaction_Score]],Table1[Time_Saved_Hours_Per_Week]),Table1[[#This Row],[Time_Saved_Hours_Per_Week]])</f>
        <v>13.4</v>
      </c>
    </row>
    <row r="804" spans="1:23" x14ac:dyDescent="0.25">
      <c r="A804" t="s">
        <v>923</v>
      </c>
      <c r="B804">
        <v>35</v>
      </c>
      <c r="C804" t="s">
        <v>22</v>
      </c>
      <c r="D804" t="s">
        <v>117</v>
      </c>
      <c r="E804" t="s">
        <v>24</v>
      </c>
      <c r="F804" t="s">
        <v>55</v>
      </c>
      <c r="G804" t="s">
        <v>924</v>
      </c>
      <c r="H804">
        <v>3114</v>
      </c>
      <c r="I804" t="s">
        <v>69</v>
      </c>
      <c r="J804" s="6" t="s">
        <v>130</v>
      </c>
      <c r="K804" s="15">
        <v>5.7</v>
      </c>
      <c r="L804" s="5">
        <v>0</v>
      </c>
      <c r="M804" s="15">
        <v>5.9</v>
      </c>
      <c r="N804">
        <v>3</v>
      </c>
      <c r="O804">
        <v>7</v>
      </c>
      <c r="P804">
        <v>13.4</v>
      </c>
      <c r="Q804">
        <v>9</v>
      </c>
      <c r="R804" s="2">
        <f>IF(ISBLANK(Table1[[#This Row],[Age]]),AVERAGE(Table1[Age]),Table1[[#This Row],[Age]])</f>
        <v>35</v>
      </c>
      <c r="S804" t="str">
        <f>PROPER(Table1[[#This Row],[Country]])</f>
        <v>United Kingdom</v>
      </c>
      <c r="T804" t="str">
        <f>TRIM(Table1[[#This Row],[Profession]])</f>
        <v>Research Scientist</v>
      </c>
      <c r="U804" s="5">
        <f>IF(ISBLANK(H804),AVERAGEIF(Table1[[#This Row],[Profession imputed]],T804,Table1[Monthly_Income]),H804)</f>
        <v>3114</v>
      </c>
      <c r="V804" s="6" t="str">
        <f>PROPER(TRIM(Table1[AI_Tool]))</f>
        <v>Perplexity Ai</v>
      </c>
      <c r="W804" s="8">
        <f>IF(ISBLANK(Table1[[#This Row],[Time_Saved_Hours_Per_Week]]),AVERAGEIF(Table1[Satisfaction_Score],Table1[[#This Row],[Satisfaction_Score]],Table1[Time_Saved_Hours_Per_Week]),Table1[[#This Row],[Time_Saved_Hours_Per_Week]])</f>
        <v>13.4</v>
      </c>
    </row>
    <row r="805" spans="1:23" x14ac:dyDescent="0.25">
      <c r="A805" t="s">
        <v>475</v>
      </c>
      <c r="B805">
        <v>28</v>
      </c>
      <c r="C805" t="s">
        <v>29</v>
      </c>
      <c r="D805" t="s">
        <v>117</v>
      </c>
      <c r="E805" t="s">
        <v>24</v>
      </c>
      <c r="F805" t="s">
        <v>25</v>
      </c>
      <c r="G805" t="s">
        <v>476</v>
      </c>
      <c r="H805">
        <v>3117</v>
      </c>
      <c r="I805" t="s">
        <v>58</v>
      </c>
      <c r="J805" s="6" t="s">
        <v>106</v>
      </c>
      <c r="K805" s="15">
        <v>3.9</v>
      </c>
      <c r="L805" s="5">
        <v>10</v>
      </c>
      <c r="M805" s="15">
        <v>8.6</v>
      </c>
      <c r="N805">
        <v>3</v>
      </c>
      <c r="O805">
        <v>8</v>
      </c>
      <c r="P805">
        <v>11.8</v>
      </c>
      <c r="Q805">
        <v>7.6</v>
      </c>
      <c r="R805" s="2">
        <f>IF(ISBLANK(Table1[[#This Row],[Age]]),AVERAGE(Table1[Age]),Table1[[#This Row],[Age]])</f>
        <v>28</v>
      </c>
      <c r="S805" t="str">
        <f>PROPER(Table1[[#This Row],[Country]])</f>
        <v>United Kingdom</v>
      </c>
      <c r="T805" t="str">
        <f>TRIM(Table1[[#This Row],[Profession]])</f>
        <v>Data Analyst</v>
      </c>
      <c r="U805" s="5">
        <f>IF(ISBLANK(H805),AVERAGEIF(Table1[Profession imputed],T805,Table1[Monthly_Income]),H805)</f>
        <v>3117</v>
      </c>
      <c r="V805" s="6" t="str">
        <f>PROPER(TRIM(Table1[AI_Tool]))</f>
        <v>Claude</v>
      </c>
      <c r="W805" s="8">
        <f>IF(ISBLANK(Table1[[#This Row],[Time_Saved_Hours_Per_Week]]),AVERAGEIF(Table1[Satisfaction_Score],Table1[[#This Row],[Satisfaction_Score]],Table1[Time_Saved_Hours_Per_Week]),Table1[[#This Row],[Time_Saved_Hours_Per_Week]])</f>
        <v>11.8</v>
      </c>
    </row>
    <row r="806" spans="1:23" x14ac:dyDescent="0.25">
      <c r="A806" t="s">
        <v>440</v>
      </c>
      <c r="B806">
        <v>46</v>
      </c>
      <c r="C806" t="s">
        <v>22</v>
      </c>
      <c r="D806" t="s">
        <v>117</v>
      </c>
      <c r="E806" t="s">
        <v>24</v>
      </c>
      <c r="F806" t="s">
        <v>25</v>
      </c>
      <c r="G806" t="s">
        <v>441</v>
      </c>
      <c r="H806">
        <v>3159</v>
      </c>
      <c r="I806" t="s">
        <v>69</v>
      </c>
      <c r="J806" s="6" t="s">
        <v>27</v>
      </c>
      <c r="K806" s="15">
        <v>1.9</v>
      </c>
      <c r="L806" s="5">
        <v>0</v>
      </c>
      <c r="M806" s="15">
        <v>3.4</v>
      </c>
      <c r="N806" s="7">
        <v>4</v>
      </c>
      <c r="O806">
        <v>7</v>
      </c>
      <c r="P806">
        <v>4.0999999999999996</v>
      </c>
      <c r="Q806">
        <v>8.6</v>
      </c>
      <c r="R806" s="2">
        <f>IF(ISBLANK(Table1[[#This Row],[Age]]),AVERAGE(Table1[Age]),Table1[[#This Row],[Age]])</f>
        <v>46</v>
      </c>
      <c r="S806" t="str">
        <f>PROPER(Table1[[#This Row],[Country]])</f>
        <v>United Kingdom</v>
      </c>
      <c r="T806" t="str">
        <f>TRIM(Table1[[#This Row],[Profession]])</f>
        <v>Customer Support Manager</v>
      </c>
      <c r="U806" s="5">
        <f>IF(ISBLANK(H806),AVERAGEIF(Table1[Profession imputed],T806,Table1[Monthly_Income]),H806)</f>
        <v>3159</v>
      </c>
      <c r="V806" s="6" t="str">
        <f>PROPER(TRIM(Table1[AI_Tool]))</f>
        <v>Perplexity Ai</v>
      </c>
      <c r="W806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807" spans="1:23" x14ac:dyDescent="0.25">
      <c r="A807" t="s">
        <v>448</v>
      </c>
      <c r="B807">
        <v>45</v>
      </c>
      <c r="C807" t="s">
        <v>22</v>
      </c>
      <c r="D807" t="s">
        <v>117</v>
      </c>
      <c r="E807" t="s">
        <v>24</v>
      </c>
      <c r="F807" t="s">
        <v>25</v>
      </c>
      <c r="G807" t="s">
        <v>441</v>
      </c>
      <c r="H807">
        <v>3192</v>
      </c>
      <c r="I807" t="s">
        <v>69</v>
      </c>
      <c r="J807" s="6" t="s">
        <v>27</v>
      </c>
      <c r="K807" s="15">
        <v>1.9</v>
      </c>
      <c r="L807" s="5">
        <v>0</v>
      </c>
      <c r="M807" s="15">
        <v>3.4</v>
      </c>
      <c r="N807" s="7">
        <v>4</v>
      </c>
      <c r="O807">
        <v>7</v>
      </c>
      <c r="P807">
        <v>4.0999999999999996</v>
      </c>
      <c r="Q807">
        <v>8.6</v>
      </c>
      <c r="R807" s="2">
        <f>IF(ISBLANK(Table1[[#This Row],[Age]]),AVERAGE(Table1[Age]),Table1[[#This Row],[Age]])</f>
        <v>45</v>
      </c>
      <c r="S807" t="str">
        <f>PROPER(Table1[[#This Row],[Country]])</f>
        <v>United Kingdom</v>
      </c>
      <c r="T807" t="str">
        <f>TRIM(Table1[[#This Row],[Profession]])</f>
        <v>Customer Support Manager</v>
      </c>
      <c r="U807" s="5">
        <f>IF(ISBLANK(H807),AVERAGEIF(Table1[Profession imputed],T807,Table1[Monthly_Income]),H807)</f>
        <v>3192</v>
      </c>
      <c r="V807" s="6" t="str">
        <f>PROPER(TRIM(Table1[AI_Tool]))</f>
        <v>Perplexity Ai</v>
      </c>
      <c r="W807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808" spans="1:23" x14ac:dyDescent="0.25">
      <c r="A808" t="s">
        <v>1033</v>
      </c>
      <c r="B808">
        <v>29</v>
      </c>
      <c r="C808" t="s">
        <v>22</v>
      </c>
      <c r="D808" t="s">
        <v>189</v>
      </c>
      <c r="E808" t="s">
        <v>24</v>
      </c>
      <c r="F808" t="s">
        <v>25</v>
      </c>
      <c r="G808" t="s">
        <v>1019</v>
      </c>
      <c r="H808">
        <v>3201</v>
      </c>
      <c r="I808" t="s">
        <v>271</v>
      </c>
      <c r="J808" s="6" t="s">
        <v>33</v>
      </c>
      <c r="K808" s="15">
        <v>0.8</v>
      </c>
      <c r="L808" s="5">
        <v>10</v>
      </c>
      <c r="M808" s="15">
        <v>2.2999999999999998</v>
      </c>
      <c r="N808">
        <v>4</v>
      </c>
      <c r="O808">
        <v>4</v>
      </c>
      <c r="P808">
        <v>0.5</v>
      </c>
      <c r="Q808">
        <v>8</v>
      </c>
      <c r="R808" s="2">
        <f>IF(ISBLANK(Table1[[#This Row],[Age]]),AVERAGE(Table1[Age]),Table1[[#This Row],[Age]])</f>
        <v>29</v>
      </c>
      <c r="S808" t="str">
        <f>PROPER(Table1[[#This Row],[Country]])</f>
        <v>Australia</v>
      </c>
      <c r="T808" t="str">
        <f>TRIM(Table1[[#This Row],[Profession]])</f>
        <v>Software Developer</v>
      </c>
      <c r="U808" s="5">
        <f>IF(ISBLANK(H808),AVERAGEIF(Table1[[#This Row],[Profession imputed]],T808,Table1[Monthly_Income]),H808)</f>
        <v>3201</v>
      </c>
      <c r="V808" s="6" t="str">
        <f>PROPER(TRIM(Table1[AI_Tool]))</f>
        <v>Chat Gpt</v>
      </c>
      <c r="W808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809" spans="1:23" x14ac:dyDescent="0.25">
      <c r="A809" t="s">
        <v>478</v>
      </c>
      <c r="B809">
        <v>39</v>
      </c>
      <c r="C809" t="s">
        <v>22</v>
      </c>
      <c r="D809" t="s">
        <v>44</v>
      </c>
      <c r="E809" t="s">
        <v>24</v>
      </c>
      <c r="F809" t="s">
        <v>25</v>
      </c>
      <c r="G809" t="s">
        <v>476</v>
      </c>
      <c r="H809">
        <v>3204</v>
      </c>
      <c r="I809" t="s">
        <v>271</v>
      </c>
      <c r="J809" s="6" t="s">
        <v>106</v>
      </c>
      <c r="K809" s="15">
        <v>2.6</v>
      </c>
      <c r="L809" s="5">
        <v>0</v>
      </c>
      <c r="M809" s="15">
        <v>0</v>
      </c>
      <c r="N809">
        <v>3</v>
      </c>
      <c r="O809">
        <v>6</v>
      </c>
      <c r="P809">
        <v>3.6</v>
      </c>
      <c r="Q809">
        <v>9.1999999999999993</v>
      </c>
      <c r="R809" s="2">
        <f>IF(ISBLANK(Table1[[#This Row],[Age]]),AVERAGE(Table1[Age]),Table1[[#This Row],[Age]])</f>
        <v>39</v>
      </c>
      <c r="S809" t="str">
        <f>PROPER(Table1[[#This Row],[Country]])</f>
        <v>United States</v>
      </c>
      <c r="T809" t="str">
        <f>TRIM(Table1[[#This Row],[Profession]])</f>
        <v>Data Analyst</v>
      </c>
      <c r="U809" s="5">
        <f>IF(ISBLANK(H809),AVERAGEIF(Table1[Profession imputed],T809,Table1[Monthly_Income]),H809)</f>
        <v>3204</v>
      </c>
      <c r="V809" s="6" t="str">
        <f>PROPER(TRIM(Table1[AI_Tool]))</f>
        <v>Chat Gpt</v>
      </c>
      <c r="W809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810" spans="1:23" x14ac:dyDescent="0.25">
      <c r="A810" t="s">
        <v>938</v>
      </c>
      <c r="B810">
        <v>41</v>
      </c>
      <c r="C810" t="s">
        <v>22</v>
      </c>
      <c r="D810" t="s">
        <v>92</v>
      </c>
      <c r="E810" t="s">
        <v>24</v>
      </c>
      <c r="F810" t="s">
        <v>45</v>
      </c>
      <c r="G810" t="s">
        <v>937</v>
      </c>
      <c r="H810">
        <v>3218</v>
      </c>
      <c r="I810" t="s">
        <v>253</v>
      </c>
      <c r="J810" s="6" t="s">
        <v>130</v>
      </c>
      <c r="K810" s="15">
        <v>2.7</v>
      </c>
      <c r="L810" s="5">
        <v>10</v>
      </c>
      <c r="M810" s="15">
        <v>4.8</v>
      </c>
      <c r="N810">
        <v>4</v>
      </c>
      <c r="O810">
        <v>7</v>
      </c>
      <c r="P810">
        <v>6.4</v>
      </c>
      <c r="Q810">
        <v>8.6</v>
      </c>
      <c r="R810" s="2">
        <f>IF(ISBLANK(Table1[[#This Row],[Age]]),AVERAGE(Table1[Age]),Table1[[#This Row],[Age]])</f>
        <v>41</v>
      </c>
      <c r="S810" t="str">
        <f>PROPER(Table1[[#This Row],[Country]])</f>
        <v>Canada</v>
      </c>
      <c r="T810" t="str">
        <f>TRIM(Table1[[#This Row],[Profession]])</f>
        <v>Research Technician</v>
      </c>
      <c r="U810" s="5">
        <f>IF(ISBLANK(H810),AVERAGEIF(Table1[[#This Row],[Profession imputed]],T810,Table1[Monthly_Income]),H810)</f>
        <v>3218</v>
      </c>
      <c r="V810" s="6" t="str">
        <f>PROPER(TRIM(Table1[AI_Tool]))</f>
        <v>Meta Ai</v>
      </c>
      <c r="W810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811" spans="1:23" x14ac:dyDescent="0.25">
      <c r="A811" t="s">
        <v>343</v>
      </c>
      <c r="B811">
        <v>31</v>
      </c>
      <c r="C811" t="s">
        <v>29</v>
      </c>
      <c r="D811" t="s">
        <v>92</v>
      </c>
      <c r="E811" t="s">
        <v>24</v>
      </c>
      <c r="F811" t="s">
        <v>25</v>
      </c>
      <c r="G811" t="s">
        <v>337</v>
      </c>
      <c r="H811">
        <v>3238</v>
      </c>
      <c r="I811" t="s">
        <v>271</v>
      </c>
      <c r="J811" s="6" t="s">
        <v>75</v>
      </c>
      <c r="K811" s="15">
        <v>1.3</v>
      </c>
      <c r="L811" s="5">
        <v>0</v>
      </c>
      <c r="M811" s="15">
        <v>3.8</v>
      </c>
      <c r="N811">
        <v>4</v>
      </c>
      <c r="O811">
        <v>7</v>
      </c>
      <c r="P811">
        <v>2.9</v>
      </c>
      <c r="Q811">
        <v>7.6</v>
      </c>
      <c r="R811" s="2">
        <f>IF(ISBLANK(Table1[[#This Row],[Age]]),AVERAGE(Table1[Age]),Table1[[#This Row],[Age]])</f>
        <v>31</v>
      </c>
      <c r="S811" t="str">
        <f>PROPER(Table1[[#This Row],[Country]])</f>
        <v>Canada</v>
      </c>
      <c r="T811" t="str">
        <f>TRIM(Table1[[#This Row],[Profession]])</f>
        <v>Content Marketing Manager</v>
      </c>
      <c r="U811" s="5">
        <f>IF(ISBLANK(H811),AVERAGEIF(Table1[[#This Row],[Profession imputed]],T811,Table1[Monthly_Income]),H811)</f>
        <v>3238</v>
      </c>
      <c r="V811" s="6" t="str">
        <f>PROPER(TRIM(Table1[AI_Tool]))</f>
        <v>Chat Gpt</v>
      </c>
      <c r="W811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812" spans="1:23" x14ac:dyDescent="0.25">
      <c r="A812" t="s">
        <v>943</v>
      </c>
      <c r="B812">
        <v>44</v>
      </c>
      <c r="C812" t="s">
        <v>29</v>
      </c>
      <c r="D812" t="s">
        <v>137</v>
      </c>
      <c r="E812" t="s">
        <v>24</v>
      </c>
      <c r="F812" t="s">
        <v>25</v>
      </c>
      <c r="G812" t="s">
        <v>941</v>
      </c>
      <c r="H812">
        <v>3238</v>
      </c>
      <c r="I812" t="s">
        <v>271</v>
      </c>
      <c r="J812" s="6" t="s">
        <v>75</v>
      </c>
      <c r="K812" s="15">
        <v>2.2000000000000002</v>
      </c>
      <c r="L812" s="5">
        <v>0</v>
      </c>
      <c r="M812" s="15">
        <v>5</v>
      </c>
      <c r="N812">
        <v>4</v>
      </c>
      <c r="O812">
        <f>IF(Table1[[#This Row],[Accuracy_Rating]]=4,8,IF(Table1[[#This Row],[Accuracy_Rating]]=3,7,Table1[[#This Row],[Accuracy_Rating]]))</f>
        <v>8</v>
      </c>
      <c r="P812">
        <v>2.8</v>
      </c>
      <c r="Q812">
        <v>10.7</v>
      </c>
      <c r="R812" s="2">
        <f>IF(ISBLANK(Table1[[#This Row],[Age]]),AVERAGE(Table1[Age]),Table1[[#This Row],[Age]])</f>
        <v>44</v>
      </c>
      <c r="S812" t="str">
        <f>PROPER(Table1[[#This Row],[Country]])</f>
        <v>France</v>
      </c>
      <c r="T812" t="str">
        <f>TRIM(Table1[[#This Row],[Profession]])</f>
        <v>Responsable de Contenu Digital</v>
      </c>
      <c r="U812" s="5">
        <f>IF(ISBLANK(H812),AVERAGEIF(Table1[[#This Row],[Profession imputed]],T812,Table1[Monthly_Income]),H812)</f>
        <v>3238</v>
      </c>
      <c r="V812" s="6" t="str">
        <f>PROPER(TRIM(Table1[AI_Tool]))</f>
        <v>Chat Gpt</v>
      </c>
      <c r="W812" s="8">
        <f>IF(ISBLANK(Table1[[#This Row],[Time_Saved_Hours_Per_Week]]),AVERAGEIF(Table1[Satisfaction_Score],Table1[[#This Row],[Satisfaction_Score]],Table1[Time_Saved_Hours_Per_Week]),Table1[[#This Row],[Time_Saved_Hours_Per_Week]])</f>
        <v>2.8</v>
      </c>
    </row>
    <row r="813" spans="1:23" x14ac:dyDescent="0.25">
      <c r="A813" t="s">
        <v>1018</v>
      </c>
      <c r="B813">
        <v>30</v>
      </c>
      <c r="C813" t="s">
        <v>22</v>
      </c>
      <c r="D813" t="s">
        <v>189</v>
      </c>
      <c r="E813" t="s">
        <v>24</v>
      </c>
      <c r="F813" t="s">
        <v>25</v>
      </c>
      <c r="G813" t="s">
        <v>1019</v>
      </c>
      <c r="H813">
        <v>3307</v>
      </c>
      <c r="I813" t="s">
        <v>271</v>
      </c>
      <c r="J813" s="6" t="s">
        <v>33</v>
      </c>
      <c r="K813" s="15">
        <v>0.8</v>
      </c>
      <c r="L813" s="5">
        <v>10</v>
      </c>
      <c r="M813" s="15">
        <v>2.2999999999999998</v>
      </c>
      <c r="N813">
        <v>4</v>
      </c>
      <c r="O813">
        <v>4</v>
      </c>
      <c r="P813">
        <v>0.5</v>
      </c>
      <c r="Q813">
        <v>8</v>
      </c>
      <c r="R813" s="2">
        <f>IF(ISBLANK(Table1[[#This Row],[Age]]),AVERAGE(Table1[Age]),Table1[[#This Row],[Age]])</f>
        <v>30</v>
      </c>
      <c r="S813" t="str">
        <f>PROPER(Table1[[#This Row],[Country]])</f>
        <v>Australia</v>
      </c>
      <c r="T813" t="str">
        <f>TRIM(Table1[[#This Row],[Profession]])</f>
        <v>Software Developer</v>
      </c>
      <c r="U813" s="5">
        <f>IF(ISBLANK(H813),AVERAGEIF(Table1[[#This Row],[Profession imputed]],T813,Table1[Monthly_Income]),H813)</f>
        <v>3307</v>
      </c>
      <c r="V813" s="6" t="str">
        <f>PROPER(TRIM(Table1[AI_Tool]))</f>
        <v>Chat Gpt</v>
      </c>
      <c r="W813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814" spans="1:23" x14ac:dyDescent="0.25">
      <c r="A814" t="s">
        <v>484</v>
      </c>
      <c r="B814">
        <v>28</v>
      </c>
      <c r="C814" t="s">
        <v>29</v>
      </c>
      <c r="D814" t="s">
        <v>117</v>
      </c>
      <c r="E814" t="s">
        <v>24</v>
      </c>
      <c r="F814" t="s">
        <v>25</v>
      </c>
      <c r="G814" t="s">
        <v>476</v>
      </c>
      <c r="H814">
        <v>3327</v>
      </c>
      <c r="I814" t="s">
        <v>58</v>
      </c>
      <c r="J814" s="6" t="s">
        <v>106</v>
      </c>
      <c r="K814" s="15">
        <v>3.9</v>
      </c>
      <c r="L814" s="5">
        <v>10</v>
      </c>
      <c r="M814" s="15">
        <v>8.6</v>
      </c>
      <c r="N814">
        <v>3</v>
      </c>
      <c r="O814">
        <v>8</v>
      </c>
      <c r="P814">
        <v>11.8</v>
      </c>
      <c r="Q814">
        <v>7.6</v>
      </c>
      <c r="R814" s="2">
        <f>IF(ISBLANK(Table1[[#This Row],[Age]]),AVERAGE(Table1[Age]),Table1[[#This Row],[Age]])</f>
        <v>28</v>
      </c>
      <c r="S814" t="str">
        <f>PROPER(Table1[[#This Row],[Country]])</f>
        <v>United Kingdom</v>
      </c>
      <c r="T814" t="str">
        <f>TRIM(Table1[[#This Row],[Profession]])</f>
        <v>Data Analyst</v>
      </c>
      <c r="U814" s="5">
        <f>IF(ISBLANK(H814),AVERAGEIF(Table1[Profession imputed],T814,Table1[Monthly_Income]),H814)</f>
        <v>3327</v>
      </c>
      <c r="V814" s="6" t="str">
        <f>PROPER(TRIM(Table1[AI_Tool]))</f>
        <v>Claude</v>
      </c>
      <c r="W814" s="8">
        <f>IF(ISBLANK(Table1[[#This Row],[Time_Saved_Hours_Per_Week]]),AVERAGEIF(Table1[Satisfaction_Score],Table1[[#This Row],[Satisfaction_Score]],Table1[Time_Saved_Hours_Per_Week]),Table1[[#This Row],[Time_Saved_Hours_Per_Week]])</f>
        <v>11.8</v>
      </c>
    </row>
    <row r="815" spans="1:23" x14ac:dyDescent="0.25">
      <c r="A815" t="s">
        <v>517</v>
      </c>
      <c r="B815">
        <v>33</v>
      </c>
      <c r="C815" t="s">
        <v>22</v>
      </c>
      <c r="D815" t="s">
        <v>44</v>
      </c>
      <c r="E815" t="s">
        <v>24</v>
      </c>
      <c r="F815" t="s">
        <v>50</v>
      </c>
      <c r="G815" t="s">
        <v>515</v>
      </c>
      <c r="H815">
        <v>3333</v>
      </c>
      <c r="I815" t="s">
        <v>280</v>
      </c>
      <c r="J815" s="6" t="s">
        <v>106</v>
      </c>
      <c r="K815" s="15">
        <v>4.8</v>
      </c>
      <c r="L815" s="5">
        <v>30</v>
      </c>
      <c r="M815" s="15">
        <v>7.7</v>
      </c>
      <c r="N815">
        <v>3</v>
      </c>
      <c r="O815">
        <v>6</v>
      </c>
      <c r="P815">
        <v>5.7</v>
      </c>
      <c r="Q815">
        <v>8.6999999999999993</v>
      </c>
      <c r="R815" s="2">
        <f>IF(ISBLANK(Table1[[#This Row],[Age]]),AVERAGE(Table1[Age]),Table1[[#This Row],[Age]])</f>
        <v>33</v>
      </c>
      <c r="S815" t="str">
        <f>PROPER(Table1[[#This Row],[Country]])</f>
        <v>United States</v>
      </c>
      <c r="T815" t="str">
        <f>TRIM(Table1[[#This Row],[Profession]])</f>
        <v>Data Entry Specialist</v>
      </c>
      <c r="U815" s="5">
        <f>IF(ISBLANK(H815),AVERAGEIF(Table1[Profession imputed],T815,Table1[Monthly_Income]),H815)</f>
        <v>3333</v>
      </c>
      <c r="V815" s="6" t="str">
        <f>PROPER(TRIM(Table1[AI_Tool]))</f>
        <v>Unknown</v>
      </c>
      <c r="W815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816" spans="1:23" x14ac:dyDescent="0.25">
      <c r="A816" t="s">
        <v>336</v>
      </c>
      <c r="B816">
        <v>32</v>
      </c>
      <c r="C816" t="s">
        <v>29</v>
      </c>
      <c r="D816" t="s">
        <v>92</v>
      </c>
      <c r="E816" t="s">
        <v>24</v>
      </c>
      <c r="F816" t="s">
        <v>25</v>
      </c>
      <c r="G816" t="s">
        <v>337</v>
      </c>
      <c r="H816">
        <v>3337</v>
      </c>
      <c r="I816" t="s">
        <v>271</v>
      </c>
      <c r="J816" s="6" t="s">
        <v>75</v>
      </c>
      <c r="K816" s="15">
        <v>1.3</v>
      </c>
      <c r="L816" s="5">
        <v>0</v>
      </c>
      <c r="M816" s="15">
        <v>3.8</v>
      </c>
      <c r="N816">
        <v>4</v>
      </c>
      <c r="O816">
        <v>7</v>
      </c>
      <c r="P816">
        <v>2.9</v>
      </c>
      <c r="Q816">
        <v>7.6</v>
      </c>
      <c r="R816" s="2">
        <f>IF(ISBLANK(Table1[[#This Row],[Age]]),AVERAGE(Table1[Age]),Table1[[#This Row],[Age]])</f>
        <v>32</v>
      </c>
      <c r="S816" t="str">
        <f>PROPER(Table1[[#This Row],[Country]])</f>
        <v>Canada</v>
      </c>
      <c r="T816" t="str">
        <f>TRIM(Table1[[#This Row],[Profession]])</f>
        <v>Content Marketing Manager</v>
      </c>
      <c r="U816" s="5">
        <f>IF(ISBLANK(H816),AVERAGEIF(Table1[[#This Row],[Profession imputed]],T816,Table1[Monthly_Income]),H816)</f>
        <v>3337</v>
      </c>
      <c r="V816" s="6" t="str">
        <f>PROPER(TRIM(Table1[AI_Tool]))</f>
        <v>Chat Gpt</v>
      </c>
      <c r="W816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817" spans="1:23" x14ac:dyDescent="0.25">
      <c r="A817" t="s">
        <v>495</v>
      </c>
      <c r="B817">
        <v>26</v>
      </c>
      <c r="C817" t="s">
        <v>29</v>
      </c>
      <c r="D817" t="s">
        <v>117</v>
      </c>
      <c r="E817" t="s">
        <v>24</v>
      </c>
      <c r="F817" t="s">
        <v>25</v>
      </c>
      <c r="G817" t="s">
        <v>476</v>
      </c>
      <c r="H817">
        <v>3352</v>
      </c>
      <c r="I817" t="s">
        <v>58</v>
      </c>
      <c r="J817" s="6" t="s">
        <v>106</v>
      </c>
      <c r="K817" s="15">
        <v>3.9</v>
      </c>
      <c r="L817" s="5">
        <v>10</v>
      </c>
      <c r="M817" s="15">
        <v>8.6</v>
      </c>
      <c r="N817">
        <v>3</v>
      </c>
      <c r="O817">
        <v>8</v>
      </c>
      <c r="P817">
        <v>11.8</v>
      </c>
      <c r="Q817">
        <v>7.6</v>
      </c>
      <c r="R817" s="2">
        <f>IF(ISBLANK(Table1[[#This Row],[Age]]),AVERAGE(Table1[Age]),Table1[[#This Row],[Age]])</f>
        <v>26</v>
      </c>
      <c r="S817" t="str">
        <f>PROPER(Table1[[#This Row],[Country]])</f>
        <v>United Kingdom</v>
      </c>
      <c r="T817" t="str">
        <f>TRIM(Table1[[#This Row],[Profession]])</f>
        <v>Data Analyst</v>
      </c>
      <c r="U817" s="5">
        <f>IF(ISBLANK(H817),AVERAGEIF(Table1[Profession imputed],T817,Table1[Monthly_Income]),H817)</f>
        <v>3352</v>
      </c>
      <c r="V817" s="6" t="str">
        <f>PROPER(TRIM(Table1[AI_Tool]))</f>
        <v>Claude</v>
      </c>
      <c r="W817" s="8">
        <f>IF(ISBLANK(Table1[[#This Row],[Time_Saved_Hours_Per_Week]]),AVERAGEIF(Table1[Satisfaction_Score],Table1[[#This Row],[Satisfaction_Score]],Table1[Time_Saved_Hours_Per_Week]),Table1[[#This Row],[Time_Saved_Hours_Per_Week]])</f>
        <v>11.8</v>
      </c>
    </row>
    <row r="818" spans="1:23" x14ac:dyDescent="0.25">
      <c r="A818" t="s">
        <v>247</v>
      </c>
      <c r="B818">
        <v>37</v>
      </c>
      <c r="C818" t="s">
        <v>29</v>
      </c>
      <c r="D818" t="s">
        <v>117</v>
      </c>
      <c r="E818" t="s">
        <v>24</v>
      </c>
      <c r="F818" t="s">
        <v>25</v>
      </c>
      <c r="G818" t="s">
        <v>237</v>
      </c>
      <c r="H818">
        <v>3393</v>
      </c>
      <c r="I818" t="s">
        <v>69</v>
      </c>
      <c r="J818" s="6" t="s">
        <v>106</v>
      </c>
      <c r="K818" s="15">
        <v>1.5</v>
      </c>
      <c r="L818" s="5">
        <v>0</v>
      </c>
      <c r="M818" s="15">
        <v>0</v>
      </c>
      <c r="N818">
        <v>4</v>
      </c>
      <c r="O818">
        <v>7</v>
      </c>
      <c r="P818">
        <v>1.9</v>
      </c>
      <c r="Q818">
        <v>8</v>
      </c>
      <c r="R818" s="2">
        <f>IF(ISBLANK(Table1[[#This Row],[Age]]),AVERAGE(Table1[Age]),Table1[[#This Row],[Age]])</f>
        <v>37</v>
      </c>
      <c r="S818" t="str">
        <f>PROPER(Table1[[#This Row],[Country]])</f>
        <v>United Kingdom</v>
      </c>
      <c r="T818" t="str">
        <f>TRIM(Table1[[#This Row],[Profession]])</f>
        <v>Business Analyst</v>
      </c>
      <c r="U818" s="5">
        <f>IF(ISBLANK(H818),AVERAGEIF(Table1[Profession imputed],T818,Table1[Monthly_Income]),H818)</f>
        <v>3393</v>
      </c>
      <c r="V818" s="6" t="str">
        <f>PROPER(TRIM(Table1[AI_Tool]))</f>
        <v>Perplexity Ai</v>
      </c>
      <c r="W818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819" spans="1:23" x14ac:dyDescent="0.25">
      <c r="A819" t="s">
        <v>418</v>
      </c>
      <c r="B819">
        <v>23</v>
      </c>
      <c r="C819" t="s">
        <v>29</v>
      </c>
      <c r="D819" t="s">
        <v>92</v>
      </c>
      <c r="E819" t="s">
        <v>24</v>
      </c>
      <c r="F819" t="s">
        <v>50</v>
      </c>
      <c r="G819" t="s">
        <v>417</v>
      </c>
      <c r="H819">
        <v>3422</v>
      </c>
      <c r="I819" t="s">
        <v>69</v>
      </c>
      <c r="J819" s="6" t="s">
        <v>27</v>
      </c>
      <c r="K819" s="15">
        <v>1.7</v>
      </c>
      <c r="L819" s="5">
        <v>0</v>
      </c>
      <c r="M819" s="15">
        <v>7</v>
      </c>
      <c r="N819">
        <v>4</v>
      </c>
      <c r="O819">
        <v>7</v>
      </c>
      <c r="P819">
        <v>3.4</v>
      </c>
      <c r="Q819">
        <v>6.7</v>
      </c>
      <c r="R819" s="2">
        <f>IF(ISBLANK(Table1[[#This Row],[Age]]),AVERAGE(Table1[Age]),Table1[[#This Row],[Age]])</f>
        <v>23</v>
      </c>
      <c r="S819" t="str">
        <f>PROPER(Table1[[#This Row],[Country]])</f>
        <v>Canada</v>
      </c>
      <c r="T819" t="str">
        <f>TRIM(Table1[[#This Row],[Profession]])</f>
        <v>Customer Service Representative</v>
      </c>
      <c r="U819" s="5">
        <f>IF(ISBLANK(H819),AVERAGEIF(Table1[[#This Row],[Profession imputed]],T819,Table1[Monthly_Income]),H819)</f>
        <v>3422</v>
      </c>
      <c r="V819" s="6" t="str">
        <f>PROPER(TRIM(Table1[AI_Tool]))</f>
        <v>Perplexity Ai</v>
      </c>
      <c r="W819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820" spans="1:23" x14ac:dyDescent="0.25">
      <c r="A820" t="s">
        <v>449</v>
      </c>
      <c r="B820">
        <v>46</v>
      </c>
      <c r="C820" t="s">
        <v>22</v>
      </c>
      <c r="D820" t="s">
        <v>117</v>
      </c>
      <c r="E820" t="s">
        <v>24</v>
      </c>
      <c r="F820" t="s">
        <v>25</v>
      </c>
      <c r="G820" t="s">
        <v>441</v>
      </c>
      <c r="H820">
        <v>3446</v>
      </c>
      <c r="I820" t="s">
        <v>69</v>
      </c>
      <c r="J820" s="6" t="s">
        <v>27</v>
      </c>
      <c r="K820" s="15">
        <v>1.9</v>
      </c>
      <c r="L820" s="5">
        <v>0</v>
      </c>
      <c r="M820" s="15">
        <v>3.4</v>
      </c>
      <c r="N820" s="7">
        <v>4</v>
      </c>
      <c r="O820">
        <v>7</v>
      </c>
      <c r="P820">
        <v>4.0999999999999996</v>
      </c>
      <c r="Q820">
        <v>8.6</v>
      </c>
      <c r="R820" s="2">
        <f>IF(ISBLANK(Table1[[#This Row],[Age]]),AVERAGE(Table1[Age]),Table1[[#This Row],[Age]])</f>
        <v>46</v>
      </c>
      <c r="S820" t="str">
        <f>PROPER(Table1[[#This Row],[Country]])</f>
        <v>United Kingdom</v>
      </c>
      <c r="T820" t="str">
        <f>TRIM(Table1[[#This Row],[Profession]])</f>
        <v>Customer Support Manager</v>
      </c>
      <c r="U820" s="5">
        <f>IF(ISBLANK(H820),AVERAGEIF(Table1[Profession imputed],T820,Table1[Monthly_Income]),H820)</f>
        <v>3446</v>
      </c>
      <c r="V820" s="6" t="str">
        <f>PROPER(TRIM(Table1[AI_Tool]))</f>
        <v>Perplexity Ai</v>
      </c>
      <c r="W820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821" spans="1:23" x14ac:dyDescent="0.25">
      <c r="A821" t="s">
        <v>501</v>
      </c>
      <c r="C821" t="s">
        <v>22</v>
      </c>
      <c r="D821" t="s">
        <v>502</v>
      </c>
      <c r="E821" t="s">
        <v>24</v>
      </c>
      <c r="F821" t="s">
        <v>55</v>
      </c>
      <c r="G821" t="s">
        <v>503</v>
      </c>
      <c r="H821" s="1">
        <v>3462</v>
      </c>
      <c r="I821" t="s">
        <v>1186</v>
      </c>
      <c r="J821" s="6" t="s">
        <v>106</v>
      </c>
      <c r="K821" s="15">
        <v>4.5</v>
      </c>
      <c r="L821" s="5">
        <v>0</v>
      </c>
      <c r="M821" s="15">
        <v>5.6</v>
      </c>
      <c r="N821">
        <v>4</v>
      </c>
      <c r="O821">
        <v>5</v>
      </c>
      <c r="P821">
        <v>5.5</v>
      </c>
      <c r="Q821">
        <v>6.7</v>
      </c>
      <c r="R821" s="2">
        <f>IF(ISBLANK(Table1[[#This Row],[Age]]),AVERAGE(Table1[Age]),Table1[[#This Row],[Age]])</f>
        <v>30.023333333333333</v>
      </c>
      <c r="S821" t="str">
        <f>PROPER(Table1[[#This Row],[Country]])</f>
        <v>Australia</v>
      </c>
      <c r="T821" t="str">
        <f>TRIM(Table1[[#This Row],[Profession]])</f>
        <v>Data Analyst / Business Intelligence Specialist</v>
      </c>
      <c r="U821" s="5">
        <f>IF(ISBLANK(H821),AVERAGEIF(Table1[Profession imputed],T821,Table1[Monthly_Income]),H821)</f>
        <v>3462</v>
      </c>
      <c r="V821" s="6" t="str">
        <f>PROPER(TRIM(Table1[AI_Tool]))</f>
        <v>Google Gemini</v>
      </c>
      <c r="W821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822" spans="1:23" x14ac:dyDescent="0.25">
      <c r="A822" t="s">
        <v>446</v>
      </c>
      <c r="B822">
        <v>45</v>
      </c>
      <c r="C822" t="s">
        <v>22</v>
      </c>
      <c r="D822" t="s">
        <v>117</v>
      </c>
      <c r="E822" t="s">
        <v>24</v>
      </c>
      <c r="F822" t="s">
        <v>25</v>
      </c>
      <c r="G822" t="s">
        <v>441</v>
      </c>
      <c r="H822">
        <v>3463</v>
      </c>
      <c r="I822" t="s">
        <v>69</v>
      </c>
      <c r="J822" s="6" t="s">
        <v>27</v>
      </c>
      <c r="K822" s="15">
        <v>1.9</v>
      </c>
      <c r="L822" s="5">
        <v>0</v>
      </c>
      <c r="M822" s="15">
        <v>3.4</v>
      </c>
      <c r="N822" s="7">
        <v>4</v>
      </c>
      <c r="O822">
        <v>7</v>
      </c>
      <c r="P822">
        <v>4.0999999999999996</v>
      </c>
      <c r="Q822">
        <v>8.6</v>
      </c>
      <c r="R822" s="2">
        <f>IF(ISBLANK(Table1[[#This Row],[Age]]),AVERAGE(Table1[Age]),Table1[[#This Row],[Age]])</f>
        <v>45</v>
      </c>
      <c r="S822" t="str">
        <f>PROPER(Table1[[#This Row],[Country]])</f>
        <v>United Kingdom</v>
      </c>
      <c r="T822" t="str">
        <f>TRIM(Table1[[#This Row],[Profession]])</f>
        <v>Customer Support Manager</v>
      </c>
      <c r="U822" s="5">
        <f>IF(ISBLANK(H822),AVERAGEIF(Table1[Profession imputed],T822,Table1[Monthly_Income]),H822)</f>
        <v>3463</v>
      </c>
      <c r="V822" s="6" t="str">
        <f>PROPER(TRIM(Table1[AI_Tool]))</f>
        <v>Perplexity Ai</v>
      </c>
      <c r="W822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823" spans="1:23" x14ac:dyDescent="0.25">
      <c r="A823" t="s">
        <v>444</v>
      </c>
      <c r="B823">
        <v>46</v>
      </c>
      <c r="C823" t="s">
        <v>22</v>
      </c>
      <c r="D823" t="s">
        <v>117</v>
      </c>
      <c r="E823" t="s">
        <v>24</v>
      </c>
      <c r="F823" t="s">
        <v>25</v>
      </c>
      <c r="G823" t="s">
        <v>441</v>
      </c>
      <c r="H823">
        <v>3468</v>
      </c>
      <c r="I823" t="s">
        <v>69</v>
      </c>
      <c r="J823" s="6" t="s">
        <v>27</v>
      </c>
      <c r="K823" s="15">
        <v>1.9</v>
      </c>
      <c r="L823" s="5">
        <v>0</v>
      </c>
      <c r="M823" s="15">
        <v>3.4</v>
      </c>
      <c r="N823" s="7">
        <v>4</v>
      </c>
      <c r="O823">
        <v>7</v>
      </c>
      <c r="P823">
        <v>4.0999999999999996</v>
      </c>
      <c r="Q823">
        <v>8.6</v>
      </c>
      <c r="R823" s="2">
        <f>IF(ISBLANK(Table1[[#This Row],[Age]]),AVERAGE(Table1[Age]),Table1[[#This Row],[Age]])</f>
        <v>46</v>
      </c>
      <c r="S823" t="str">
        <f>PROPER(Table1[[#This Row],[Country]])</f>
        <v>United Kingdom</v>
      </c>
      <c r="T823" t="str">
        <f>TRIM(Table1[[#This Row],[Profession]])</f>
        <v>Customer Support Manager</v>
      </c>
      <c r="U823" s="5">
        <f>IF(ISBLANK(H823),AVERAGEIF(Table1[Profession imputed],T823,Table1[Monthly_Income]),H823)</f>
        <v>3468</v>
      </c>
      <c r="V823" s="6" t="str">
        <f>PROPER(TRIM(Table1[AI_Tool]))</f>
        <v>Perplexity Ai</v>
      </c>
      <c r="W823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824" spans="1:23" x14ac:dyDescent="0.25">
      <c r="A824" t="s">
        <v>940</v>
      </c>
      <c r="B824">
        <v>44</v>
      </c>
      <c r="C824" t="s">
        <v>29</v>
      </c>
      <c r="D824" t="s">
        <v>137</v>
      </c>
      <c r="E824" t="s">
        <v>24</v>
      </c>
      <c r="F824" t="s">
        <v>25</v>
      </c>
      <c r="G824" t="s">
        <v>941</v>
      </c>
      <c r="H824">
        <v>3477</v>
      </c>
      <c r="I824" t="s">
        <v>271</v>
      </c>
      <c r="J824" s="6" t="s">
        <v>75</v>
      </c>
      <c r="K824" s="15">
        <v>2.2000000000000002</v>
      </c>
      <c r="L824" s="5">
        <v>0</v>
      </c>
      <c r="M824" s="15">
        <v>5</v>
      </c>
      <c r="N824">
        <v>4</v>
      </c>
      <c r="O824">
        <f>IF(Table1[[#This Row],[Accuracy_Rating]]=4,8,IF(Table1[[#This Row],[Accuracy_Rating]]=3,7,Table1[[#This Row],[Accuracy_Rating]]))</f>
        <v>8</v>
      </c>
      <c r="P824">
        <v>2.8</v>
      </c>
      <c r="Q824">
        <v>10.7</v>
      </c>
      <c r="R824" s="2">
        <f>IF(ISBLANK(Table1[[#This Row],[Age]]),AVERAGE(Table1[Age]),Table1[[#This Row],[Age]])</f>
        <v>44</v>
      </c>
      <c r="S824" t="str">
        <f>PROPER(Table1[[#This Row],[Country]])</f>
        <v>France</v>
      </c>
      <c r="T824" t="str">
        <f>TRIM(Table1[[#This Row],[Profession]])</f>
        <v>Responsable de Contenu Digital</v>
      </c>
      <c r="U824" s="5">
        <f>IF(ISBLANK(H824),AVERAGEIF(Table1[[#This Row],[Profession imputed]],T824,Table1[Monthly_Income]),H824)</f>
        <v>3477</v>
      </c>
      <c r="V824" s="6" t="str">
        <f>PROPER(TRIM(Table1[AI_Tool]))</f>
        <v>Chat Gpt</v>
      </c>
      <c r="W824" s="8">
        <f>IF(ISBLANK(Table1[[#This Row],[Time_Saved_Hours_Per_Week]]),AVERAGEIF(Table1[Satisfaction_Score],Table1[[#This Row],[Satisfaction_Score]],Table1[Time_Saved_Hours_Per_Week]),Table1[[#This Row],[Time_Saved_Hours_Per_Week]])</f>
        <v>2.8</v>
      </c>
    </row>
    <row r="825" spans="1:23" x14ac:dyDescent="0.25">
      <c r="A825" t="s">
        <v>944</v>
      </c>
      <c r="B825">
        <v>46</v>
      </c>
      <c r="C825" t="s">
        <v>29</v>
      </c>
      <c r="D825" t="s">
        <v>137</v>
      </c>
      <c r="E825" t="s">
        <v>24</v>
      </c>
      <c r="F825" t="s">
        <v>25</v>
      </c>
      <c r="G825" t="s">
        <v>941</v>
      </c>
      <c r="H825">
        <v>3499</v>
      </c>
      <c r="I825" t="s">
        <v>271</v>
      </c>
      <c r="J825" s="6" t="s">
        <v>75</v>
      </c>
      <c r="K825" s="15">
        <v>2.2000000000000002</v>
      </c>
      <c r="L825" s="5">
        <v>0</v>
      </c>
      <c r="M825" s="15">
        <v>5</v>
      </c>
      <c r="N825">
        <v>4</v>
      </c>
      <c r="O825">
        <f>IF(Table1[[#This Row],[Accuracy_Rating]]=4,8,IF(Table1[[#This Row],[Accuracy_Rating]]=3,7,Table1[[#This Row],[Accuracy_Rating]]))</f>
        <v>8</v>
      </c>
      <c r="P825">
        <v>2.8</v>
      </c>
      <c r="Q825">
        <v>10.7</v>
      </c>
      <c r="R825" s="2">
        <f>IF(ISBLANK(Table1[[#This Row],[Age]]),AVERAGE(Table1[Age]),Table1[[#This Row],[Age]])</f>
        <v>46</v>
      </c>
      <c r="S825" t="str">
        <f>PROPER(Table1[[#This Row],[Country]])</f>
        <v>France</v>
      </c>
      <c r="T825" t="str">
        <f>TRIM(Table1[[#This Row],[Profession]])</f>
        <v>Responsable de Contenu Digital</v>
      </c>
      <c r="U825" s="5">
        <f>IF(ISBLANK(H825),AVERAGEIF(Table1[[#This Row],[Profession imputed]],T825,Table1[Monthly_Income]),H825)</f>
        <v>3499</v>
      </c>
      <c r="V825" s="6" t="str">
        <f>PROPER(TRIM(Table1[AI_Tool]))</f>
        <v>Chat Gpt</v>
      </c>
      <c r="W825" s="8">
        <f>IF(ISBLANK(Table1[[#This Row],[Time_Saved_Hours_Per_Week]]),AVERAGEIF(Table1[Satisfaction_Score],Table1[[#This Row],[Satisfaction_Score]],Table1[Time_Saved_Hours_Per_Week]),Table1[[#This Row],[Time_Saved_Hours_Per_Week]])</f>
        <v>2.8</v>
      </c>
    </row>
    <row r="826" spans="1:23" x14ac:dyDescent="0.25">
      <c r="A826" t="s">
        <v>488</v>
      </c>
      <c r="B826">
        <v>28</v>
      </c>
      <c r="C826" t="s">
        <v>29</v>
      </c>
      <c r="D826" t="s">
        <v>117</v>
      </c>
      <c r="E826" t="s">
        <v>24</v>
      </c>
      <c r="F826" t="s">
        <v>25</v>
      </c>
      <c r="G826" t="s">
        <v>476</v>
      </c>
      <c r="H826">
        <v>3501</v>
      </c>
      <c r="I826" t="s">
        <v>58</v>
      </c>
      <c r="J826" s="6" t="s">
        <v>106</v>
      </c>
      <c r="K826" s="15">
        <v>3.9</v>
      </c>
      <c r="L826" s="5">
        <v>10</v>
      </c>
      <c r="M826" s="15">
        <v>8.6</v>
      </c>
      <c r="N826">
        <v>3</v>
      </c>
      <c r="O826">
        <v>8</v>
      </c>
      <c r="P826">
        <v>11.8</v>
      </c>
      <c r="Q826">
        <v>7.6</v>
      </c>
      <c r="R826" s="2">
        <f>IF(ISBLANK(Table1[[#This Row],[Age]]),AVERAGE(Table1[Age]),Table1[[#This Row],[Age]])</f>
        <v>28</v>
      </c>
      <c r="S826" t="str">
        <f>PROPER(Table1[[#This Row],[Country]])</f>
        <v>United Kingdom</v>
      </c>
      <c r="T826" t="str">
        <f>TRIM(Table1[[#This Row],[Profession]])</f>
        <v>Data Analyst</v>
      </c>
      <c r="U826" s="5">
        <f>IF(ISBLANK(H826),AVERAGEIF(Table1[Profession imputed],T826,Table1[Monthly_Income]),H826)</f>
        <v>3501</v>
      </c>
      <c r="V826" s="6" t="str">
        <f>PROPER(TRIM(Table1[AI_Tool]))</f>
        <v>Claude</v>
      </c>
      <c r="W826" s="8">
        <f>IF(ISBLANK(Table1[[#This Row],[Time_Saved_Hours_Per_Week]]),AVERAGEIF(Table1[Satisfaction_Score],Table1[[#This Row],[Satisfaction_Score]],Table1[Time_Saved_Hours_Per_Week]),Table1[[#This Row],[Time_Saved_Hours_Per_Week]])</f>
        <v>11.8</v>
      </c>
    </row>
    <row r="827" spans="1:23" x14ac:dyDescent="0.25">
      <c r="A827" t="s">
        <v>239</v>
      </c>
      <c r="B827">
        <v>35</v>
      </c>
      <c r="C827" t="s">
        <v>29</v>
      </c>
      <c r="D827" t="s">
        <v>117</v>
      </c>
      <c r="E827" t="s">
        <v>24</v>
      </c>
      <c r="F827" t="s">
        <v>25</v>
      </c>
      <c r="G827" t="s">
        <v>237</v>
      </c>
      <c r="H827">
        <v>3513</v>
      </c>
      <c r="I827" t="s">
        <v>69</v>
      </c>
      <c r="J827" s="6" t="s">
        <v>106</v>
      </c>
      <c r="K827" s="15">
        <v>1.5</v>
      </c>
      <c r="L827" s="5">
        <v>0</v>
      </c>
      <c r="M827" s="15">
        <v>0</v>
      </c>
      <c r="N827">
        <v>4</v>
      </c>
      <c r="O827">
        <v>7</v>
      </c>
      <c r="P827">
        <v>1.9</v>
      </c>
      <c r="Q827">
        <v>8</v>
      </c>
      <c r="R827" s="2">
        <f>IF(ISBLANK(Table1[[#This Row],[Age]]),AVERAGE(Table1[Age]),Table1[[#This Row],[Age]])</f>
        <v>35</v>
      </c>
      <c r="S827" t="str">
        <f>PROPER(Table1[[#This Row],[Country]])</f>
        <v>United Kingdom</v>
      </c>
      <c r="T827" t="str">
        <f>TRIM(Table1[[#This Row],[Profession]])</f>
        <v>Business Analyst</v>
      </c>
      <c r="U827" s="5">
        <f>IF(ISBLANK(H827),AVERAGEIF(Table1[Profession imputed],T827,Table1[Monthly_Income]),H827)</f>
        <v>3513</v>
      </c>
      <c r="V827" s="6" t="str">
        <f>PROPER(TRIM(Table1[AI_Tool]))</f>
        <v>Perplexity Ai</v>
      </c>
      <c r="W827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828" spans="1:23" x14ac:dyDescent="0.25">
      <c r="A828" t="s">
        <v>241</v>
      </c>
      <c r="B828">
        <v>37</v>
      </c>
      <c r="C828" t="s">
        <v>29</v>
      </c>
      <c r="D828" t="s">
        <v>117</v>
      </c>
      <c r="E828" t="s">
        <v>24</v>
      </c>
      <c r="F828" t="s">
        <v>25</v>
      </c>
      <c r="G828" t="s">
        <v>237</v>
      </c>
      <c r="H828">
        <v>3514</v>
      </c>
      <c r="I828" t="s">
        <v>69</v>
      </c>
      <c r="J828" s="6" t="s">
        <v>106</v>
      </c>
      <c r="K828" s="15">
        <v>1.5</v>
      </c>
      <c r="L828" s="5">
        <v>0</v>
      </c>
      <c r="M828" s="15">
        <v>0</v>
      </c>
      <c r="N828">
        <v>4</v>
      </c>
      <c r="O828">
        <v>7</v>
      </c>
      <c r="P828">
        <v>1.9</v>
      </c>
      <c r="Q828">
        <v>8</v>
      </c>
      <c r="R828" s="2">
        <f>IF(ISBLANK(Table1[[#This Row],[Age]]),AVERAGE(Table1[Age]),Table1[[#This Row],[Age]])</f>
        <v>37</v>
      </c>
      <c r="S828" t="str">
        <f>PROPER(Table1[[#This Row],[Country]])</f>
        <v>United Kingdom</v>
      </c>
      <c r="T828" t="str">
        <f>TRIM(Table1[[#This Row],[Profession]])</f>
        <v>Business Analyst</v>
      </c>
      <c r="U828" s="5">
        <f>IF(ISBLANK(H828),AVERAGEIF(Table1[Profession imputed],T828,Table1[Monthly_Income]),H828)</f>
        <v>3514</v>
      </c>
      <c r="V828" s="6" t="str">
        <f>PROPER(TRIM(Table1[AI_Tool]))</f>
        <v>Perplexity Ai</v>
      </c>
      <c r="W828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829" spans="1:23" x14ac:dyDescent="0.25">
      <c r="A829" t="s">
        <v>451</v>
      </c>
      <c r="B829">
        <v>47</v>
      </c>
      <c r="C829" t="s">
        <v>22</v>
      </c>
      <c r="D829" t="s">
        <v>117</v>
      </c>
      <c r="E829" t="s">
        <v>24</v>
      </c>
      <c r="F829" t="s">
        <v>25</v>
      </c>
      <c r="G829" t="s">
        <v>441</v>
      </c>
      <c r="H829">
        <v>3529</v>
      </c>
      <c r="I829" t="s">
        <v>69</v>
      </c>
      <c r="J829" s="6" t="s">
        <v>27</v>
      </c>
      <c r="K829" s="15">
        <v>1.9</v>
      </c>
      <c r="L829" s="5">
        <v>0</v>
      </c>
      <c r="M829" s="15">
        <v>3.4</v>
      </c>
      <c r="N829" s="7">
        <v>4</v>
      </c>
      <c r="O829">
        <v>7</v>
      </c>
      <c r="P829">
        <v>4.0999999999999996</v>
      </c>
      <c r="Q829">
        <v>8.6</v>
      </c>
      <c r="R829" s="2">
        <f>IF(ISBLANK(Table1[[#This Row],[Age]]),AVERAGE(Table1[Age]),Table1[[#This Row],[Age]])</f>
        <v>47</v>
      </c>
      <c r="S829" t="str">
        <f>PROPER(Table1[[#This Row],[Country]])</f>
        <v>United Kingdom</v>
      </c>
      <c r="T829" t="str">
        <f>TRIM(Table1[[#This Row],[Profession]])</f>
        <v>Customer Support Manager</v>
      </c>
      <c r="U829" s="5">
        <f>IF(ISBLANK(H829),AVERAGEIF(Table1[Profession imputed],T829,Table1[Monthly_Income]),H829)</f>
        <v>3529</v>
      </c>
      <c r="V829" s="6" t="str">
        <f>PROPER(TRIM(Table1[AI_Tool]))</f>
        <v>Perplexity Ai</v>
      </c>
      <c r="W829" s="8">
        <f>IF(ISBLANK(Table1[[#This Row],[Time_Saved_Hours_Per_Week]]),AVERAGEIF(Table1[Satisfaction_Score],Table1[[#This Row],[Satisfaction_Score]],Table1[Time_Saved_Hours_Per_Week]),Table1[[#This Row],[Time_Saved_Hours_Per_Week]])</f>
        <v>4.0999999999999996</v>
      </c>
    </row>
    <row r="830" spans="1:23" x14ac:dyDescent="0.25">
      <c r="A830" t="s">
        <v>340</v>
      </c>
      <c r="B830">
        <v>30</v>
      </c>
      <c r="C830" t="s">
        <v>29</v>
      </c>
      <c r="D830" t="s">
        <v>92</v>
      </c>
      <c r="E830" t="s">
        <v>24</v>
      </c>
      <c r="F830" t="s">
        <v>25</v>
      </c>
      <c r="G830" t="s">
        <v>337</v>
      </c>
      <c r="H830">
        <v>3540</v>
      </c>
      <c r="I830" t="s">
        <v>271</v>
      </c>
      <c r="J830" s="6" t="s">
        <v>75</v>
      </c>
      <c r="K830" s="15">
        <v>1.3</v>
      </c>
      <c r="L830" s="5">
        <v>0</v>
      </c>
      <c r="M830" s="15">
        <v>3.8</v>
      </c>
      <c r="N830">
        <v>4</v>
      </c>
      <c r="O830">
        <v>7</v>
      </c>
      <c r="P830">
        <v>2.9</v>
      </c>
      <c r="Q830">
        <v>7.6</v>
      </c>
      <c r="R830" s="2">
        <f>IF(ISBLANK(Table1[[#This Row],[Age]]),AVERAGE(Table1[Age]),Table1[[#This Row],[Age]])</f>
        <v>30</v>
      </c>
      <c r="S830" t="str">
        <f>PROPER(Table1[[#This Row],[Country]])</f>
        <v>Canada</v>
      </c>
      <c r="T830" t="str">
        <f>TRIM(Table1[[#This Row],[Profession]])</f>
        <v>Content Marketing Manager</v>
      </c>
      <c r="U830" s="5">
        <f>IF(ISBLANK(H830),AVERAGEIF(Table1[[#This Row],[Profession imputed]],T830,Table1[Monthly_Income]),H830)</f>
        <v>3540</v>
      </c>
      <c r="V830" s="6" t="str">
        <f>PROPER(TRIM(Table1[AI_Tool]))</f>
        <v>Chat Gpt</v>
      </c>
      <c r="W830" s="8">
        <f>IF(ISBLANK(Table1[[#This Row],[Time_Saved_Hours_Per_Week]]),AVERAGEIF(Table1[Satisfaction_Score],Table1[[#This Row],[Satisfaction_Score]],Table1[Time_Saved_Hours_Per_Week]),Table1[[#This Row],[Time_Saved_Hours_Per_Week]])</f>
        <v>2.9</v>
      </c>
    </row>
    <row r="831" spans="1:23" x14ac:dyDescent="0.25">
      <c r="A831" t="s">
        <v>416</v>
      </c>
      <c r="B831">
        <v>22</v>
      </c>
      <c r="C831" t="s">
        <v>29</v>
      </c>
      <c r="D831" t="s">
        <v>92</v>
      </c>
      <c r="E831" t="s">
        <v>24</v>
      </c>
      <c r="F831" t="s">
        <v>50</v>
      </c>
      <c r="G831" t="s">
        <v>417</v>
      </c>
      <c r="H831">
        <v>3546</v>
      </c>
      <c r="I831" t="s">
        <v>69</v>
      </c>
      <c r="J831" s="6" t="s">
        <v>27</v>
      </c>
      <c r="K831" s="15">
        <v>1.7</v>
      </c>
      <c r="L831" s="5">
        <v>0</v>
      </c>
      <c r="M831" s="15">
        <v>7</v>
      </c>
      <c r="N831">
        <v>4</v>
      </c>
      <c r="O831">
        <v>7</v>
      </c>
      <c r="P831">
        <v>3.4</v>
      </c>
      <c r="Q831">
        <v>6.7</v>
      </c>
      <c r="R831" s="2">
        <f>IF(ISBLANK(Table1[[#This Row],[Age]]),AVERAGE(Table1[Age]),Table1[[#This Row],[Age]])</f>
        <v>22</v>
      </c>
      <c r="S831" t="str">
        <f>PROPER(Table1[[#This Row],[Country]])</f>
        <v>Canada</v>
      </c>
      <c r="T831" t="str">
        <f>TRIM(Table1[[#This Row],[Profession]])</f>
        <v>Customer Service Representative</v>
      </c>
      <c r="U831" s="5">
        <f>IF(ISBLANK(H831),AVERAGEIF(Table1[[#This Row],[Profession imputed]],T831,Table1[Monthly_Income]),H831)</f>
        <v>3546</v>
      </c>
      <c r="V831" s="6" t="str">
        <f>PROPER(TRIM(Table1[AI_Tool]))</f>
        <v>Perplexity Ai</v>
      </c>
      <c r="W831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832" spans="1:23" x14ac:dyDescent="0.25">
      <c r="A832" t="s">
        <v>1159</v>
      </c>
      <c r="C832" t="s">
        <v>29</v>
      </c>
      <c r="D832" t="s">
        <v>117</v>
      </c>
      <c r="E832" t="s">
        <v>24</v>
      </c>
      <c r="F832" t="s">
        <v>25</v>
      </c>
      <c r="G832" t="s">
        <v>73</v>
      </c>
      <c r="H832">
        <v>3556</v>
      </c>
      <c r="I832" t="s">
        <v>1186</v>
      </c>
      <c r="J832" s="6" t="s">
        <v>75</v>
      </c>
      <c r="K832" s="15">
        <v>2.5</v>
      </c>
      <c r="L832" s="5">
        <v>10</v>
      </c>
      <c r="M832" s="15">
        <v>6.1</v>
      </c>
      <c r="N832">
        <v>5</v>
      </c>
      <c r="O832">
        <v>7</v>
      </c>
      <c r="P832">
        <v>5.6</v>
      </c>
      <c r="Q832">
        <v>7.5</v>
      </c>
      <c r="R832" s="2">
        <f>IF(ISBLANK(Table1[[#This Row],[Age]]),AVERAGE(Table1[Age]),Table1[[#This Row],[Age]])</f>
        <v>30.023333333333333</v>
      </c>
      <c r="S832" t="str">
        <f>PROPER(Table1[[#This Row],[Country]])</f>
        <v>United Kingdom</v>
      </c>
      <c r="T832" t="str">
        <f>TRIM(Table1[[#This Row],[Profession]])</f>
        <v>UNKNOWN</v>
      </c>
      <c r="U832" s="5">
        <f>IF(ISBLANK(H832),AVERAGEIF(Table1[[#This Row],[Profession imputed]],T832,Table1[Monthly_Income]),H832)</f>
        <v>3556</v>
      </c>
      <c r="V832" s="6" t="str">
        <f>PROPER(TRIM(Table1[AI_Tool]))</f>
        <v>Google Gemini</v>
      </c>
      <c r="W832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833" spans="1:23" x14ac:dyDescent="0.25">
      <c r="A833" t="s">
        <v>939</v>
      </c>
      <c r="B833">
        <v>40</v>
      </c>
      <c r="C833" t="s">
        <v>22</v>
      </c>
      <c r="D833" t="s">
        <v>92</v>
      </c>
      <c r="E833" t="s">
        <v>24</v>
      </c>
      <c r="F833" t="s">
        <v>45</v>
      </c>
      <c r="G833" t="s">
        <v>937</v>
      </c>
      <c r="H833">
        <v>3561</v>
      </c>
      <c r="I833" t="s">
        <v>253</v>
      </c>
      <c r="J833" s="6" t="s">
        <v>130</v>
      </c>
      <c r="K833" s="15">
        <v>2.7</v>
      </c>
      <c r="L833" s="5">
        <v>10</v>
      </c>
      <c r="M833" s="15">
        <v>4.8</v>
      </c>
      <c r="N833">
        <v>4</v>
      </c>
      <c r="O833">
        <v>7</v>
      </c>
      <c r="P833">
        <v>6.4</v>
      </c>
      <c r="Q833">
        <v>8.6</v>
      </c>
      <c r="R833" s="2">
        <f>IF(ISBLANK(Table1[[#This Row],[Age]]),AVERAGE(Table1[Age]),Table1[[#This Row],[Age]])</f>
        <v>40</v>
      </c>
      <c r="S833" t="str">
        <f>PROPER(Table1[[#This Row],[Country]])</f>
        <v>Canada</v>
      </c>
      <c r="T833" t="str">
        <f>TRIM(Table1[[#This Row],[Profession]])</f>
        <v>Research Technician</v>
      </c>
      <c r="U833" s="5">
        <f>IF(ISBLANK(H833),AVERAGEIF(Table1[[#This Row],[Profession imputed]],T833,Table1[Monthly_Income]),H833)</f>
        <v>3561</v>
      </c>
      <c r="V833" s="6" t="str">
        <f>PROPER(TRIM(Table1[AI_Tool]))</f>
        <v>Meta Ai</v>
      </c>
      <c r="W833" s="8">
        <f>IF(ISBLANK(Table1[[#This Row],[Time_Saved_Hours_Per_Week]]),AVERAGEIF(Table1[Satisfaction_Score],Table1[[#This Row],[Satisfaction_Score]],Table1[Time_Saved_Hours_Per_Week]),Table1[[#This Row],[Time_Saved_Hours_Per_Week]])</f>
        <v>6.4</v>
      </c>
    </row>
    <row r="834" spans="1:23" x14ac:dyDescent="0.25">
      <c r="A834" t="s">
        <v>420</v>
      </c>
      <c r="B834">
        <v>23</v>
      </c>
      <c r="C834" t="s">
        <v>29</v>
      </c>
      <c r="D834" t="s">
        <v>92</v>
      </c>
      <c r="E834" t="s">
        <v>24</v>
      </c>
      <c r="F834" t="s">
        <v>50</v>
      </c>
      <c r="G834" t="s">
        <v>417</v>
      </c>
      <c r="H834">
        <v>3564</v>
      </c>
      <c r="I834" t="s">
        <v>69</v>
      </c>
      <c r="J834" s="6" t="s">
        <v>27</v>
      </c>
      <c r="K834" s="15">
        <v>1.7</v>
      </c>
      <c r="L834" s="5">
        <v>0</v>
      </c>
      <c r="M834" s="15">
        <v>7</v>
      </c>
      <c r="N834">
        <v>4</v>
      </c>
      <c r="O834">
        <v>7</v>
      </c>
      <c r="P834">
        <v>3.4</v>
      </c>
      <c r="Q834">
        <v>6.7</v>
      </c>
      <c r="R834" s="2">
        <f>IF(ISBLANK(Table1[[#This Row],[Age]]),AVERAGE(Table1[Age]),Table1[[#This Row],[Age]])</f>
        <v>23</v>
      </c>
      <c r="S834" t="str">
        <f>PROPER(Table1[[#This Row],[Country]])</f>
        <v>Canada</v>
      </c>
      <c r="T834" t="str">
        <f>TRIM(Table1[[#This Row],[Profession]])</f>
        <v>Customer Service Representative</v>
      </c>
      <c r="U834" s="5">
        <f>IF(ISBLANK(H834),AVERAGEIF(Table1[[#This Row],[Profession imputed]],T834,Table1[Monthly_Income]),H834)</f>
        <v>3564</v>
      </c>
      <c r="V834" s="6" t="str">
        <f>PROPER(TRIM(Table1[AI_Tool]))</f>
        <v>Perplexity Ai</v>
      </c>
      <c r="W834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835" spans="1:23" x14ac:dyDescent="0.25">
      <c r="A835" t="s">
        <v>818</v>
      </c>
      <c r="C835" t="s">
        <v>29</v>
      </c>
      <c r="D835" t="s">
        <v>92</v>
      </c>
      <c r="E835" t="s">
        <v>24</v>
      </c>
      <c r="F835" t="s">
        <v>50</v>
      </c>
      <c r="G835" t="s">
        <v>814</v>
      </c>
      <c r="H835">
        <v>3572</v>
      </c>
      <c r="I835" t="s">
        <v>271</v>
      </c>
      <c r="J835" s="6" t="s">
        <v>33</v>
      </c>
      <c r="K835" s="15">
        <v>5.7</v>
      </c>
      <c r="L835" s="5">
        <v>0</v>
      </c>
      <c r="M835" s="15">
        <v>6.7</v>
      </c>
      <c r="N835">
        <v>2</v>
      </c>
      <c r="O835">
        <v>5</v>
      </c>
      <c r="P835">
        <v>13</v>
      </c>
      <c r="Q835">
        <v>6.6</v>
      </c>
      <c r="R835" s="2">
        <f>IF(ISBLANK(Table1[[#This Row],[Age]]),AVERAGE(Table1[Age]),Table1[[#This Row],[Age]])</f>
        <v>30.023333333333333</v>
      </c>
      <c r="S835" t="str">
        <f>PROPER(Table1[[#This Row],[Country]])</f>
        <v>Canada</v>
      </c>
      <c r="T835" t="str">
        <f>TRIM(Table1[[#This Row],[Profession]])</f>
        <v>Junior Web Developer</v>
      </c>
      <c r="U835" s="5">
        <f>IF(ISBLANK(H835),AVERAGEIF(Table1[[#This Row],[Profession imputed]],T835,Table1[Monthly_Income]),H835)</f>
        <v>3572</v>
      </c>
      <c r="V835" s="6" t="str">
        <f>PROPER(TRIM(Table1[AI_Tool]))</f>
        <v>Chat Gpt</v>
      </c>
      <c r="W835" s="8">
        <f>IF(ISBLANK(Table1[[#This Row],[Time_Saved_Hours_Per_Week]]),AVERAGEIF(Table1[Satisfaction_Score],Table1[[#This Row],[Satisfaction_Score]],Table1[Time_Saved_Hours_Per_Week]),Table1[[#This Row],[Time_Saved_Hours_Per_Week]])</f>
        <v>13</v>
      </c>
    </row>
    <row r="836" spans="1:23" x14ac:dyDescent="0.25">
      <c r="A836" t="s">
        <v>1024</v>
      </c>
      <c r="B836">
        <v>39</v>
      </c>
      <c r="C836" t="s">
        <v>22</v>
      </c>
      <c r="D836" t="s">
        <v>92</v>
      </c>
      <c r="E836" t="s">
        <v>24</v>
      </c>
      <c r="F836" t="s">
        <v>45</v>
      </c>
      <c r="G836" t="s">
        <v>1019</v>
      </c>
      <c r="H836">
        <v>3579</v>
      </c>
      <c r="I836" t="s">
        <v>139</v>
      </c>
      <c r="J836" s="6" t="s">
        <v>33</v>
      </c>
      <c r="K836" s="15">
        <v>4.4000000000000004</v>
      </c>
      <c r="L836" s="5">
        <v>0</v>
      </c>
      <c r="M836" s="15">
        <v>7.3</v>
      </c>
      <c r="N836">
        <v>4</v>
      </c>
      <c r="O836">
        <v>7</v>
      </c>
      <c r="P836">
        <v>5.7</v>
      </c>
      <c r="Q836">
        <v>8.4</v>
      </c>
      <c r="R836" s="2">
        <f>IF(ISBLANK(Table1[[#This Row],[Age]]),AVERAGE(Table1[Age]),Table1[[#This Row],[Age]])</f>
        <v>39</v>
      </c>
      <c r="S836" t="str">
        <f>PROPER(Table1[[#This Row],[Country]])</f>
        <v>Canada</v>
      </c>
      <c r="T836" t="str">
        <f>TRIM(Table1[[#This Row],[Profession]])</f>
        <v>Software Developer</v>
      </c>
      <c r="U836" s="5">
        <f>IF(ISBLANK(H836),AVERAGEIF(Table1[[#This Row],[Profession imputed]],T836,Table1[Monthly_Income]),H836)</f>
        <v>3579</v>
      </c>
      <c r="V836" s="6" t="str">
        <f>PROPER(TRIM(Table1[AI_Tool]))</f>
        <v>Microsoft Copilot</v>
      </c>
      <c r="W836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837" spans="1:23" x14ac:dyDescent="0.25">
      <c r="A837" t="s">
        <v>518</v>
      </c>
      <c r="B837">
        <v>36</v>
      </c>
      <c r="C837" t="s">
        <v>22</v>
      </c>
      <c r="D837" t="s">
        <v>44</v>
      </c>
      <c r="E837" t="s">
        <v>24</v>
      </c>
      <c r="F837" t="s">
        <v>50</v>
      </c>
      <c r="G837" t="s">
        <v>515</v>
      </c>
      <c r="H837">
        <v>3592</v>
      </c>
      <c r="I837" t="s">
        <v>280</v>
      </c>
      <c r="J837" s="6" t="s">
        <v>106</v>
      </c>
      <c r="K837" s="15">
        <v>4.8</v>
      </c>
      <c r="L837" s="5">
        <v>30</v>
      </c>
      <c r="M837" s="15">
        <v>7.7</v>
      </c>
      <c r="N837">
        <v>3</v>
      </c>
      <c r="O837">
        <v>6</v>
      </c>
      <c r="P837">
        <v>5.7</v>
      </c>
      <c r="Q837">
        <v>8.6999999999999993</v>
      </c>
      <c r="R837" s="2">
        <f>IF(ISBLANK(Table1[[#This Row],[Age]]),AVERAGE(Table1[Age]),Table1[[#This Row],[Age]])</f>
        <v>36</v>
      </c>
      <c r="S837" t="str">
        <f>PROPER(Table1[[#This Row],[Country]])</f>
        <v>United States</v>
      </c>
      <c r="T837" t="str">
        <f>TRIM(Table1[[#This Row],[Profession]])</f>
        <v>Data Entry Specialist</v>
      </c>
      <c r="U837" s="5">
        <f>IF(ISBLANK(H837),AVERAGEIF(Table1[Profession imputed],T837,Table1[Monthly_Income]),H837)</f>
        <v>3592</v>
      </c>
      <c r="V837" s="6" t="str">
        <f>PROPER(TRIM(Table1[AI_Tool]))</f>
        <v>Unknown</v>
      </c>
      <c r="W837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838" spans="1:23" x14ac:dyDescent="0.25">
      <c r="A838" t="s">
        <v>817</v>
      </c>
      <c r="C838" t="s">
        <v>29</v>
      </c>
      <c r="D838" t="s">
        <v>92</v>
      </c>
      <c r="E838" t="s">
        <v>24</v>
      </c>
      <c r="F838" t="s">
        <v>50</v>
      </c>
      <c r="G838" t="s">
        <v>814</v>
      </c>
      <c r="H838">
        <v>3604</v>
      </c>
      <c r="I838" t="s">
        <v>271</v>
      </c>
      <c r="J838" s="6" t="s">
        <v>33</v>
      </c>
      <c r="K838" s="15">
        <v>5.7</v>
      </c>
      <c r="L838" s="5">
        <v>0</v>
      </c>
      <c r="M838" s="15">
        <v>6.7</v>
      </c>
      <c r="N838">
        <v>2</v>
      </c>
      <c r="O838">
        <v>5</v>
      </c>
      <c r="P838">
        <v>13</v>
      </c>
      <c r="Q838">
        <v>6.6</v>
      </c>
      <c r="R838" s="2">
        <f>IF(ISBLANK(Table1[[#This Row],[Age]]),AVERAGE(Table1[Age]),Table1[[#This Row],[Age]])</f>
        <v>30.023333333333333</v>
      </c>
      <c r="S838" t="str">
        <f>PROPER(Table1[[#This Row],[Country]])</f>
        <v>Canada</v>
      </c>
      <c r="T838" t="str">
        <f>TRIM(Table1[[#This Row],[Profession]])</f>
        <v>Junior Web Developer</v>
      </c>
      <c r="U838" s="5">
        <f>IF(ISBLANK(H838),AVERAGEIF(Table1[[#This Row],[Profession imputed]],T838,Table1[Monthly_Income]),H838)</f>
        <v>3604</v>
      </c>
      <c r="V838" s="6" t="str">
        <f>PROPER(TRIM(Table1[AI_Tool]))</f>
        <v>Chat Gpt</v>
      </c>
      <c r="W838" s="8">
        <f>IF(ISBLANK(Table1[[#This Row],[Time_Saved_Hours_Per_Week]]),AVERAGEIF(Table1[Satisfaction_Score],Table1[[#This Row],[Satisfaction_Score]],Table1[Time_Saved_Hours_Per_Week]),Table1[[#This Row],[Time_Saved_Hours_Per_Week]])</f>
        <v>13</v>
      </c>
    </row>
    <row r="839" spans="1:23" x14ac:dyDescent="0.25">
      <c r="A839" t="s">
        <v>997</v>
      </c>
      <c r="B839">
        <v>28</v>
      </c>
      <c r="C839" t="s">
        <v>29</v>
      </c>
      <c r="D839" t="s">
        <v>189</v>
      </c>
      <c r="E839" t="s">
        <v>24</v>
      </c>
      <c r="F839" t="s">
        <v>998</v>
      </c>
      <c r="G839" t="s">
        <v>996</v>
      </c>
      <c r="H839">
        <v>3610</v>
      </c>
      <c r="I839" t="s">
        <v>1186</v>
      </c>
      <c r="J839" s="6" t="s">
        <v>33</v>
      </c>
      <c r="K839" s="15">
        <v>4.3</v>
      </c>
      <c r="L839" s="5">
        <v>0</v>
      </c>
      <c r="M839" s="15">
        <v>6.1</v>
      </c>
      <c r="N839">
        <v>3</v>
      </c>
      <c r="O839">
        <v>7</v>
      </c>
      <c r="P839">
        <v>6.7</v>
      </c>
      <c r="Q839">
        <v>8.1</v>
      </c>
      <c r="R839" s="2">
        <f>IF(ISBLANK(Table1[[#This Row],[Age]]),AVERAGE(Table1[Age]),Table1[[#This Row],[Age]])</f>
        <v>28</v>
      </c>
      <c r="S839" t="str">
        <f>PROPER(Table1[[#This Row],[Country]])</f>
        <v>Australia</v>
      </c>
      <c r="T839" t="str">
        <f>TRIM(Table1[[#This Row],[Profession]])</f>
        <v>Senior Software Engineer</v>
      </c>
      <c r="U839" s="5">
        <f>IF(ISBLANK(H839),AVERAGEIF(Table1[[#This Row],[Profession imputed]],T839,Table1[Monthly_Income]),H839)</f>
        <v>3610</v>
      </c>
      <c r="V839" s="6" t="str">
        <f>PROPER(TRIM(Table1[AI_Tool]))</f>
        <v>Google Gemini</v>
      </c>
      <c r="W839" s="8">
        <f>IF(ISBLANK(Table1[[#This Row],[Time_Saved_Hours_Per_Week]]),AVERAGEIF(Table1[Satisfaction_Score],Table1[[#This Row],[Satisfaction_Score]],Table1[Time_Saved_Hours_Per_Week]),Table1[[#This Row],[Time_Saved_Hours_Per_Week]])</f>
        <v>6.7</v>
      </c>
    </row>
    <row r="840" spans="1:23" x14ac:dyDescent="0.25">
      <c r="A840" t="s">
        <v>1085</v>
      </c>
      <c r="B840">
        <v>27</v>
      </c>
      <c r="C840" t="s">
        <v>22</v>
      </c>
      <c r="D840" t="s">
        <v>23</v>
      </c>
      <c r="E840" t="s">
        <v>24</v>
      </c>
      <c r="F840" t="s">
        <v>25</v>
      </c>
      <c r="G840" t="s">
        <v>1086</v>
      </c>
      <c r="H840">
        <v>3622</v>
      </c>
      <c r="I840" t="s">
        <v>271</v>
      </c>
      <c r="J840" s="6" t="s">
        <v>33</v>
      </c>
      <c r="K840" s="15">
        <v>4</v>
      </c>
      <c r="L840" s="5">
        <v>0</v>
      </c>
      <c r="M840" s="15">
        <v>5</v>
      </c>
      <c r="N840">
        <v>4</v>
      </c>
      <c r="O840">
        <v>6</v>
      </c>
      <c r="P840">
        <v>5.7</v>
      </c>
      <c r="Q840">
        <v>8.6</v>
      </c>
      <c r="R840" s="2">
        <f>IF(ISBLANK(Table1[[#This Row],[Age]]),AVERAGE(Table1[Age]),Table1[[#This Row],[Age]])</f>
        <v>27</v>
      </c>
      <c r="S840" t="str">
        <f>PROPER(Table1[[#This Row],[Country]])</f>
        <v>Germany</v>
      </c>
      <c r="T840" t="str">
        <f>TRIM(Table1[[#This Row],[Profession]])</f>
        <v>Softwareentwicklerin (Software Developer)</v>
      </c>
      <c r="U840" s="5">
        <f>IF(ISBLANK(H840),AVERAGEIF(Table1[[#This Row],[Profession imputed]],T840,Table1[Monthly_Income]),H840)</f>
        <v>3622</v>
      </c>
      <c r="V840" s="6" t="str">
        <f>PROPER(TRIM(Table1[AI_Tool]))</f>
        <v>Chat Gpt</v>
      </c>
      <c r="W840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841" spans="1:23" x14ac:dyDescent="0.25">
      <c r="A841" t="s">
        <v>499</v>
      </c>
      <c r="B841">
        <v>40</v>
      </c>
      <c r="C841" t="s">
        <v>22</v>
      </c>
      <c r="D841" t="s">
        <v>44</v>
      </c>
      <c r="E841" t="s">
        <v>24</v>
      </c>
      <c r="F841" t="s">
        <v>25</v>
      </c>
      <c r="G841" t="s">
        <v>476</v>
      </c>
      <c r="H841">
        <v>3657</v>
      </c>
      <c r="I841" t="s">
        <v>271</v>
      </c>
      <c r="J841" s="6" t="s">
        <v>106</v>
      </c>
      <c r="K841" s="15">
        <v>2.6</v>
      </c>
      <c r="L841" s="5">
        <v>0</v>
      </c>
      <c r="M841" s="15">
        <v>0</v>
      </c>
      <c r="N841">
        <v>3</v>
      </c>
      <c r="O841">
        <v>6</v>
      </c>
      <c r="P841">
        <v>3.6</v>
      </c>
      <c r="Q841">
        <v>9.1999999999999993</v>
      </c>
      <c r="R841" s="2">
        <f>IF(ISBLANK(Table1[[#This Row],[Age]]),AVERAGE(Table1[Age]),Table1[[#This Row],[Age]])</f>
        <v>40</v>
      </c>
      <c r="S841" t="str">
        <f>PROPER(Table1[[#This Row],[Country]])</f>
        <v>United States</v>
      </c>
      <c r="T841" t="str">
        <f>TRIM(Table1[[#This Row],[Profession]])</f>
        <v>Data Analyst</v>
      </c>
      <c r="U841" s="5">
        <f>IF(ISBLANK(H841),AVERAGEIF(Table1[Profession imputed],T841,Table1[Monthly_Income]),H841)</f>
        <v>3657</v>
      </c>
      <c r="V841" s="6" t="str">
        <f>PROPER(TRIM(Table1[AI_Tool]))</f>
        <v>Chat Gpt</v>
      </c>
      <c r="W841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842" spans="1:23" x14ac:dyDescent="0.25">
      <c r="A842" t="s">
        <v>505</v>
      </c>
      <c r="C842" t="s">
        <v>22</v>
      </c>
      <c r="D842" t="s">
        <v>502</v>
      </c>
      <c r="E842" t="s">
        <v>24</v>
      </c>
      <c r="F842" t="s">
        <v>55</v>
      </c>
      <c r="G842" t="s">
        <v>503</v>
      </c>
      <c r="H842">
        <v>3664</v>
      </c>
      <c r="I842" t="s">
        <v>1186</v>
      </c>
      <c r="J842" s="6" t="s">
        <v>106</v>
      </c>
      <c r="K842" s="15">
        <v>4.5</v>
      </c>
      <c r="L842" s="5">
        <v>0</v>
      </c>
      <c r="M842" s="15">
        <v>5.6</v>
      </c>
      <c r="N842">
        <v>4</v>
      </c>
      <c r="O842">
        <v>5</v>
      </c>
      <c r="P842">
        <v>5.5</v>
      </c>
      <c r="Q842">
        <v>6.7</v>
      </c>
      <c r="R842" s="2">
        <f>IF(ISBLANK(Table1[[#This Row],[Age]]),AVERAGE(Table1[Age]),Table1[[#This Row],[Age]])</f>
        <v>30.023333333333333</v>
      </c>
      <c r="S842" t="str">
        <f>PROPER(Table1[[#This Row],[Country]])</f>
        <v>Australia</v>
      </c>
      <c r="T842" t="str">
        <f>TRIM(Table1[[#This Row],[Profession]])</f>
        <v>Data Analyst / Business Intelligence Specialist</v>
      </c>
      <c r="U842" s="5">
        <f>IF(ISBLANK(H842),AVERAGEIF(Table1[Profession imputed],T842,Table1[Monthly_Income]),H842)</f>
        <v>3664</v>
      </c>
      <c r="V842" s="6" t="str">
        <f>PROPER(TRIM(Table1[AI_Tool]))</f>
        <v>Google Gemini</v>
      </c>
      <c r="W842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843" spans="1:23" x14ac:dyDescent="0.25">
      <c r="A843" t="s">
        <v>242</v>
      </c>
      <c r="B843">
        <v>35</v>
      </c>
      <c r="C843" t="s">
        <v>29</v>
      </c>
      <c r="D843" t="s">
        <v>117</v>
      </c>
      <c r="E843" t="s">
        <v>24</v>
      </c>
      <c r="F843" t="s">
        <v>25</v>
      </c>
      <c r="G843" t="s">
        <v>237</v>
      </c>
      <c r="H843">
        <v>3665</v>
      </c>
      <c r="I843" t="s">
        <v>69</v>
      </c>
      <c r="J843" s="6" t="s">
        <v>106</v>
      </c>
      <c r="K843" s="15">
        <v>1.5</v>
      </c>
      <c r="L843" s="5">
        <v>0</v>
      </c>
      <c r="M843" s="15">
        <v>0</v>
      </c>
      <c r="N843">
        <v>4</v>
      </c>
      <c r="O843">
        <v>7</v>
      </c>
      <c r="P843">
        <v>1.9</v>
      </c>
      <c r="Q843">
        <v>8</v>
      </c>
      <c r="R843" s="2">
        <f>IF(ISBLANK(Table1[[#This Row],[Age]]),AVERAGE(Table1[Age]),Table1[[#This Row],[Age]])</f>
        <v>35</v>
      </c>
      <c r="S843" t="str">
        <f>PROPER(Table1[[#This Row],[Country]])</f>
        <v>United Kingdom</v>
      </c>
      <c r="T843" t="str">
        <f>TRIM(Table1[[#This Row],[Profession]])</f>
        <v>Business Analyst</v>
      </c>
      <c r="U843" s="5">
        <f>IF(ISBLANK(H843),AVERAGEIF(Table1[Profession imputed],T843,Table1[Monthly_Income]),H843)</f>
        <v>3665</v>
      </c>
      <c r="V843" s="6" t="str">
        <f>PROPER(TRIM(Table1[AI_Tool]))</f>
        <v>Perplexity Ai</v>
      </c>
      <c r="W843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844" spans="1:23" x14ac:dyDescent="0.25">
      <c r="A844" t="s">
        <v>504</v>
      </c>
      <c r="C844" t="s">
        <v>22</v>
      </c>
      <c r="D844" t="s">
        <v>502</v>
      </c>
      <c r="E844" t="s">
        <v>24</v>
      </c>
      <c r="F844" t="s">
        <v>55</v>
      </c>
      <c r="G844" t="s">
        <v>503</v>
      </c>
      <c r="H844">
        <v>3669</v>
      </c>
      <c r="I844" t="s">
        <v>1186</v>
      </c>
      <c r="J844" s="6" t="s">
        <v>106</v>
      </c>
      <c r="K844" s="15">
        <v>4.5</v>
      </c>
      <c r="L844" s="5">
        <v>0</v>
      </c>
      <c r="M844" s="15">
        <v>5.6</v>
      </c>
      <c r="N844">
        <v>4</v>
      </c>
      <c r="O844">
        <v>5</v>
      </c>
      <c r="P844">
        <v>5.5</v>
      </c>
      <c r="Q844">
        <v>6.7</v>
      </c>
      <c r="R844" s="2">
        <f>IF(ISBLANK(Table1[[#This Row],[Age]]),AVERAGE(Table1[Age]),Table1[[#This Row],[Age]])</f>
        <v>30.023333333333333</v>
      </c>
      <c r="S844" t="str">
        <f>PROPER(Table1[[#This Row],[Country]])</f>
        <v>Australia</v>
      </c>
      <c r="T844" t="str">
        <f>TRIM(Table1[[#This Row],[Profession]])</f>
        <v>Data Analyst / Business Intelligence Specialist</v>
      </c>
      <c r="U844" s="5">
        <f>IF(ISBLANK(H844),AVERAGEIF(Table1[Profession imputed],T844,Table1[Monthly_Income]),H844)</f>
        <v>3669</v>
      </c>
      <c r="V844" s="6" t="str">
        <f>PROPER(TRIM(Table1[AI_Tool]))</f>
        <v>Google Gemini</v>
      </c>
      <c r="W844" s="8">
        <f>IF(ISBLANK(Table1[[#This Row],[Time_Saved_Hours_Per_Week]]),AVERAGEIF(Table1[Satisfaction_Score],Table1[[#This Row],[Satisfaction_Score]],Table1[Time_Saved_Hours_Per_Week]),Table1[[#This Row],[Time_Saved_Hours_Per_Week]])</f>
        <v>5.5</v>
      </c>
    </row>
    <row r="845" spans="1:23" x14ac:dyDescent="0.25">
      <c r="A845" t="s">
        <v>580</v>
      </c>
      <c r="B845">
        <v>23</v>
      </c>
      <c r="C845" t="s">
        <v>29</v>
      </c>
      <c r="D845" t="s">
        <v>137</v>
      </c>
      <c r="E845" t="s">
        <v>24</v>
      </c>
      <c r="F845" t="s">
        <v>25</v>
      </c>
      <c r="G845" t="s">
        <v>581</v>
      </c>
      <c r="H845">
        <v>3693</v>
      </c>
      <c r="I845" t="s">
        <v>139</v>
      </c>
      <c r="J845" s="6" t="s">
        <v>33</v>
      </c>
      <c r="K845" s="15">
        <v>5.5</v>
      </c>
      <c r="L845" s="5">
        <v>20</v>
      </c>
      <c r="M845" s="15">
        <v>7.6</v>
      </c>
      <c r="N845">
        <v>3</v>
      </c>
      <c r="O845">
        <v>7</v>
      </c>
      <c r="P845">
        <v>9.3000000000000007</v>
      </c>
      <c r="Q845">
        <v>6.1</v>
      </c>
      <c r="R845" s="2">
        <f>IF(ISBLANK(Table1[[#This Row],[Age]]),AVERAGE(Table1[Age]),Table1[[#This Row],[Age]])</f>
        <v>23</v>
      </c>
      <c r="S845" t="str">
        <f>PROPER(Table1[[#This Row],[Country]])</f>
        <v>France</v>
      </c>
      <c r="T845" t="str">
        <f>TRIM(Table1[[#This Row],[Profession]])</f>
        <v>DeveloperFull Stack Junior</v>
      </c>
      <c r="U845" s="5">
        <f>IF(ISBLANK(H845),AVERAGEIF(Table1[Profession imputed],T845,Table1[Monthly_Income]),H845)</f>
        <v>3693</v>
      </c>
      <c r="V845" s="6" t="str">
        <f>PROPER(TRIM(Table1[AI_Tool]))</f>
        <v>Microsoft Copilot</v>
      </c>
      <c r="W845" s="8">
        <f>IF(ISBLANK(Table1[[#This Row],[Time_Saved_Hours_Per_Week]]),AVERAGEIF(Table1[Satisfaction_Score],Table1[[#This Row],[Satisfaction_Score]],Table1[Time_Saved_Hours_Per_Week]),Table1[[#This Row],[Time_Saved_Hours_Per_Week]])</f>
        <v>9.3000000000000007</v>
      </c>
    </row>
    <row r="846" spans="1:23" x14ac:dyDescent="0.25">
      <c r="A846" t="s">
        <v>1173</v>
      </c>
      <c r="C846" t="s">
        <v>29</v>
      </c>
      <c r="D846" t="s">
        <v>117</v>
      </c>
      <c r="E846" t="s">
        <v>24</v>
      </c>
      <c r="F846" t="s">
        <v>25</v>
      </c>
      <c r="G846" t="s">
        <v>73</v>
      </c>
      <c r="H846">
        <v>3723</v>
      </c>
      <c r="I846" t="s">
        <v>1186</v>
      </c>
      <c r="J846" s="6" t="s">
        <v>75</v>
      </c>
      <c r="K846" s="15">
        <v>2.5</v>
      </c>
      <c r="L846" s="5">
        <v>10</v>
      </c>
      <c r="M846" s="15">
        <v>6.1</v>
      </c>
      <c r="N846">
        <v>5</v>
      </c>
      <c r="O846">
        <v>7</v>
      </c>
      <c r="P846">
        <v>5.6</v>
      </c>
      <c r="Q846">
        <v>7.5</v>
      </c>
      <c r="R846" s="2">
        <f>IF(ISBLANK(Table1[[#This Row],[Age]]),AVERAGE(Table1[Age]),Table1[[#This Row],[Age]])</f>
        <v>30.023333333333333</v>
      </c>
      <c r="S846" t="str">
        <f>PROPER(Table1[[#This Row],[Country]])</f>
        <v>United Kingdom</v>
      </c>
      <c r="T846" t="str">
        <f>TRIM(Table1[[#This Row],[Profession]])</f>
        <v>UNKNOWN</v>
      </c>
      <c r="U846" s="5">
        <f>IF(ISBLANK(H846),AVERAGEIF(Table1[[#This Row],[Profession imputed]],T846,Table1[Monthly_Income]),H846)</f>
        <v>3723</v>
      </c>
      <c r="V846" s="6" t="str">
        <f>PROPER(TRIM(Table1[AI_Tool]))</f>
        <v>Google Gemini</v>
      </c>
      <c r="W846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847" spans="1:23" x14ac:dyDescent="0.25">
      <c r="A847" t="s">
        <v>815</v>
      </c>
      <c r="C847" t="s">
        <v>29</v>
      </c>
      <c r="D847" t="s">
        <v>92</v>
      </c>
      <c r="E847" t="s">
        <v>24</v>
      </c>
      <c r="F847" t="s">
        <v>50</v>
      </c>
      <c r="G847" t="s">
        <v>814</v>
      </c>
      <c r="H847">
        <v>3779</v>
      </c>
      <c r="I847" t="s">
        <v>271</v>
      </c>
      <c r="J847" s="6" t="s">
        <v>33</v>
      </c>
      <c r="K847" s="15">
        <v>5.7</v>
      </c>
      <c r="L847" s="5">
        <v>0</v>
      </c>
      <c r="M847" s="15">
        <v>6.7</v>
      </c>
      <c r="N847">
        <v>2</v>
      </c>
      <c r="O847">
        <v>5</v>
      </c>
      <c r="P847">
        <v>13</v>
      </c>
      <c r="Q847">
        <v>6.6</v>
      </c>
      <c r="R847" s="2">
        <f>IF(ISBLANK(Table1[[#This Row],[Age]]),AVERAGE(Table1[Age]),Table1[[#This Row],[Age]])</f>
        <v>30.023333333333333</v>
      </c>
      <c r="S847" t="str">
        <f>PROPER(Table1[[#This Row],[Country]])</f>
        <v>Canada</v>
      </c>
      <c r="T847" t="str">
        <f>TRIM(Table1[[#This Row],[Profession]])</f>
        <v>Junior Web Developer</v>
      </c>
      <c r="U847" s="5">
        <f>IF(ISBLANK(H847),AVERAGEIF(Table1[[#This Row],[Profession imputed]],T847,Table1[Monthly_Income]),H847)</f>
        <v>3779</v>
      </c>
      <c r="V847" s="6" t="str">
        <f>PROPER(TRIM(Table1[AI_Tool]))</f>
        <v>Chat Gpt</v>
      </c>
      <c r="W847" s="8">
        <f>IF(ISBLANK(Table1[[#This Row],[Time_Saved_Hours_Per_Week]]),AVERAGEIF(Table1[Satisfaction_Score],Table1[[#This Row],[Satisfaction_Score]],Table1[Time_Saved_Hours_Per_Week]),Table1[[#This Row],[Time_Saved_Hours_Per_Week]])</f>
        <v>13</v>
      </c>
    </row>
    <row r="848" spans="1:23" x14ac:dyDescent="0.25">
      <c r="A848" t="s">
        <v>1081</v>
      </c>
      <c r="B848">
        <v>41</v>
      </c>
      <c r="C848" t="s">
        <v>29</v>
      </c>
      <c r="D848" t="s">
        <v>23</v>
      </c>
      <c r="E848" t="s">
        <v>24</v>
      </c>
      <c r="F848" t="s">
        <v>45</v>
      </c>
      <c r="G848" t="s">
        <v>1082</v>
      </c>
      <c r="H848">
        <v>3795</v>
      </c>
      <c r="I848" t="s">
        <v>139</v>
      </c>
      <c r="J848" s="6" t="s">
        <v>33</v>
      </c>
      <c r="K848" s="15">
        <v>2.9</v>
      </c>
      <c r="L848" s="5">
        <v>20</v>
      </c>
      <c r="M848" s="15">
        <v>7.8</v>
      </c>
      <c r="N848">
        <v>4</v>
      </c>
      <c r="O848">
        <v>6</v>
      </c>
      <c r="P848">
        <v>8.4</v>
      </c>
      <c r="Q848">
        <v>6.8</v>
      </c>
      <c r="R848" s="2">
        <f>IF(ISBLANK(Table1[[#This Row],[Age]]),AVERAGE(Table1[Age]),Table1[[#This Row],[Age]])</f>
        <v>41</v>
      </c>
      <c r="S848" t="str">
        <f>PROPER(Table1[[#This Row],[Country]])</f>
        <v>Germany</v>
      </c>
      <c r="T848" t="str">
        <f>TRIM(Table1[[#This Row],[Profession]])</f>
        <v>Softwareentwickler (Software Developer)</v>
      </c>
      <c r="U848" s="5">
        <f>IF(ISBLANK(H848),AVERAGEIF(Table1[[#This Row],[Profession imputed]],T848,Table1[Monthly_Income]),H848)</f>
        <v>3795</v>
      </c>
      <c r="V848" s="6" t="str">
        <f>PROPER(TRIM(Table1[AI_Tool]))</f>
        <v>Microsoft Copilot</v>
      </c>
      <c r="W848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849" spans="1:23" x14ac:dyDescent="0.25">
      <c r="A849" t="s">
        <v>810</v>
      </c>
      <c r="B849">
        <v>23</v>
      </c>
      <c r="C849" t="s">
        <v>22</v>
      </c>
      <c r="D849" t="s">
        <v>117</v>
      </c>
      <c r="E849" t="s">
        <v>24</v>
      </c>
      <c r="F849" t="s">
        <v>50</v>
      </c>
      <c r="G849" t="s">
        <v>803</v>
      </c>
      <c r="H849">
        <v>3796</v>
      </c>
      <c r="I849" t="s">
        <v>139</v>
      </c>
      <c r="J849" s="6" t="s">
        <v>33</v>
      </c>
      <c r="K849" s="15">
        <v>2.9</v>
      </c>
      <c r="L849" s="5">
        <v>25</v>
      </c>
      <c r="M849" s="15">
        <v>6.1</v>
      </c>
      <c r="N849">
        <v>3</v>
      </c>
      <c r="O849">
        <v>6</v>
      </c>
      <c r="P849">
        <v>8.3000000000000007</v>
      </c>
      <c r="Q849">
        <v>7.8</v>
      </c>
      <c r="R849" s="2">
        <f>IF(ISBLANK(Table1[[#This Row],[Age]]),AVERAGE(Table1[Age]),Table1[[#This Row],[Age]])</f>
        <v>23</v>
      </c>
      <c r="S849" t="str">
        <f>PROPER(Table1[[#This Row],[Country]])</f>
        <v>United Kingdom</v>
      </c>
      <c r="T849" t="str">
        <f>TRIM(Table1[[#This Row],[Profession]])</f>
        <v>Junior Software Developer</v>
      </c>
      <c r="U849" s="5">
        <f>IF(ISBLANK(H849),AVERAGEIF(Table1[[#This Row],[Profession imputed]],T849,Table1[Monthly_Income]),H849)</f>
        <v>3796</v>
      </c>
      <c r="V849" s="6" t="str">
        <f>PROPER(TRIM(Table1[AI_Tool]))</f>
        <v>Microsoft Copilot</v>
      </c>
      <c r="W849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850" spans="1:23" x14ac:dyDescent="0.25">
      <c r="A850" t="s">
        <v>585</v>
      </c>
      <c r="B850">
        <v>55</v>
      </c>
      <c r="C850" t="s">
        <v>29</v>
      </c>
      <c r="D850" t="s">
        <v>137</v>
      </c>
      <c r="E850" t="s">
        <v>24</v>
      </c>
      <c r="F850" t="s">
        <v>25</v>
      </c>
      <c r="G850" t="s">
        <v>584</v>
      </c>
      <c r="H850">
        <v>3827</v>
      </c>
      <c r="I850" t="s">
        <v>69</v>
      </c>
      <c r="J850" s="6" t="s">
        <v>33</v>
      </c>
      <c r="K850" s="15">
        <v>1.4</v>
      </c>
      <c r="L850" s="5">
        <v>0</v>
      </c>
      <c r="M850" s="15">
        <v>1.9</v>
      </c>
      <c r="N850">
        <v>3</v>
      </c>
      <c r="O850">
        <v>3</v>
      </c>
      <c r="P850">
        <v>2.5</v>
      </c>
      <c r="Q850">
        <v>9.5</v>
      </c>
      <c r="R850" s="2">
        <f>IF(ISBLANK(Table1[[#This Row],[Age]]),AVERAGE(Table1[Age]),Table1[[#This Row],[Age]])</f>
        <v>55</v>
      </c>
      <c r="S850" t="str">
        <f>PROPER(Table1[[#This Row],[Country]])</f>
        <v>France</v>
      </c>
      <c r="T850" t="str">
        <f>TRIM(Table1[[#This Row],[Profession]])</f>
        <v>DeveloperLogiciel (Software Developer)</v>
      </c>
      <c r="U850" s="5">
        <f>IF(ISBLANK(H850),AVERAGEIF(Table1[Profession imputed],T850,Table1[Monthly_Income]),H850)</f>
        <v>3827</v>
      </c>
      <c r="V850" s="6" t="str">
        <f>PROPER(TRIM(Table1[AI_Tool]))</f>
        <v>Perplexity Ai</v>
      </c>
      <c r="W850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851" spans="1:23" x14ac:dyDescent="0.25">
      <c r="A851" t="s">
        <v>250</v>
      </c>
      <c r="B851">
        <v>33</v>
      </c>
      <c r="C851" t="s">
        <v>29</v>
      </c>
      <c r="D851" t="s">
        <v>117</v>
      </c>
      <c r="E851" t="s">
        <v>24</v>
      </c>
      <c r="F851" t="s">
        <v>25</v>
      </c>
      <c r="G851" t="s">
        <v>237</v>
      </c>
      <c r="H851">
        <v>3864</v>
      </c>
      <c r="I851" t="s">
        <v>69</v>
      </c>
      <c r="J851" s="6" t="s">
        <v>106</v>
      </c>
      <c r="K851" s="15">
        <v>1.5</v>
      </c>
      <c r="L851" s="5">
        <v>0</v>
      </c>
      <c r="M851" s="15">
        <v>0</v>
      </c>
      <c r="N851">
        <v>4</v>
      </c>
      <c r="O851">
        <v>7</v>
      </c>
      <c r="P851">
        <v>1.9</v>
      </c>
      <c r="Q851">
        <v>8</v>
      </c>
      <c r="R851" s="2">
        <f>IF(ISBLANK(Table1[[#This Row],[Age]]),AVERAGE(Table1[Age]),Table1[[#This Row],[Age]])</f>
        <v>33</v>
      </c>
      <c r="S851" t="str">
        <f>PROPER(Table1[[#This Row],[Country]])</f>
        <v>United Kingdom</v>
      </c>
      <c r="T851" t="str">
        <f>TRIM(Table1[[#This Row],[Profession]])</f>
        <v>Business Analyst</v>
      </c>
      <c r="U851" s="5">
        <f>IF(ISBLANK(H851),AVERAGEIF(Table1[Profession imputed],T851,Table1[Monthly_Income]),H851)</f>
        <v>3864</v>
      </c>
      <c r="V851" s="6" t="str">
        <f>PROPER(TRIM(Table1[AI_Tool]))</f>
        <v>Perplexity Ai</v>
      </c>
      <c r="W851" s="8">
        <f>IF(ISBLANK(Table1[[#This Row],[Time_Saved_Hours_Per_Week]]),AVERAGEIF(Table1[Satisfaction_Score],Table1[[#This Row],[Satisfaction_Score]],Table1[Time_Saved_Hours_Per_Week]),Table1[[#This Row],[Time_Saved_Hours_Per_Week]])</f>
        <v>1.9</v>
      </c>
    </row>
    <row r="852" spans="1:23" x14ac:dyDescent="0.25">
      <c r="A852" t="s">
        <v>942</v>
      </c>
      <c r="B852">
        <v>42</v>
      </c>
      <c r="C852" t="s">
        <v>29</v>
      </c>
      <c r="D852" t="s">
        <v>137</v>
      </c>
      <c r="E852" t="s">
        <v>24</v>
      </c>
      <c r="F852" t="s">
        <v>25</v>
      </c>
      <c r="G852" t="s">
        <v>941</v>
      </c>
      <c r="H852">
        <v>3872</v>
      </c>
      <c r="I852" t="s">
        <v>271</v>
      </c>
      <c r="J852" s="6" t="s">
        <v>75</v>
      </c>
      <c r="K852" s="15">
        <v>2.2000000000000002</v>
      </c>
      <c r="L852" s="5">
        <v>0</v>
      </c>
      <c r="M852" s="15">
        <v>5</v>
      </c>
      <c r="N852">
        <v>4</v>
      </c>
      <c r="O852">
        <f>IF(Table1[[#This Row],[Accuracy_Rating]]=4,8,IF(Table1[[#This Row],[Accuracy_Rating]]=3,7,Table1[[#This Row],[Accuracy_Rating]]))</f>
        <v>8</v>
      </c>
      <c r="P852">
        <v>2.8</v>
      </c>
      <c r="Q852">
        <v>10.7</v>
      </c>
      <c r="R852" s="2">
        <f>IF(ISBLANK(Table1[[#This Row],[Age]]),AVERAGE(Table1[Age]),Table1[[#This Row],[Age]])</f>
        <v>42</v>
      </c>
      <c r="S852" t="str">
        <f>PROPER(Table1[[#This Row],[Country]])</f>
        <v>France</v>
      </c>
      <c r="T852" t="str">
        <f>TRIM(Table1[[#This Row],[Profession]])</f>
        <v>Responsable de Contenu Digital</v>
      </c>
      <c r="U852" s="5">
        <f>IF(ISBLANK(H852),AVERAGEIF(Table1[[#This Row],[Profession imputed]],T852,Table1[Monthly_Income]),H852)</f>
        <v>3872</v>
      </c>
      <c r="V852" s="6" t="str">
        <f>PROPER(TRIM(Table1[AI_Tool]))</f>
        <v>Chat Gpt</v>
      </c>
      <c r="W852" s="8">
        <f>IF(ISBLANK(Table1[[#This Row],[Time_Saved_Hours_Per_Week]]),AVERAGEIF(Table1[Satisfaction_Score],Table1[[#This Row],[Satisfaction_Score]],Table1[Time_Saved_Hours_Per_Week]),Table1[[#This Row],[Time_Saved_Hours_Per_Week]])</f>
        <v>2.8</v>
      </c>
    </row>
    <row r="853" spans="1:23" x14ac:dyDescent="0.25">
      <c r="A853" t="s">
        <v>514</v>
      </c>
      <c r="B853">
        <v>34</v>
      </c>
      <c r="C853" t="s">
        <v>22</v>
      </c>
      <c r="D853" t="s">
        <v>44</v>
      </c>
      <c r="E853" t="s">
        <v>24</v>
      </c>
      <c r="F853" t="s">
        <v>50</v>
      </c>
      <c r="G853" t="s">
        <v>515</v>
      </c>
      <c r="H853">
        <v>3878</v>
      </c>
      <c r="I853" t="s">
        <v>280</v>
      </c>
      <c r="J853" s="6" t="s">
        <v>106</v>
      </c>
      <c r="K853" s="15">
        <v>4.8</v>
      </c>
      <c r="L853" s="5">
        <v>30</v>
      </c>
      <c r="M853" s="15">
        <v>7.7</v>
      </c>
      <c r="N853">
        <v>3</v>
      </c>
      <c r="O853">
        <v>6</v>
      </c>
      <c r="P853">
        <v>5.7</v>
      </c>
      <c r="Q853">
        <v>8.6999999999999993</v>
      </c>
      <c r="R853" s="2">
        <f>IF(ISBLANK(Table1[[#This Row],[Age]]),AVERAGE(Table1[Age]),Table1[[#This Row],[Age]])</f>
        <v>34</v>
      </c>
      <c r="S853" t="str">
        <f>PROPER(Table1[[#This Row],[Country]])</f>
        <v>United States</v>
      </c>
      <c r="T853" t="str">
        <f>TRIM(Table1[[#This Row],[Profession]])</f>
        <v>Data Entry Specialist</v>
      </c>
      <c r="U853" s="5">
        <f>IF(ISBLANK(H853),AVERAGEIF(Table1[Profession imputed],T853,Table1[Monthly_Income]),H853)</f>
        <v>3878</v>
      </c>
      <c r="V853" s="6" t="str">
        <f>PROPER(TRIM(Table1[AI_Tool]))</f>
        <v>Unknown</v>
      </c>
      <c r="W853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854" spans="1:23" x14ac:dyDescent="0.25">
      <c r="A854" t="s">
        <v>352</v>
      </c>
      <c r="B854">
        <v>26</v>
      </c>
      <c r="C854" t="s">
        <v>22</v>
      </c>
      <c r="D854" t="s">
        <v>117</v>
      </c>
      <c r="E854" t="s">
        <v>24</v>
      </c>
      <c r="F854" t="s">
        <v>55</v>
      </c>
      <c r="G854" t="s">
        <v>346</v>
      </c>
      <c r="H854">
        <v>3916</v>
      </c>
      <c r="I854" t="s">
        <v>271</v>
      </c>
      <c r="J854" s="6" t="s">
        <v>38</v>
      </c>
      <c r="K854" s="15">
        <v>0.8</v>
      </c>
      <c r="L854" s="5">
        <v>0</v>
      </c>
      <c r="M854" s="15">
        <v>3.9</v>
      </c>
      <c r="N854">
        <v>4</v>
      </c>
      <c r="O854">
        <v>6</v>
      </c>
      <c r="P854">
        <v>4.3</v>
      </c>
      <c r="Q854">
        <v>9</v>
      </c>
      <c r="R854" s="2">
        <f>IF(ISBLANK(Table1[[#This Row],[Age]]),AVERAGE(Table1[Age]),Table1[[#This Row],[Age]])</f>
        <v>26</v>
      </c>
      <c r="S854" t="str">
        <f>PROPER(Table1[[#This Row],[Country]])</f>
        <v>United Kingdom</v>
      </c>
      <c r="T854" t="str">
        <f>TRIM(Table1[[#This Row],[Profession]])</f>
        <v>Content Strategist</v>
      </c>
      <c r="U854" s="5">
        <f>IF(ISBLANK(H854),AVERAGEIF(Table1[[#This Row],[Profession imputed]],T854,Table1[Monthly_Income]),H854)</f>
        <v>3916</v>
      </c>
      <c r="V854" s="6" t="str">
        <f>PROPER(TRIM(Table1[AI_Tool]))</f>
        <v>Chat Gpt</v>
      </c>
      <c r="W854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855" spans="1:23" x14ac:dyDescent="0.25">
      <c r="A855" t="s">
        <v>586</v>
      </c>
      <c r="B855">
        <v>55</v>
      </c>
      <c r="C855" t="s">
        <v>29</v>
      </c>
      <c r="D855" t="s">
        <v>137</v>
      </c>
      <c r="E855" t="s">
        <v>24</v>
      </c>
      <c r="F855" t="s">
        <v>25</v>
      </c>
      <c r="G855" t="s">
        <v>584</v>
      </c>
      <c r="H855">
        <v>3931</v>
      </c>
      <c r="I855" t="s">
        <v>69</v>
      </c>
      <c r="J855" s="6" t="s">
        <v>33</v>
      </c>
      <c r="K855" s="15">
        <v>1.4</v>
      </c>
      <c r="L855" s="5">
        <v>0</v>
      </c>
      <c r="M855" s="15">
        <v>1.9</v>
      </c>
      <c r="N855">
        <v>3</v>
      </c>
      <c r="O855">
        <v>3</v>
      </c>
      <c r="P855">
        <v>2.5</v>
      </c>
      <c r="Q855">
        <v>9.5</v>
      </c>
      <c r="R855" s="2">
        <f>IF(ISBLANK(Table1[[#This Row],[Age]]),AVERAGE(Table1[Age]),Table1[[#This Row],[Age]])</f>
        <v>55</v>
      </c>
      <c r="S855" t="str">
        <f>PROPER(Table1[[#This Row],[Country]])</f>
        <v>France</v>
      </c>
      <c r="T855" t="str">
        <f>TRIM(Table1[[#This Row],[Profession]])</f>
        <v>DeveloperLogiciel (Software Developer)</v>
      </c>
      <c r="U855" s="5">
        <f>IF(ISBLANK(H855),AVERAGEIF(Table1[Profession imputed],T855,Table1[Monthly_Income]),H855)</f>
        <v>3931</v>
      </c>
      <c r="V855" s="6" t="str">
        <f>PROPER(TRIM(Table1[AI_Tool]))</f>
        <v>Perplexity Ai</v>
      </c>
      <c r="W855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856" spans="1:23" x14ac:dyDescent="0.25">
      <c r="A856" t="s">
        <v>583</v>
      </c>
      <c r="B856">
        <v>53</v>
      </c>
      <c r="C856" t="s">
        <v>29</v>
      </c>
      <c r="D856" t="s">
        <v>137</v>
      </c>
      <c r="E856" t="s">
        <v>24</v>
      </c>
      <c r="F856" t="s">
        <v>25</v>
      </c>
      <c r="G856" t="s">
        <v>584</v>
      </c>
      <c r="H856">
        <v>3944</v>
      </c>
      <c r="I856" t="s">
        <v>69</v>
      </c>
      <c r="J856" s="6" t="s">
        <v>33</v>
      </c>
      <c r="K856" s="15">
        <v>1.4</v>
      </c>
      <c r="L856" s="5">
        <v>0</v>
      </c>
      <c r="M856" s="15">
        <v>1.9</v>
      </c>
      <c r="N856">
        <v>3</v>
      </c>
      <c r="O856">
        <v>3</v>
      </c>
      <c r="P856">
        <v>2.5</v>
      </c>
      <c r="Q856">
        <v>9.5</v>
      </c>
      <c r="R856" s="2">
        <f>IF(ISBLANK(Table1[[#This Row],[Age]]),AVERAGE(Table1[Age]),Table1[[#This Row],[Age]])</f>
        <v>53</v>
      </c>
      <c r="S856" t="str">
        <f>PROPER(Table1[[#This Row],[Country]])</f>
        <v>France</v>
      </c>
      <c r="T856" t="str">
        <f>TRIM(Table1[[#This Row],[Profession]])</f>
        <v>DeveloperLogiciel (Software Developer)</v>
      </c>
      <c r="U856" s="5">
        <f>IF(ISBLANK(H856),AVERAGEIF(Table1[Profession imputed],T856,Table1[Monthly_Income]),H856)</f>
        <v>3944</v>
      </c>
      <c r="V856" s="6" t="str">
        <f>PROPER(TRIM(Table1[AI_Tool]))</f>
        <v>Perplexity Ai</v>
      </c>
      <c r="W856" s="8">
        <f>IF(ISBLANK(Table1[[#This Row],[Time_Saved_Hours_Per_Week]]),AVERAGEIF(Table1[Satisfaction_Score],Table1[[#This Row],[Satisfaction_Score]],Table1[Time_Saved_Hours_Per_Week]),Table1[[#This Row],[Time_Saved_Hours_Per_Week]])</f>
        <v>2.5</v>
      </c>
    </row>
    <row r="857" spans="1:23" x14ac:dyDescent="0.25">
      <c r="A857" t="s">
        <v>1083</v>
      </c>
      <c r="B857">
        <v>39</v>
      </c>
      <c r="C857" t="s">
        <v>29</v>
      </c>
      <c r="D857" t="s">
        <v>23</v>
      </c>
      <c r="E857" t="s">
        <v>24</v>
      </c>
      <c r="F857" t="s">
        <v>45</v>
      </c>
      <c r="G857" t="s">
        <v>1082</v>
      </c>
      <c r="H857">
        <v>3953</v>
      </c>
      <c r="I857" t="s">
        <v>139</v>
      </c>
      <c r="J857" s="6" t="s">
        <v>33</v>
      </c>
      <c r="K857" s="15">
        <v>2.9</v>
      </c>
      <c r="L857" s="5">
        <v>20</v>
      </c>
      <c r="M857" s="15">
        <v>7.8</v>
      </c>
      <c r="N857">
        <v>4</v>
      </c>
      <c r="O857">
        <v>6</v>
      </c>
      <c r="P857">
        <v>8.4</v>
      </c>
      <c r="Q857">
        <v>6.8</v>
      </c>
      <c r="R857" s="2">
        <f>IF(ISBLANK(Table1[[#This Row],[Age]]),AVERAGE(Table1[Age]),Table1[[#This Row],[Age]])</f>
        <v>39</v>
      </c>
      <c r="S857" t="str">
        <f>PROPER(Table1[[#This Row],[Country]])</f>
        <v>Germany</v>
      </c>
      <c r="T857" t="str">
        <f>TRIM(Table1[[#This Row],[Profession]])</f>
        <v>Softwareentwickler (Software Developer)</v>
      </c>
      <c r="U857" s="5">
        <f>IF(ISBLANK(H857),AVERAGEIF(Table1[[#This Row],[Profession imputed]],T857,Table1[Monthly_Income]),H857)</f>
        <v>3953</v>
      </c>
      <c r="V857" s="6" t="str">
        <f>PROPER(TRIM(Table1[AI_Tool]))</f>
        <v>Microsoft Copilot</v>
      </c>
      <c r="W857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858" spans="1:23" x14ac:dyDescent="0.25">
      <c r="A858" t="s">
        <v>577</v>
      </c>
      <c r="B858">
        <v>34</v>
      </c>
      <c r="C858" t="s">
        <v>29</v>
      </c>
      <c r="D858" t="s">
        <v>574</v>
      </c>
      <c r="E858" t="s">
        <v>24</v>
      </c>
      <c r="F858" t="s">
        <v>25</v>
      </c>
      <c r="G858" t="s">
        <v>575</v>
      </c>
      <c r="H858">
        <v>3959</v>
      </c>
      <c r="I858" t="s">
        <v>271</v>
      </c>
      <c r="J858" s="6" t="s">
        <v>33</v>
      </c>
      <c r="K858" s="15">
        <v>1.2</v>
      </c>
      <c r="L858" s="5">
        <v>20</v>
      </c>
      <c r="M858" s="15">
        <v>3</v>
      </c>
      <c r="N858">
        <v>2</v>
      </c>
      <c r="O858">
        <v>5</v>
      </c>
      <c r="P858">
        <v>6.6</v>
      </c>
      <c r="Q858">
        <v>6.4</v>
      </c>
      <c r="R858" s="2">
        <f>IF(ISBLANK(Table1[[#This Row],[Age]]),AVERAGE(Table1[Age]),Table1[[#This Row],[Age]])</f>
        <v>34</v>
      </c>
      <c r="S858" t="str">
        <f>PROPER(Table1[[#This Row],[Country]])</f>
        <v>France</v>
      </c>
      <c r="T858" t="str">
        <f>TRIM(Table1[[#This Row],[Profession]])</f>
        <v>DeveloperFull Stack</v>
      </c>
      <c r="U858" s="5">
        <f>IF(ISBLANK(H858),AVERAGEIF(Table1[Profession imputed],T858,Table1[Monthly_Income]),H858)</f>
        <v>3959</v>
      </c>
      <c r="V858" s="6" t="str">
        <f>PROPER(TRIM(Table1[AI_Tool]))</f>
        <v>Chat Gpt</v>
      </c>
      <c r="W858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859" spans="1:23" x14ac:dyDescent="0.25">
      <c r="A859" t="s">
        <v>249</v>
      </c>
      <c r="B859">
        <v>53</v>
      </c>
      <c r="C859" t="s">
        <v>29</v>
      </c>
      <c r="D859" t="s">
        <v>44</v>
      </c>
      <c r="E859" t="s">
        <v>24</v>
      </c>
      <c r="F859" t="s">
        <v>25</v>
      </c>
      <c r="G859" t="s">
        <v>237</v>
      </c>
      <c r="H859">
        <v>3965</v>
      </c>
      <c r="I859" t="s">
        <v>58</v>
      </c>
      <c r="J859" s="6" t="s">
        <v>47</v>
      </c>
      <c r="K859" s="15">
        <v>2.7</v>
      </c>
      <c r="L859" s="5">
        <v>20</v>
      </c>
      <c r="M859" s="15">
        <v>6.8</v>
      </c>
      <c r="N859">
        <v>4</v>
      </c>
      <c r="O859">
        <v>7</v>
      </c>
      <c r="Q859">
        <v>10.7</v>
      </c>
      <c r="R859" s="2">
        <f>IF(ISBLANK(Table1[[#This Row],[Age]]),AVERAGE(Table1[Age]),Table1[[#This Row],[Age]])</f>
        <v>53</v>
      </c>
      <c r="S859" t="str">
        <f>PROPER(Table1[[#This Row],[Country]])</f>
        <v>United States</v>
      </c>
      <c r="T859" t="str">
        <f>TRIM(Table1[[#This Row],[Profession]])</f>
        <v>Business Analyst</v>
      </c>
      <c r="U859" s="5">
        <f>IF(ISBLANK(H859),AVERAGEIF(Table1[Profession imputed],T859,Table1[Monthly_Income]),H859)</f>
        <v>3965</v>
      </c>
      <c r="V859" s="6" t="str">
        <f>PROPER(TRIM(Table1[AI_Tool]))</f>
        <v>Claude</v>
      </c>
      <c r="W859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60" spans="1:23" x14ac:dyDescent="0.25">
      <c r="A860" t="s">
        <v>1084</v>
      </c>
      <c r="B860">
        <v>42</v>
      </c>
      <c r="C860" t="s">
        <v>29</v>
      </c>
      <c r="D860" t="s">
        <v>23</v>
      </c>
      <c r="E860" t="s">
        <v>24</v>
      </c>
      <c r="F860" t="s">
        <v>45</v>
      </c>
      <c r="G860" t="s">
        <v>1082</v>
      </c>
      <c r="H860">
        <v>3977</v>
      </c>
      <c r="I860" t="s">
        <v>139</v>
      </c>
      <c r="J860" s="6" t="s">
        <v>33</v>
      </c>
      <c r="K860" s="15">
        <v>2.9</v>
      </c>
      <c r="L860" s="5">
        <v>20</v>
      </c>
      <c r="M860" s="15">
        <v>7.8</v>
      </c>
      <c r="N860">
        <v>4</v>
      </c>
      <c r="O860">
        <v>6</v>
      </c>
      <c r="P860">
        <v>8.4</v>
      </c>
      <c r="Q860">
        <v>6.8</v>
      </c>
      <c r="R860" s="2">
        <f>IF(ISBLANK(Table1[[#This Row],[Age]]),AVERAGE(Table1[Age]),Table1[[#This Row],[Age]])</f>
        <v>42</v>
      </c>
      <c r="S860" t="str">
        <f>PROPER(Table1[[#This Row],[Country]])</f>
        <v>Germany</v>
      </c>
      <c r="T860" t="str">
        <f>TRIM(Table1[[#This Row],[Profession]])</f>
        <v>Softwareentwickler (Software Developer)</v>
      </c>
      <c r="U860" s="5">
        <f>IF(ISBLANK(H860),AVERAGEIF(Table1[[#This Row],[Profession imputed]],T860,Table1[Monthly_Income]),H860)</f>
        <v>3977</v>
      </c>
      <c r="V860" s="6" t="str">
        <f>PROPER(TRIM(Table1[AI_Tool]))</f>
        <v>Microsoft Copilot</v>
      </c>
      <c r="W860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861" spans="1:23" x14ac:dyDescent="0.25">
      <c r="A861" t="s">
        <v>348</v>
      </c>
      <c r="B861">
        <v>27</v>
      </c>
      <c r="C861" t="s">
        <v>22</v>
      </c>
      <c r="D861" t="s">
        <v>117</v>
      </c>
      <c r="E861" t="s">
        <v>24</v>
      </c>
      <c r="F861" t="s">
        <v>55</v>
      </c>
      <c r="G861" t="s">
        <v>346</v>
      </c>
      <c r="H861">
        <v>3992</v>
      </c>
      <c r="I861" t="s">
        <v>271</v>
      </c>
      <c r="J861" s="6" t="s">
        <v>38</v>
      </c>
      <c r="K861" s="15">
        <v>0.8</v>
      </c>
      <c r="L861" s="5">
        <v>0</v>
      </c>
      <c r="M861" s="15">
        <v>3.9</v>
      </c>
      <c r="N861">
        <v>4</v>
      </c>
      <c r="O861">
        <v>6</v>
      </c>
      <c r="P861">
        <v>4.3</v>
      </c>
      <c r="Q861">
        <v>9</v>
      </c>
      <c r="R861" s="2">
        <f>IF(ISBLANK(Table1[[#This Row],[Age]]),AVERAGE(Table1[Age]),Table1[[#This Row],[Age]])</f>
        <v>27</v>
      </c>
      <c r="S861" t="str">
        <f>PROPER(Table1[[#This Row],[Country]])</f>
        <v>United Kingdom</v>
      </c>
      <c r="T861" t="str">
        <f>TRIM(Table1[[#This Row],[Profession]])</f>
        <v>Content Strategist</v>
      </c>
      <c r="U861" s="5">
        <f>IF(ISBLANK(H861),AVERAGEIF(Table1[[#This Row],[Profession imputed]],T861,Table1[Monthly_Income]),H861)</f>
        <v>3992</v>
      </c>
      <c r="V861" s="6" t="str">
        <f>PROPER(TRIM(Table1[AI_Tool]))</f>
        <v>Chat Gpt</v>
      </c>
      <c r="W861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862" spans="1:23" x14ac:dyDescent="0.25">
      <c r="A862" t="s">
        <v>807</v>
      </c>
      <c r="B862">
        <v>24</v>
      </c>
      <c r="C862" t="s">
        <v>22</v>
      </c>
      <c r="D862" t="s">
        <v>117</v>
      </c>
      <c r="E862" t="s">
        <v>24</v>
      </c>
      <c r="F862" t="s">
        <v>50</v>
      </c>
      <c r="G862" t="s">
        <v>803</v>
      </c>
      <c r="H862">
        <v>3997</v>
      </c>
      <c r="I862" t="s">
        <v>139</v>
      </c>
      <c r="J862" s="6" t="s">
        <v>33</v>
      </c>
      <c r="K862" s="15">
        <v>2.9</v>
      </c>
      <c r="L862" s="5">
        <v>25</v>
      </c>
      <c r="M862" s="15">
        <v>6.1</v>
      </c>
      <c r="N862">
        <v>3</v>
      </c>
      <c r="O862">
        <v>6</v>
      </c>
      <c r="P862">
        <v>8.3000000000000007</v>
      </c>
      <c r="Q862">
        <v>7.8</v>
      </c>
      <c r="R862" s="2">
        <f>IF(ISBLANK(Table1[[#This Row],[Age]]),AVERAGE(Table1[Age]),Table1[[#This Row],[Age]])</f>
        <v>24</v>
      </c>
      <c r="S862" t="str">
        <f>PROPER(Table1[[#This Row],[Country]])</f>
        <v>United Kingdom</v>
      </c>
      <c r="T862" t="str">
        <f>TRIM(Table1[[#This Row],[Profession]])</f>
        <v>Junior Software Developer</v>
      </c>
      <c r="U862" s="5">
        <f>IF(ISBLANK(H862),AVERAGEIF(Table1[[#This Row],[Profession imputed]],T862,Table1[Monthly_Income]),H862)</f>
        <v>3997</v>
      </c>
      <c r="V862" s="6" t="str">
        <f>PROPER(TRIM(Table1[AI_Tool]))</f>
        <v>Microsoft Copilot</v>
      </c>
      <c r="W862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863" spans="1:23" x14ac:dyDescent="0.25">
      <c r="A863" t="s">
        <v>804</v>
      </c>
      <c r="B863">
        <v>24</v>
      </c>
      <c r="C863" t="s">
        <v>22</v>
      </c>
      <c r="D863" t="s">
        <v>117</v>
      </c>
      <c r="E863" t="s">
        <v>24</v>
      </c>
      <c r="F863" t="s">
        <v>50</v>
      </c>
      <c r="G863" t="s">
        <v>803</v>
      </c>
      <c r="H863">
        <v>4006</v>
      </c>
      <c r="I863" t="s">
        <v>139</v>
      </c>
      <c r="J863" s="6" t="s">
        <v>33</v>
      </c>
      <c r="K863" s="15">
        <v>2.9</v>
      </c>
      <c r="L863" s="5">
        <v>25</v>
      </c>
      <c r="M863" s="15">
        <v>6.1</v>
      </c>
      <c r="N863">
        <v>3</v>
      </c>
      <c r="O863">
        <v>6</v>
      </c>
      <c r="P863">
        <v>8.3000000000000007</v>
      </c>
      <c r="Q863">
        <v>7.8</v>
      </c>
      <c r="R863" s="2">
        <f>IF(ISBLANK(Table1[[#This Row],[Age]]),AVERAGE(Table1[Age]),Table1[[#This Row],[Age]])</f>
        <v>24</v>
      </c>
      <c r="S863" t="str">
        <f>PROPER(Table1[[#This Row],[Country]])</f>
        <v>United Kingdom</v>
      </c>
      <c r="T863" t="str">
        <f>TRIM(Table1[[#This Row],[Profession]])</f>
        <v>Junior Software Developer</v>
      </c>
      <c r="U863" s="5">
        <f>IF(ISBLANK(H863),AVERAGEIF(Table1[[#This Row],[Profession imputed]],T863,Table1[Monthly_Income]),H863)</f>
        <v>4006</v>
      </c>
      <c r="V863" s="6" t="str">
        <f>PROPER(TRIM(Table1[AI_Tool]))</f>
        <v>Microsoft Copilot</v>
      </c>
      <c r="W863" s="8">
        <f>IF(ISBLANK(Table1[[#This Row],[Time_Saved_Hours_Per_Week]]),AVERAGEIF(Table1[Satisfaction_Score],Table1[[#This Row],[Satisfaction_Score]],Table1[Time_Saved_Hours_Per_Week]),Table1[[#This Row],[Time_Saved_Hours_Per_Week]])</f>
        <v>8.3000000000000007</v>
      </c>
    </row>
    <row r="864" spans="1:23" x14ac:dyDescent="0.25">
      <c r="A864" t="s">
        <v>419</v>
      </c>
      <c r="B864">
        <v>21</v>
      </c>
      <c r="C864" t="s">
        <v>29</v>
      </c>
      <c r="D864" t="s">
        <v>92</v>
      </c>
      <c r="E864" t="s">
        <v>24</v>
      </c>
      <c r="F864" t="s">
        <v>50</v>
      </c>
      <c r="G864" t="s">
        <v>417</v>
      </c>
      <c r="H864">
        <v>4009</v>
      </c>
      <c r="I864" t="s">
        <v>69</v>
      </c>
      <c r="J864" s="6" t="s">
        <v>27</v>
      </c>
      <c r="K864" s="15">
        <v>1.7</v>
      </c>
      <c r="L864" s="5">
        <v>0</v>
      </c>
      <c r="M864" s="15">
        <v>7</v>
      </c>
      <c r="N864">
        <v>4</v>
      </c>
      <c r="O864">
        <v>7</v>
      </c>
      <c r="P864">
        <v>3.4</v>
      </c>
      <c r="Q864">
        <v>6.7</v>
      </c>
      <c r="R864" s="2">
        <f>IF(ISBLANK(Table1[[#This Row],[Age]]),AVERAGE(Table1[Age]),Table1[[#This Row],[Age]])</f>
        <v>21</v>
      </c>
      <c r="S864" t="str">
        <f>PROPER(Table1[[#This Row],[Country]])</f>
        <v>Canada</v>
      </c>
      <c r="T864" t="str">
        <f>TRIM(Table1[[#This Row],[Profession]])</f>
        <v>Customer Service Representative</v>
      </c>
      <c r="U864" s="5">
        <f>IF(ISBLANK(H864),AVERAGEIF(Table1[[#This Row],[Profession imputed]],T864,Table1[Monthly_Income]),H864)</f>
        <v>4009</v>
      </c>
      <c r="V864" s="6" t="str">
        <f>PROPER(TRIM(Table1[AI_Tool]))</f>
        <v>Perplexity Ai</v>
      </c>
      <c r="W864" s="8">
        <f>IF(ISBLANK(Table1[[#This Row],[Time_Saved_Hours_Per_Week]]),AVERAGEIF(Table1[Satisfaction_Score],Table1[[#This Row],[Satisfaction_Score]],Table1[Time_Saved_Hours_Per_Week]),Table1[[#This Row],[Time_Saved_Hours_Per_Week]])</f>
        <v>3.4</v>
      </c>
    </row>
    <row r="865" spans="1:23" x14ac:dyDescent="0.25">
      <c r="A865" t="s">
        <v>582</v>
      </c>
      <c r="B865">
        <v>24</v>
      </c>
      <c r="C865" t="s">
        <v>29</v>
      </c>
      <c r="D865" t="s">
        <v>137</v>
      </c>
      <c r="E865" t="s">
        <v>24</v>
      </c>
      <c r="F865" t="s">
        <v>25</v>
      </c>
      <c r="G865" t="s">
        <v>581</v>
      </c>
      <c r="H865">
        <v>4043</v>
      </c>
      <c r="I865" t="s">
        <v>139</v>
      </c>
      <c r="J865" s="6" t="s">
        <v>33</v>
      </c>
      <c r="K865" s="15">
        <v>5.5</v>
      </c>
      <c r="L865" s="5">
        <v>20</v>
      </c>
      <c r="M865" s="15">
        <v>7.6</v>
      </c>
      <c r="N865">
        <v>3</v>
      </c>
      <c r="O865">
        <v>7</v>
      </c>
      <c r="P865">
        <v>9.3000000000000007</v>
      </c>
      <c r="Q865">
        <v>6.1</v>
      </c>
      <c r="R865" s="2">
        <f>IF(ISBLANK(Table1[[#This Row],[Age]]),AVERAGE(Table1[Age]),Table1[[#This Row],[Age]])</f>
        <v>24</v>
      </c>
      <c r="S865" t="str">
        <f>PROPER(Table1[[#This Row],[Country]])</f>
        <v>France</v>
      </c>
      <c r="T865" t="str">
        <f>TRIM(Table1[[#This Row],[Profession]])</f>
        <v>DeveloperFull Stack Junior</v>
      </c>
      <c r="U865" s="5">
        <f>IF(ISBLANK(H865),AVERAGEIF(Table1[Profession imputed],T865,Table1[Monthly_Income]),H865)</f>
        <v>4043</v>
      </c>
      <c r="V865" s="6" t="str">
        <f>PROPER(TRIM(Table1[AI_Tool]))</f>
        <v>Microsoft Copilot</v>
      </c>
      <c r="W865" s="8">
        <f>IF(ISBLANK(Table1[[#This Row],[Time_Saved_Hours_Per_Week]]),AVERAGEIF(Table1[Satisfaction_Score],Table1[[#This Row],[Satisfaction_Score]],Table1[Time_Saved_Hours_Per_Week]),Table1[[#This Row],[Time_Saved_Hours_Per_Week]])</f>
        <v>9.3000000000000007</v>
      </c>
    </row>
    <row r="866" spans="1:23" x14ac:dyDescent="0.25">
      <c r="A866" t="s">
        <v>516</v>
      </c>
      <c r="B866">
        <v>32</v>
      </c>
      <c r="C866" t="s">
        <v>22</v>
      </c>
      <c r="D866" t="s">
        <v>44</v>
      </c>
      <c r="E866" t="s">
        <v>24</v>
      </c>
      <c r="F866" t="s">
        <v>50</v>
      </c>
      <c r="G866" t="s">
        <v>515</v>
      </c>
      <c r="H866">
        <v>4049</v>
      </c>
      <c r="I866" t="s">
        <v>280</v>
      </c>
      <c r="J866" s="6" t="s">
        <v>106</v>
      </c>
      <c r="K866" s="15">
        <v>4.8</v>
      </c>
      <c r="L866" s="5">
        <v>30</v>
      </c>
      <c r="M866" s="15">
        <v>7.7</v>
      </c>
      <c r="N866">
        <v>3</v>
      </c>
      <c r="O866">
        <v>6</v>
      </c>
      <c r="P866">
        <v>5.7</v>
      </c>
      <c r="Q866">
        <v>8.6999999999999993</v>
      </c>
      <c r="R866" s="2">
        <f>IF(ISBLANK(Table1[[#This Row],[Age]]),AVERAGE(Table1[Age]),Table1[[#This Row],[Age]])</f>
        <v>32</v>
      </c>
      <c r="S866" t="str">
        <f>PROPER(Table1[[#This Row],[Country]])</f>
        <v>United States</v>
      </c>
      <c r="T866" t="str">
        <f>TRIM(Table1[[#This Row],[Profession]])</f>
        <v>Data Entry Specialist</v>
      </c>
      <c r="U866" s="5">
        <f>IF(ISBLANK(H866),AVERAGEIF(Table1[Profession imputed],T866,Table1[Monthly_Income]),H866)</f>
        <v>4049</v>
      </c>
      <c r="V866" s="6" t="str">
        <f>PROPER(TRIM(Table1[AI_Tool]))</f>
        <v>Unknown</v>
      </c>
      <c r="W866" s="8">
        <f>IF(ISBLANK(Table1[[#This Row],[Time_Saved_Hours_Per_Week]]),AVERAGEIF(Table1[Satisfaction_Score],Table1[[#This Row],[Satisfaction_Score]],Table1[Time_Saved_Hours_Per_Week]),Table1[[#This Row],[Time_Saved_Hours_Per_Week]])</f>
        <v>5.7</v>
      </c>
    </row>
    <row r="867" spans="1:23" x14ac:dyDescent="0.25">
      <c r="A867" t="s">
        <v>238</v>
      </c>
      <c r="B867">
        <v>55</v>
      </c>
      <c r="C867" t="s">
        <v>29</v>
      </c>
      <c r="D867" t="s">
        <v>44</v>
      </c>
      <c r="E867" t="s">
        <v>24</v>
      </c>
      <c r="F867" t="s">
        <v>25</v>
      </c>
      <c r="G867" t="s">
        <v>237</v>
      </c>
      <c r="H867">
        <v>4070</v>
      </c>
      <c r="I867" t="s">
        <v>58</v>
      </c>
      <c r="J867" s="6" t="s">
        <v>47</v>
      </c>
      <c r="K867" s="15">
        <v>2.7</v>
      </c>
      <c r="L867" s="5">
        <v>20</v>
      </c>
      <c r="M867" s="15">
        <v>6.8</v>
      </c>
      <c r="N867">
        <v>4</v>
      </c>
      <c r="O867">
        <v>7</v>
      </c>
      <c r="Q867">
        <v>10.7</v>
      </c>
      <c r="R867" s="2">
        <f>IF(ISBLANK(Table1[[#This Row],[Age]]),AVERAGE(Table1[Age]),Table1[[#This Row],[Age]])</f>
        <v>55</v>
      </c>
      <c r="S867" t="str">
        <f>PROPER(Table1[[#This Row],[Country]])</f>
        <v>United States</v>
      </c>
      <c r="T867" t="str">
        <f>TRIM(Table1[[#This Row],[Profession]])</f>
        <v>Business Analyst</v>
      </c>
      <c r="U867" s="5">
        <f>IF(ISBLANK(H867),AVERAGEIF(Table1[Profession imputed],T867,Table1[Monthly_Income]),H867)</f>
        <v>4070</v>
      </c>
      <c r="V867" s="6" t="str">
        <f>PROPER(TRIM(Table1[AI_Tool]))</f>
        <v>Claude</v>
      </c>
      <c r="W867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68" spans="1:23" x14ac:dyDescent="0.25">
      <c r="A868" t="s">
        <v>353</v>
      </c>
      <c r="B868">
        <v>28</v>
      </c>
      <c r="C868" t="s">
        <v>22</v>
      </c>
      <c r="D868" t="s">
        <v>117</v>
      </c>
      <c r="E868" t="s">
        <v>24</v>
      </c>
      <c r="F868" t="s">
        <v>55</v>
      </c>
      <c r="G868" t="s">
        <v>346</v>
      </c>
      <c r="H868">
        <v>4087</v>
      </c>
      <c r="I868" t="s">
        <v>271</v>
      </c>
      <c r="J868" s="6" t="s">
        <v>38</v>
      </c>
      <c r="K868" s="15">
        <v>0.8</v>
      </c>
      <c r="L868" s="5">
        <v>0</v>
      </c>
      <c r="M868" s="15">
        <v>3.9</v>
      </c>
      <c r="N868">
        <v>4</v>
      </c>
      <c r="O868">
        <v>6</v>
      </c>
      <c r="P868">
        <v>4.3</v>
      </c>
      <c r="Q868">
        <v>9</v>
      </c>
      <c r="R868" s="2">
        <f>IF(ISBLANK(Table1[[#This Row],[Age]]),AVERAGE(Table1[Age]),Table1[[#This Row],[Age]])</f>
        <v>28</v>
      </c>
      <c r="S868" t="str">
        <f>PROPER(Table1[[#This Row],[Country]])</f>
        <v>United Kingdom</v>
      </c>
      <c r="T868" t="str">
        <f>TRIM(Table1[[#This Row],[Profession]])</f>
        <v>Content Strategist</v>
      </c>
      <c r="U868" s="5">
        <f>IF(ISBLANK(H868),AVERAGEIF(Table1[[#This Row],[Profession imputed]],T868,Table1[Monthly_Income]),H868)</f>
        <v>4087</v>
      </c>
      <c r="V868" s="6" t="str">
        <f>PROPER(TRIM(Table1[AI_Tool]))</f>
        <v>Chat Gpt</v>
      </c>
      <c r="W868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869" spans="1:23" x14ac:dyDescent="0.25">
      <c r="A869" t="s">
        <v>578</v>
      </c>
      <c r="B869">
        <v>31</v>
      </c>
      <c r="C869" t="s">
        <v>29</v>
      </c>
      <c r="D869" t="s">
        <v>574</v>
      </c>
      <c r="E869" t="s">
        <v>24</v>
      </c>
      <c r="F869" t="s">
        <v>25</v>
      </c>
      <c r="G869" t="s">
        <v>575</v>
      </c>
      <c r="H869">
        <v>4094</v>
      </c>
      <c r="I869" t="s">
        <v>271</v>
      </c>
      <c r="J869" s="6" t="s">
        <v>33</v>
      </c>
      <c r="K869" s="15">
        <v>1.2</v>
      </c>
      <c r="L869" s="5">
        <v>20</v>
      </c>
      <c r="M869" s="15">
        <v>3</v>
      </c>
      <c r="N869">
        <v>2</v>
      </c>
      <c r="O869">
        <v>5</v>
      </c>
      <c r="P869">
        <v>6.6</v>
      </c>
      <c r="Q869">
        <v>6.4</v>
      </c>
      <c r="R869" s="2">
        <f>IF(ISBLANK(Table1[[#This Row],[Age]]),AVERAGE(Table1[Age]),Table1[[#This Row],[Age]])</f>
        <v>31</v>
      </c>
      <c r="S869" t="str">
        <f>PROPER(Table1[[#This Row],[Country]])</f>
        <v>France</v>
      </c>
      <c r="T869" t="str">
        <f>TRIM(Table1[[#This Row],[Profession]])</f>
        <v>DeveloperFull Stack</v>
      </c>
      <c r="U869" s="5">
        <f>IF(ISBLANK(H869),AVERAGEIF(Table1[Profession imputed],T869,Table1[Monthly_Income]),H869)</f>
        <v>4094</v>
      </c>
      <c r="V869" s="6" t="str">
        <f>PROPER(TRIM(Table1[AI_Tool]))</f>
        <v>Chat Gpt</v>
      </c>
      <c r="W869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870" spans="1:23" x14ac:dyDescent="0.25">
      <c r="A870" t="s">
        <v>1142</v>
      </c>
      <c r="C870" t="s">
        <v>29</v>
      </c>
      <c r="D870" t="s">
        <v>117</v>
      </c>
      <c r="E870" t="s">
        <v>24</v>
      </c>
      <c r="F870" t="s">
        <v>25</v>
      </c>
      <c r="G870" t="s">
        <v>73</v>
      </c>
      <c r="H870">
        <v>4102</v>
      </c>
      <c r="I870" t="s">
        <v>1186</v>
      </c>
      <c r="J870" s="6" t="s">
        <v>75</v>
      </c>
      <c r="K870" s="15">
        <v>2.5</v>
      </c>
      <c r="L870" s="5">
        <v>10</v>
      </c>
      <c r="M870" s="15">
        <v>6.1</v>
      </c>
      <c r="N870">
        <v>5</v>
      </c>
      <c r="O870">
        <v>7</v>
      </c>
      <c r="P870">
        <v>5.6</v>
      </c>
      <c r="Q870">
        <v>7.5</v>
      </c>
      <c r="R870" s="2">
        <f>IF(ISBLANK(Table1[[#This Row],[Age]]),AVERAGE(Table1[Age]),Table1[[#This Row],[Age]])</f>
        <v>30.023333333333333</v>
      </c>
      <c r="S870" t="str">
        <f>PROPER(Table1[[#This Row],[Country]])</f>
        <v>United Kingdom</v>
      </c>
      <c r="T870" t="str">
        <f>TRIM(Table1[[#This Row],[Profession]])</f>
        <v>UNKNOWN</v>
      </c>
      <c r="U870" s="5">
        <f>IF(ISBLANK(H870),AVERAGEIF(Table1[[#This Row],[Profession imputed]],T870,Table1[Monthly_Income]),H870)</f>
        <v>4102</v>
      </c>
      <c r="V870" s="6" t="str">
        <f>PROPER(TRIM(Table1[AI_Tool]))</f>
        <v>Google Gemini</v>
      </c>
      <c r="W870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871" spans="1:23" x14ac:dyDescent="0.25">
      <c r="A871" t="s">
        <v>1028</v>
      </c>
      <c r="B871">
        <v>39</v>
      </c>
      <c r="C871" t="s">
        <v>29</v>
      </c>
      <c r="D871" t="s">
        <v>23</v>
      </c>
      <c r="E871" t="s">
        <v>24</v>
      </c>
      <c r="F871" t="s">
        <v>45</v>
      </c>
      <c r="G871" t="s">
        <v>1019</v>
      </c>
      <c r="H871">
        <v>4104</v>
      </c>
      <c r="I871" t="s">
        <v>139</v>
      </c>
      <c r="J871" s="6" t="s">
        <v>33</v>
      </c>
      <c r="K871" s="15">
        <v>2.9</v>
      </c>
      <c r="L871" s="5">
        <v>20</v>
      </c>
      <c r="M871" s="15">
        <v>7.8</v>
      </c>
      <c r="N871">
        <v>4</v>
      </c>
      <c r="O871">
        <v>6</v>
      </c>
      <c r="P871">
        <v>8.4</v>
      </c>
      <c r="Q871">
        <v>6.8</v>
      </c>
      <c r="R871" s="2">
        <f>IF(ISBLANK(Table1[[#This Row],[Age]]),AVERAGE(Table1[Age]),Table1[[#This Row],[Age]])</f>
        <v>39</v>
      </c>
      <c r="S871" t="str">
        <f>PROPER(Table1[[#This Row],[Country]])</f>
        <v>Germany</v>
      </c>
      <c r="T871" t="str">
        <f>TRIM(Table1[[#This Row],[Profession]])</f>
        <v>Software Developer</v>
      </c>
      <c r="U871" s="5">
        <f>IF(ISBLANK(H871),AVERAGEIF(Table1[[#This Row],[Profession imputed]],T871,Table1[Monthly_Income]),H871)</f>
        <v>4104</v>
      </c>
      <c r="V871" s="6" t="str">
        <f>PROPER(TRIM(Table1[AI_Tool]))</f>
        <v>Microsoft Copilot</v>
      </c>
      <c r="W871" s="8">
        <f>IF(ISBLANK(Table1[[#This Row],[Time_Saved_Hours_Per_Week]]),AVERAGEIF(Table1[Satisfaction_Score],Table1[[#This Row],[Satisfaction_Score]],Table1[Time_Saved_Hours_Per_Week]),Table1[[#This Row],[Time_Saved_Hours_Per_Week]])</f>
        <v>8.4</v>
      </c>
    </row>
    <row r="872" spans="1:23" x14ac:dyDescent="0.25">
      <c r="A872" t="s">
        <v>245</v>
      </c>
      <c r="B872">
        <v>53</v>
      </c>
      <c r="C872" t="s">
        <v>29</v>
      </c>
      <c r="D872" t="s">
        <v>44</v>
      </c>
      <c r="E872" t="s">
        <v>24</v>
      </c>
      <c r="F872" t="s">
        <v>25</v>
      </c>
      <c r="G872" t="s">
        <v>237</v>
      </c>
      <c r="H872">
        <v>4139</v>
      </c>
      <c r="I872" t="s">
        <v>58</v>
      </c>
      <c r="J872" s="6" t="s">
        <v>47</v>
      </c>
      <c r="K872" s="15">
        <v>2.7</v>
      </c>
      <c r="L872" s="5">
        <v>20</v>
      </c>
      <c r="M872" s="15">
        <v>6.8</v>
      </c>
      <c r="N872">
        <v>4</v>
      </c>
      <c r="O872">
        <v>7</v>
      </c>
      <c r="Q872">
        <v>10.7</v>
      </c>
      <c r="R872" s="2">
        <f>IF(ISBLANK(Table1[[#This Row],[Age]]),AVERAGE(Table1[Age]),Table1[[#This Row],[Age]])</f>
        <v>53</v>
      </c>
      <c r="S872" t="str">
        <f>PROPER(Table1[[#This Row],[Country]])</f>
        <v>United States</v>
      </c>
      <c r="T872" t="str">
        <f>TRIM(Table1[[#This Row],[Profession]])</f>
        <v>Business Analyst</v>
      </c>
      <c r="U872" s="5">
        <f>IF(ISBLANK(H872),AVERAGEIF(Table1[Profession imputed],T872,Table1[Monthly_Income]),H872)</f>
        <v>4139</v>
      </c>
      <c r="V872" s="6" t="str">
        <f>PROPER(TRIM(Table1[AI_Tool]))</f>
        <v>Claude</v>
      </c>
      <c r="W872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73" spans="1:23" x14ac:dyDescent="0.25">
      <c r="A873" t="s">
        <v>349</v>
      </c>
      <c r="B873">
        <v>26</v>
      </c>
      <c r="C873" t="s">
        <v>22</v>
      </c>
      <c r="D873" t="s">
        <v>117</v>
      </c>
      <c r="E873" t="s">
        <v>24</v>
      </c>
      <c r="F873" t="s">
        <v>55</v>
      </c>
      <c r="G873" t="s">
        <v>346</v>
      </c>
      <c r="H873">
        <v>4142</v>
      </c>
      <c r="I873" t="s">
        <v>271</v>
      </c>
      <c r="J873" s="6" t="s">
        <v>38</v>
      </c>
      <c r="K873" s="15">
        <v>0.8</v>
      </c>
      <c r="L873" s="5">
        <v>0</v>
      </c>
      <c r="M873" s="15">
        <v>3.9</v>
      </c>
      <c r="N873">
        <v>4</v>
      </c>
      <c r="O873">
        <v>6</v>
      </c>
      <c r="P873">
        <v>4.3</v>
      </c>
      <c r="Q873">
        <v>9</v>
      </c>
      <c r="R873" s="2">
        <f>IF(ISBLANK(Table1[[#This Row],[Age]]),AVERAGE(Table1[Age]),Table1[[#This Row],[Age]])</f>
        <v>26</v>
      </c>
      <c r="S873" t="str">
        <f>PROPER(Table1[[#This Row],[Country]])</f>
        <v>United Kingdom</v>
      </c>
      <c r="T873" t="str">
        <f>TRIM(Table1[[#This Row],[Profession]])</f>
        <v>Content Strategist</v>
      </c>
      <c r="U873" s="5">
        <f>IF(ISBLANK(H873),AVERAGEIF(Table1[[#This Row],[Profession imputed]],T873,Table1[Monthly_Income]),H873)</f>
        <v>4142</v>
      </c>
      <c r="V873" s="6" t="str">
        <f>PROPER(TRIM(Table1[AI_Tool]))</f>
        <v>Chat Gpt</v>
      </c>
      <c r="W873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874" spans="1:23" x14ac:dyDescent="0.25">
      <c r="A874" t="s">
        <v>347</v>
      </c>
      <c r="B874">
        <v>27</v>
      </c>
      <c r="C874" t="s">
        <v>22</v>
      </c>
      <c r="D874" t="s">
        <v>117</v>
      </c>
      <c r="E874" t="s">
        <v>24</v>
      </c>
      <c r="F874" t="s">
        <v>55</v>
      </c>
      <c r="G874" t="s">
        <v>346</v>
      </c>
      <c r="H874">
        <v>4186</v>
      </c>
      <c r="I874" t="s">
        <v>271</v>
      </c>
      <c r="J874" s="6" t="s">
        <v>38</v>
      </c>
      <c r="K874" s="15">
        <v>0.8</v>
      </c>
      <c r="L874" s="5">
        <v>0</v>
      </c>
      <c r="M874" s="15">
        <v>3.9</v>
      </c>
      <c r="N874">
        <v>4</v>
      </c>
      <c r="O874">
        <v>6</v>
      </c>
      <c r="P874">
        <v>4.3</v>
      </c>
      <c r="Q874">
        <v>9</v>
      </c>
      <c r="R874" s="2">
        <f>IF(ISBLANK(Table1[[#This Row],[Age]]),AVERAGE(Table1[Age]),Table1[[#This Row],[Age]])</f>
        <v>27</v>
      </c>
      <c r="S874" t="str">
        <f>PROPER(Table1[[#This Row],[Country]])</f>
        <v>United Kingdom</v>
      </c>
      <c r="T874" t="str">
        <f>TRIM(Table1[[#This Row],[Profession]])</f>
        <v>Content Strategist</v>
      </c>
      <c r="U874" s="5">
        <f>IF(ISBLANK(H874),AVERAGEIF(Table1[[#This Row],[Profession imputed]],T874,Table1[Monthly_Income]),H874)</f>
        <v>4186</v>
      </c>
      <c r="V874" s="6" t="str">
        <f>PROPER(TRIM(Table1[AI_Tool]))</f>
        <v>Chat Gpt</v>
      </c>
      <c r="W874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875" spans="1:23" x14ac:dyDescent="0.25">
      <c r="A875" t="s">
        <v>487</v>
      </c>
      <c r="B875">
        <v>33</v>
      </c>
      <c r="C875" t="s">
        <v>29</v>
      </c>
      <c r="D875" t="s">
        <v>23</v>
      </c>
      <c r="E875" t="s">
        <v>24</v>
      </c>
      <c r="F875" t="s">
        <v>50</v>
      </c>
      <c r="G875" t="s">
        <v>476</v>
      </c>
      <c r="H875">
        <v>4221</v>
      </c>
      <c r="I875" t="s">
        <v>58</v>
      </c>
      <c r="J875" s="6" t="s">
        <v>106</v>
      </c>
      <c r="K875" s="15">
        <v>1.3</v>
      </c>
      <c r="L875" s="5">
        <v>20</v>
      </c>
      <c r="M875" s="15">
        <v>2.7</v>
      </c>
      <c r="N875">
        <v>4</v>
      </c>
      <c r="O875">
        <v>4</v>
      </c>
      <c r="P875">
        <v>0.5</v>
      </c>
      <c r="Q875">
        <v>6.2</v>
      </c>
      <c r="R875" s="2">
        <f>IF(ISBLANK(Table1[[#This Row],[Age]]),AVERAGE(Table1[Age]),Table1[[#This Row],[Age]])</f>
        <v>33</v>
      </c>
      <c r="S875" t="str">
        <f>PROPER(Table1[[#This Row],[Country]])</f>
        <v>Germany</v>
      </c>
      <c r="T875" t="str">
        <f>TRIM(Table1[[#This Row],[Profession]])</f>
        <v>Data Analyst</v>
      </c>
      <c r="U875" s="5">
        <f>IF(ISBLANK(H875),AVERAGEIF(Table1[Profession imputed],T875,Table1[Monthly_Income]),H875)</f>
        <v>4221</v>
      </c>
      <c r="V875" s="6" t="str">
        <f>PROPER(TRIM(Table1[AI_Tool]))</f>
        <v>Claude</v>
      </c>
      <c r="W875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876" spans="1:23" x14ac:dyDescent="0.25">
      <c r="A876" t="s">
        <v>962</v>
      </c>
      <c r="B876">
        <v>33</v>
      </c>
      <c r="C876" t="s">
        <v>22</v>
      </c>
      <c r="D876" t="s">
        <v>92</v>
      </c>
      <c r="E876" t="s">
        <v>24</v>
      </c>
      <c r="F876" t="s">
        <v>31</v>
      </c>
      <c r="G876" t="s">
        <v>951</v>
      </c>
      <c r="H876">
        <v>4242</v>
      </c>
      <c r="I876" t="s">
        <v>139</v>
      </c>
      <c r="J876" s="6" t="s">
        <v>106</v>
      </c>
      <c r="K876" s="15">
        <v>4.9000000000000004</v>
      </c>
      <c r="L876" s="5">
        <v>20</v>
      </c>
      <c r="M876" s="15">
        <v>8.6</v>
      </c>
      <c r="N876">
        <v>4</v>
      </c>
      <c r="O876">
        <v>8</v>
      </c>
      <c r="P876">
        <v>10.7</v>
      </c>
      <c r="Q876">
        <v>12.4</v>
      </c>
      <c r="R876" s="2">
        <f>IF(ISBLANK(Table1[[#This Row],[Age]]),AVERAGE(Table1[Age]),Table1[[#This Row],[Age]])</f>
        <v>33</v>
      </c>
      <c r="S876" t="str">
        <f>PROPER(Table1[[#This Row],[Country]])</f>
        <v>Canada</v>
      </c>
      <c r="T876" t="str">
        <f>TRIM(Table1[[#This Row],[Profession]])</f>
        <v>Senior Data Scientist</v>
      </c>
      <c r="U876" s="5">
        <f>IF(ISBLANK(H876),AVERAGEIF(Table1[[#This Row],[Profession imputed]],T876,Table1[Monthly_Income]),H876)</f>
        <v>4242</v>
      </c>
      <c r="V876" s="6" t="str">
        <f>PROPER(TRIM(Table1[AI_Tool]))</f>
        <v>Microsoft Copilot</v>
      </c>
      <c r="W876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877" spans="1:23" x14ac:dyDescent="0.25">
      <c r="A877" t="s">
        <v>959</v>
      </c>
      <c r="B877">
        <v>29</v>
      </c>
      <c r="C877" t="s">
        <v>22</v>
      </c>
      <c r="D877" t="s">
        <v>92</v>
      </c>
      <c r="E877" t="s">
        <v>24</v>
      </c>
      <c r="F877" t="s">
        <v>31</v>
      </c>
      <c r="G877" t="s">
        <v>951</v>
      </c>
      <c r="H877">
        <v>4301</v>
      </c>
      <c r="I877" t="s">
        <v>139</v>
      </c>
      <c r="J877" s="6" t="s">
        <v>106</v>
      </c>
      <c r="K877" s="15">
        <v>4.9000000000000004</v>
      </c>
      <c r="L877" s="5">
        <v>20</v>
      </c>
      <c r="M877" s="15">
        <v>8.6</v>
      </c>
      <c r="N877">
        <v>4</v>
      </c>
      <c r="O877">
        <v>8</v>
      </c>
      <c r="P877">
        <v>10.7</v>
      </c>
      <c r="Q877">
        <v>12.4</v>
      </c>
      <c r="R877" s="2">
        <f>IF(ISBLANK(Table1[[#This Row],[Age]]),AVERAGE(Table1[Age]),Table1[[#This Row],[Age]])</f>
        <v>29</v>
      </c>
      <c r="S877" t="str">
        <f>PROPER(Table1[[#This Row],[Country]])</f>
        <v>Canada</v>
      </c>
      <c r="T877" t="str">
        <f>TRIM(Table1[[#This Row],[Profession]])</f>
        <v>Senior Data Scientist</v>
      </c>
      <c r="U877" s="5">
        <f>IF(ISBLANK(H877),AVERAGEIF(Table1[[#This Row],[Profession imputed]],T877,Table1[Monthly_Income]),H877)</f>
        <v>4301</v>
      </c>
      <c r="V877" s="6" t="str">
        <f>PROPER(TRIM(Table1[AI_Tool]))</f>
        <v>Microsoft Copilot</v>
      </c>
      <c r="W877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878" spans="1:23" x14ac:dyDescent="0.25">
      <c r="A878" t="s">
        <v>248</v>
      </c>
      <c r="B878">
        <v>53</v>
      </c>
      <c r="C878" t="s">
        <v>29</v>
      </c>
      <c r="D878" t="s">
        <v>44</v>
      </c>
      <c r="E878" t="s">
        <v>24</v>
      </c>
      <c r="F878" t="s">
        <v>25</v>
      </c>
      <c r="G878" t="s">
        <v>237</v>
      </c>
      <c r="H878">
        <v>4305</v>
      </c>
      <c r="I878" t="s">
        <v>58</v>
      </c>
      <c r="J878" s="6" t="s">
        <v>47</v>
      </c>
      <c r="K878" s="15">
        <v>2.7</v>
      </c>
      <c r="L878" s="5">
        <v>20</v>
      </c>
      <c r="M878" s="15">
        <v>6.8</v>
      </c>
      <c r="N878">
        <v>4</v>
      </c>
      <c r="O878">
        <v>7</v>
      </c>
      <c r="Q878">
        <v>10.7</v>
      </c>
      <c r="R878" s="2">
        <f>IF(ISBLANK(Table1[[#This Row],[Age]]),AVERAGE(Table1[Age]),Table1[[#This Row],[Age]])</f>
        <v>53</v>
      </c>
      <c r="S878" t="str">
        <f>PROPER(Table1[[#This Row],[Country]])</f>
        <v>United States</v>
      </c>
      <c r="T878" t="str">
        <f>TRIM(Table1[[#This Row],[Profession]])</f>
        <v>Business Analyst</v>
      </c>
      <c r="U878" s="5">
        <f>IF(ISBLANK(H878),AVERAGEIF(Table1[Profession imputed],T878,Table1[Monthly_Income]),H878)</f>
        <v>4305</v>
      </c>
      <c r="V878" s="6" t="str">
        <f>PROPER(TRIM(Table1[AI_Tool]))</f>
        <v>Claude</v>
      </c>
      <c r="W878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79" spans="1:23" x14ac:dyDescent="0.25">
      <c r="A879" t="s">
        <v>244</v>
      </c>
      <c r="B879">
        <v>57</v>
      </c>
      <c r="C879" t="s">
        <v>29</v>
      </c>
      <c r="D879" t="s">
        <v>44</v>
      </c>
      <c r="E879" t="s">
        <v>24</v>
      </c>
      <c r="F879" t="s">
        <v>25</v>
      </c>
      <c r="G879" t="s">
        <v>237</v>
      </c>
      <c r="H879">
        <v>4309</v>
      </c>
      <c r="I879" t="s">
        <v>58</v>
      </c>
      <c r="J879" s="6" t="s">
        <v>47</v>
      </c>
      <c r="K879" s="15">
        <v>2.7</v>
      </c>
      <c r="L879" s="5">
        <v>20</v>
      </c>
      <c r="M879" s="15">
        <v>6.8</v>
      </c>
      <c r="N879">
        <v>4</v>
      </c>
      <c r="O879">
        <v>7</v>
      </c>
      <c r="Q879">
        <v>10.7</v>
      </c>
      <c r="R879" s="2">
        <f>IF(ISBLANK(Table1[[#This Row],[Age]]),AVERAGE(Table1[Age]),Table1[[#This Row],[Age]])</f>
        <v>57</v>
      </c>
      <c r="S879" t="str">
        <f>PROPER(Table1[[#This Row],[Country]])</f>
        <v>United States</v>
      </c>
      <c r="T879" t="str">
        <f>TRIM(Table1[[#This Row],[Profession]])</f>
        <v>Business Analyst</v>
      </c>
      <c r="U879" s="5">
        <f>IF(ISBLANK(H879),AVERAGEIF(Table1[Profession imputed],T879,Table1[Monthly_Income]),H879)</f>
        <v>4309</v>
      </c>
      <c r="V879" s="6" t="str">
        <f>PROPER(TRIM(Table1[AI_Tool]))</f>
        <v>Claude</v>
      </c>
      <c r="W879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80" spans="1:23" x14ac:dyDescent="0.25">
      <c r="A880" t="s">
        <v>579</v>
      </c>
      <c r="B880">
        <v>32</v>
      </c>
      <c r="C880" t="s">
        <v>29</v>
      </c>
      <c r="D880" t="s">
        <v>574</v>
      </c>
      <c r="E880" t="s">
        <v>24</v>
      </c>
      <c r="F880" t="s">
        <v>25</v>
      </c>
      <c r="G880" t="s">
        <v>575</v>
      </c>
      <c r="H880">
        <v>4331</v>
      </c>
      <c r="I880" t="s">
        <v>271</v>
      </c>
      <c r="J880" s="6" t="s">
        <v>33</v>
      </c>
      <c r="K880" s="15">
        <v>1.2</v>
      </c>
      <c r="L880" s="5">
        <v>20</v>
      </c>
      <c r="M880" s="15">
        <v>3</v>
      </c>
      <c r="N880">
        <v>2</v>
      </c>
      <c r="O880">
        <v>5</v>
      </c>
      <c r="P880">
        <v>6.6</v>
      </c>
      <c r="Q880">
        <v>6.4</v>
      </c>
      <c r="R880" s="2">
        <f>IF(ISBLANK(Table1[[#This Row],[Age]]),AVERAGE(Table1[Age]),Table1[[#This Row],[Age]])</f>
        <v>32</v>
      </c>
      <c r="S880" t="str">
        <f>PROPER(Table1[[#This Row],[Country]])</f>
        <v>France</v>
      </c>
      <c r="T880" t="str">
        <f>TRIM(Table1[[#This Row],[Profession]])</f>
        <v>DeveloperFull Stack</v>
      </c>
      <c r="U880" s="5">
        <f>IF(ISBLANK(H880),AVERAGEIF(Table1[Profession imputed],T880,Table1[Monthly_Income]),H880)</f>
        <v>4331</v>
      </c>
      <c r="V880" s="6" t="str">
        <f>PROPER(TRIM(Table1[AI_Tool]))</f>
        <v>Chat Gpt</v>
      </c>
      <c r="W880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881" spans="1:23" x14ac:dyDescent="0.25">
      <c r="A881" t="s">
        <v>246</v>
      </c>
      <c r="B881">
        <v>54</v>
      </c>
      <c r="C881" t="s">
        <v>29</v>
      </c>
      <c r="D881" t="s">
        <v>44</v>
      </c>
      <c r="E881" t="s">
        <v>24</v>
      </c>
      <c r="F881" t="s">
        <v>25</v>
      </c>
      <c r="G881" t="s">
        <v>237</v>
      </c>
      <c r="H881">
        <v>4432</v>
      </c>
      <c r="I881" t="s">
        <v>58</v>
      </c>
      <c r="J881" s="6" t="s">
        <v>47</v>
      </c>
      <c r="K881" s="15">
        <v>2.7</v>
      </c>
      <c r="L881" s="5">
        <v>20</v>
      </c>
      <c r="M881" s="15">
        <v>6.8</v>
      </c>
      <c r="N881">
        <v>4</v>
      </c>
      <c r="O881">
        <v>7</v>
      </c>
      <c r="Q881">
        <v>10.7</v>
      </c>
      <c r="R881" s="2">
        <f>IF(ISBLANK(Table1[[#This Row],[Age]]),AVERAGE(Table1[Age]),Table1[[#This Row],[Age]])</f>
        <v>54</v>
      </c>
      <c r="S881" t="str">
        <f>PROPER(Table1[[#This Row],[Country]])</f>
        <v>United States</v>
      </c>
      <c r="T881" t="str">
        <f>TRIM(Table1[[#This Row],[Profession]])</f>
        <v>Business Analyst</v>
      </c>
      <c r="U881" s="5">
        <f>IF(ISBLANK(H881),AVERAGEIF(Table1[Profession imputed],T881,Table1[Monthly_Income]),H881)</f>
        <v>4432</v>
      </c>
      <c r="V881" s="6" t="str">
        <f>PROPER(TRIM(Table1[AI_Tool]))</f>
        <v>Claude</v>
      </c>
      <c r="W881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82" spans="1:23" x14ac:dyDescent="0.25">
      <c r="A882" t="s">
        <v>573</v>
      </c>
      <c r="B882">
        <v>32</v>
      </c>
      <c r="C882" t="s">
        <v>29</v>
      </c>
      <c r="D882" t="s">
        <v>574</v>
      </c>
      <c r="E882" t="s">
        <v>24</v>
      </c>
      <c r="F882" t="s">
        <v>25</v>
      </c>
      <c r="G882" t="s">
        <v>575</v>
      </c>
      <c r="H882">
        <v>4466</v>
      </c>
      <c r="I882" t="s">
        <v>271</v>
      </c>
      <c r="J882" s="6" t="s">
        <v>33</v>
      </c>
      <c r="K882" s="15">
        <v>1.2</v>
      </c>
      <c r="L882" s="5">
        <v>20</v>
      </c>
      <c r="M882" s="15">
        <v>3</v>
      </c>
      <c r="N882">
        <v>2</v>
      </c>
      <c r="O882">
        <v>5</v>
      </c>
      <c r="P882">
        <v>6.6</v>
      </c>
      <c r="Q882">
        <v>6.4</v>
      </c>
      <c r="R882" s="2">
        <f>IF(ISBLANK(Table1[[#This Row],[Age]]),AVERAGE(Table1[Age]),Table1[[#This Row],[Age]])</f>
        <v>32</v>
      </c>
      <c r="S882" t="str">
        <f>PROPER(Table1[[#This Row],[Country]])</f>
        <v>France</v>
      </c>
      <c r="T882" t="str">
        <f>TRIM(Table1[[#This Row],[Profession]])</f>
        <v>DeveloperFull Stack</v>
      </c>
      <c r="U882" s="5">
        <f>IF(ISBLANK(H882),AVERAGEIF(Table1[Profession imputed],T882,Table1[Monthly_Income]),H882)</f>
        <v>4466</v>
      </c>
      <c r="V882" s="6" t="str">
        <f>PROPER(TRIM(Table1[AI_Tool]))</f>
        <v>Chat Gpt</v>
      </c>
      <c r="W882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883" spans="1:23" x14ac:dyDescent="0.25">
      <c r="A883" t="s">
        <v>243</v>
      </c>
      <c r="B883">
        <v>53</v>
      </c>
      <c r="C883" t="s">
        <v>29</v>
      </c>
      <c r="D883" t="s">
        <v>44</v>
      </c>
      <c r="E883" t="s">
        <v>24</v>
      </c>
      <c r="F883" t="s">
        <v>25</v>
      </c>
      <c r="G883" t="s">
        <v>237</v>
      </c>
      <c r="H883">
        <v>4483</v>
      </c>
      <c r="I883" t="s">
        <v>58</v>
      </c>
      <c r="J883" s="6" t="s">
        <v>47</v>
      </c>
      <c r="K883" s="15">
        <v>2.7</v>
      </c>
      <c r="L883" s="5">
        <v>20</v>
      </c>
      <c r="M883" s="15">
        <v>6.8</v>
      </c>
      <c r="N883">
        <v>4</v>
      </c>
      <c r="O883">
        <v>7</v>
      </c>
      <c r="Q883">
        <v>10.7</v>
      </c>
      <c r="R883" s="2">
        <f>IF(ISBLANK(Table1[[#This Row],[Age]]),AVERAGE(Table1[Age]),Table1[[#This Row],[Age]])</f>
        <v>53</v>
      </c>
      <c r="S883" t="str">
        <f>PROPER(Table1[[#This Row],[Country]])</f>
        <v>United States</v>
      </c>
      <c r="T883" t="str">
        <f>TRIM(Table1[[#This Row],[Profession]])</f>
        <v>Business Analyst</v>
      </c>
      <c r="U883" s="5">
        <f>IF(ISBLANK(H883),AVERAGEIF(Table1[Profession imputed],T883,Table1[Monthly_Income]),H883)</f>
        <v>4483</v>
      </c>
      <c r="V883" s="6" t="str">
        <f>PROPER(TRIM(Table1[AI_Tool]))</f>
        <v>Claude</v>
      </c>
      <c r="W883" s="8">
        <f>IF(ISBLANK(Table1[[#This Row],[Time_Saved_Hours_Per_Week]]),AVERAGEIF(Table1[Satisfaction_Score],Table1[[#This Row],[Satisfaction_Score]],Table1[Time_Saved_Hours_Per_Week]),Table1[[#This Row],[Time_Saved_Hours_Per_Week]])</f>
        <v>5.8880829015544043</v>
      </c>
    </row>
    <row r="884" spans="1:23" x14ac:dyDescent="0.25">
      <c r="A884" t="s">
        <v>480</v>
      </c>
      <c r="B884">
        <v>32</v>
      </c>
      <c r="C884" t="s">
        <v>29</v>
      </c>
      <c r="D884" t="s">
        <v>23</v>
      </c>
      <c r="E884" t="s">
        <v>24</v>
      </c>
      <c r="F884" t="s">
        <v>50</v>
      </c>
      <c r="G884" t="s">
        <v>476</v>
      </c>
      <c r="H884">
        <v>4499</v>
      </c>
      <c r="I884" t="s">
        <v>58</v>
      </c>
      <c r="J884" s="6" t="s">
        <v>106</v>
      </c>
      <c r="K884" s="15">
        <v>1.3</v>
      </c>
      <c r="L884" s="5">
        <v>20</v>
      </c>
      <c r="M884" s="15">
        <v>2.7</v>
      </c>
      <c r="N884">
        <v>4</v>
      </c>
      <c r="O884">
        <v>4</v>
      </c>
      <c r="P884">
        <v>0.5</v>
      </c>
      <c r="Q884">
        <v>6.2</v>
      </c>
      <c r="R884" s="2">
        <f>IF(ISBLANK(Table1[[#This Row],[Age]]),AVERAGE(Table1[Age]),Table1[[#This Row],[Age]])</f>
        <v>32</v>
      </c>
      <c r="S884" t="str">
        <f>PROPER(Table1[[#This Row],[Country]])</f>
        <v>Germany</v>
      </c>
      <c r="T884" t="str">
        <f>TRIM(Table1[[#This Row],[Profession]])</f>
        <v>Data Analyst</v>
      </c>
      <c r="U884" s="5">
        <f>IF(ISBLANK(H884),AVERAGEIF(Table1[Profession imputed],T884,Table1[Monthly_Income]),H884)</f>
        <v>4499</v>
      </c>
      <c r="V884" s="6" t="str">
        <f>PROPER(TRIM(Table1[AI_Tool]))</f>
        <v>Claude</v>
      </c>
      <c r="W884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885" spans="1:23" x14ac:dyDescent="0.25">
      <c r="A885" t="s">
        <v>953</v>
      </c>
      <c r="B885">
        <v>33</v>
      </c>
      <c r="C885" t="s">
        <v>22</v>
      </c>
      <c r="D885" t="s">
        <v>92</v>
      </c>
      <c r="E885" t="s">
        <v>24</v>
      </c>
      <c r="F885" t="s">
        <v>31</v>
      </c>
      <c r="G885" t="s">
        <v>951</v>
      </c>
      <c r="H885">
        <v>4515</v>
      </c>
      <c r="I885" t="s">
        <v>139</v>
      </c>
      <c r="J885" s="6" t="s">
        <v>106</v>
      </c>
      <c r="K885" s="15">
        <v>4.9000000000000004</v>
      </c>
      <c r="L885" s="5">
        <v>20</v>
      </c>
      <c r="M885" s="15">
        <v>8.6</v>
      </c>
      <c r="N885">
        <v>4</v>
      </c>
      <c r="O885">
        <v>8</v>
      </c>
      <c r="P885">
        <v>10.7</v>
      </c>
      <c r="Q885">
        <v>12.4</v>
      </c>
      <c r="R885" s="2">
        <f>IF(ISBLANK(Table1[[#This Row],[Age]]),AVERAGE(Table1[Age]),Table1[[#This Row],[Age]])</f>
        <v>33</v>
      </c>
      <c r="S885" t="str">
        <f>PROPER(Table1[[#This Row],[Country]])</f>
        <v>Canada</v>
      </c>
      <c r="T885" t="str">
        <f>TRIM(Table1[[#This Row],[Profession]])</f>
        <v>Senior Data Scientist</v>
      </c>
      <c r="U885" s="5">
        <f>IF(ISBLANK(H885),AVERAGEIF(Table1[[#This Row],[Profession imputed]],T885,Table1[Monthly_Income]),H885)</f>
        <v>4515</v>
      </c>
      <c r="V885" s="6" t="str">
        <f>PROPER(TRIM(Table1[AI_Tool]))</f>
        <v>Microsoft Copilot</v>
      </c>
      <c r="W885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886" spans="1:23" x14ac:dyDescent="0.25">
      <c r="A886" t="s">
        <v>386</v>
      </c>
      <c r="B886">
        <v>30</v>
      </c>
      <c r="C886" t="s">
        <v>29</v>
      </c>
      <c r="D886" t="s">
        <v>44</v>
      </c>
      <c r="E886" t="s">
        <v>24</v>
      </c>
      <c r="F886" t="s">
        <v>25</v>
      </c>
      <c r="G886" t="s">
        <v>367</v>
      </c>
      <c r="H886">
        <v>4591</v>
      </c>
      <c r="I886" t="s">
        <v>271</v>
      </c>
      <c r="J886" s="6" t="s">
        <v>38</v>
      </c>
      <c r="K886" s="15">
        <v>1.6</v>
      </c>
      <c r="L886" s="5">
        <v>0</v>
      </c>
      <c r="M886" s="15">
        <v>3.9</v>
      </c>
      <c r="N886">
        <v>4</v>
      </c>
      <c r="O886">
        <v>5</v>
      </c>
      <c r="P886">
        <v>5.2</v>
      </c>
      <c r="Q886">
        <v>6.7</v>
      </c>
      <c r="R886" s="2">
        <f>IF(ISBLANK(Table1[[#This Row],[Age]]),AVERAGE(Table1[Age]),Table1[[#This Row],[Age]])</f>
        <v>30</v>
      </c>
      <c r="S886" t="str">
        <f>PROPER(Table1[[#This Row],[Country]])</f>
        <v>United States</v>
      </c>
      <c r="T886" t="str">
        <f>TRIM(Table1[[#This Row],[Profession]])</f>
        <v>Content Writer</v>
      </c>
      <c r="U886" s="5">
        <f>IF(ISBLANK(H886),AVERAGEIF(Table1[[#This Row],[Profession imputed]],T886,Table1[Monthly_Income]),H886)</f>
        <v>4591</v>
      </c>
      <c r="V886" s="6" t="str">
        <f>PROPER(TRIM(Table1[AI_Tool]))</f>
        <v>Chat Gpt</v>
      </c>
      <c r="W886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887" spans="1:23" x14ac:dyDescent="0.25">
      <c r="A887" t="s">
        <v>240</v>
      </c>
      <c r="B887">
        <v>28</v>
      </c>
      <c r="C887" t="s">
        <v>29</v>
      </c>
      <c r="D887" t="s">
        <v>117</v>
      </c>
      <c r="E887" t="s">
        <v>24</v>
      </c>
      <c r="F887" t="s">
        <v>55</v>
      </c>
      <c r="G887" t="s">
        <v>237</v>
      </c>
      <c r="H887">
        <v>4649</v>
      </c>
      <c r="I887" t="s">
        <v>271</v>
      </c>
      <c r="J887" s="6" t="s">
        <v>47</v>
      </c>
      <c r="K887" s="15">
        <v>2</v>
      </c>
      <c r="L887" s="5">
        <v>0</v>
      </c>
      <c r="M887" s="15">
        <v>5.3</v>
      </c>
      <c r="N887">
        <v>4</v>
      </c>
      <c r="O887">
        <v>7</v>
      </c>
      <c r="P887">
        <v>3.9</v>
      </c>
      <c r="Q887">
        <v>7.3</v>
      </c>
      <c r="R887" s="2">
        <f>IF(ISBLANK(Table1[[#This Row],[Age]]),AVERAGE(Table1[Age]),Table1[[#This Row],[Age]])</f>
        <v>28</v>
      </c>
      <c r="S887" t="str">
        <f>PROPER(Table1[[#This Row],[Country]])</f>
        <v>United Kingdom</v>
      </c>
      <c r="T887" t="str">
        <f>TRIM(Table1[[#This Row],[Profession]])</f>
        <v>Business Analyst</v>
      </c>
      <c r="U887" s="5">
        <f>IF(ISBLANK(H887),AVERAGEIF(Table1[Profession imputed],T887,Table1[Monthly_Income]),H887)</f>
        <v>4649</v>
      </c>
      <c r="V887" s="6" t="str">
        <f>PROPER(TRIM(Table1[AI_Tool]))</f>
        <v>Chat Gpt</v>
      </c>
      <c r="W887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888" spans="1:23" x14ac:dyDescent="0.25">
      <c r="A888" t="s">
        <v>576</v>
      </c>
      <c r="B888">
        <v>33</v>
      </c>
      <c r="C888" t="s">
        <v>29</v>
      </c>
      <c r="D888" t="s">
        <v>574</v>
      </c>
      <c r="E888" t="s">
        <v>24</v>
      </c>
      <c r="F888" t="s">
        <v>25</v>
      </c>
      <c r="G888" t="s">
        <v>575</v>
      </c>
      <c r="H888">
        <v>4705</v>
      </c>
      <c r="I888" t="s">
        <v>271</v>
      </c>
      <c r="J888" s="6" t="s">
        <v>33</v>
      </c>
      <c r="K888" s="15">
        <v>1.2</v>
      </c>
      <c r="L888" s="5">
        <v>20</v>
      </c>
      <c r="M888" s="15">
        <v>3</v>
      </c>
      <c r="N888">
        <v>2</v>
      </c>
      <c r="O888">
        <v>5</v>
      </c>
      <c r="P888">
        <v>6.6</v>
      </c>
      <c r="Q888">
        <v>6.4</v>
      </c>
      <c r="R888" s="2">
        <f>IF(ISBLANK(Table1[[#This Row],[Age]]),AVERAGE(Table1[Age]),Table1[[#This Row],[Age]])</f>
        <v>33</v>
      </c>
      <c r="S888" t="str">
        <f>PROPER(Table1[[#This Row],[Country]])</f>
        <v>France</v>
      </c>
      <c r="T888" t="str">
        <f>TRIM(Table1[[#This Row],[Profession]])</f>
        <v>DeveloperFull Stack</v>
      </c>
      <c r="U888" s="5">
        <f>IF(ISBLANK(H888),AVERAGEIF(Table1[Profession imputed],T888,Table1[Monthly_Income]),H888)</f>
        <v>4705</v>
      </c>
      <c r="V888" s="6" t="str">
        <f>PROPER(TRIM(Table1[AI_Tool]))</f>
        <v>Chat Gpt</v>
      </c>
      <c r="W888" s="8">
        <f>IF(ISBLANK(Table1[[#This Row],[Time_Saved_Hours_Per_Week]]),AVERAGEIF(Table1[Satisfaction_Score],Table1[[#This Row],[Satisfaction_Score]],Table1[Time_Saved_Hours_Per_Week]),Table1[[#This Row],[Time_Saved_Hours_Per_Week]])</f>
        <v>6.6</v>
      </c>
    </row>
    <row r="889" spans="1:23" x14ac:dyDescent="0.25">
      <c r="A889" t="s">
        <v>383</v>
      </c>
      <c r="B889">
        <v>30</v>
      </c>
      <c r="C889" t="s">
        <v>29</v>
      </c>
      <c r="D889" t="s">
        <v>44</v>
      </c>
      <c r="E889" t="s">
        <v>24</v>
      </c>
      <c r="F889" t="s">
        <v>25</v>
      </c>
      <c r="G889" t="s">
        <v>367</v>
      </c>
      <c r="H889">
        <v>4728</v>
      </c>
      <c r="I889" t="s">
        <v>271</v>
      </c>
      <c r="J889" s="6" t="s">
        <v>38</v>
      </c>
      <c r="K889" s="15">
        <v>1.6</v>
      </c>
      <c r="L889" s="5">
        <v>0</v>
      </c>
      <c r="M889" s="15">
        <v>3.9</v>
      </c>
      <c r="N889">
        <v>4</v>
      </c>
      <c r="O889">
        <v>5</v>
      </c>
      <c r="P889">
        <v>5.2</v>
      </c>
      <c r="Q889">
        <v>6.7</v>
      </c>
      <c r="R889" s="2">
        <f>IF(ISBLANK(Table1[[#This Row],[Age]]),AVERAGE(Table1[Age]),Table1[[#This Row],[Age]])</f>
        <v>30</v>
      </c>
      <c r="S889" t="str">
        <f>PROPER(Table1[[#This Row],[Country]])</f>
        <v>United States</v>
      </c>
      <c r="T889" t="str">
        <f>TRIM(Table1[[#This Row],[Profession]])</f>
        <v>Content Writer</v>
      </c>
      <c r="U889" s="5">
        <f>IF(ISBLANK(H889),AVERAGEIF(Table1[[#This Row],[Profession imputed]],T889,Table1[Monthly_Income]),H889)</f>
        <v>4728</v>
      </c>
      <c r="V889" s="6" t="str">
        <f>PROPER(TRIM(Table1[AI_Tool]))</f>
        <v>Chat Gpt</v>
      </c>
      <c r="W889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890" spans="1:23" x14ac:dyDescent="0.25">
      <c r="A890" t="s">
        <v>957</v>
      </c>
      <c r="B890">
        <v>30</v>
      </c>
      <c r="C890" t="s">
        <v>22</v>
      </c>
      <c r="D890" t="s">
        <v>92</v>
      </c>
      <c r="E890" t="s">
        <v>24</v>
      </c>
      <c r="F890" t="s">
        <v>31</v>
      </c>
      <c r="G890" t="s">
        <v>951</v>
      </c>
      <c r="H890">
        <v>4768</v>
      </c>
      <c r="I890" t="s">
        <v>139</v>
      </c>
      <c r="J890" s="6" t="s">
        <v>106</v>
      </c>
      <c r="K890" s="15">
        <v>4.9000000000000004</v>
      </c>
      <c r="L890" s="5">
        <v>20</v>
      </c>
      <c r="M890" s="15">
        <v>8.6</v>
      </c>
      <c r="N890">
        <v>4</v>
      </c>
      <c r="O890">
        <v>8</v>
      </c>
      <c r="P890">
        <v>10.7</v>
      </c>
      <c r="Q890">
        <v>12.4</v>
      </c>
      <c r="R890" s="2">
        <f>IF(ISBLANK(Table1[[#This Row],[Age]]),AVERAGE(Table1[Age]),Table1[[#This Row],[Age]])</f>
        <v>30</v>
      </c>
      <c r="S890" t="str">
        <f>PROPER(Table1[[#This Row],[Country]])</f>
        <v>Canada</v>
      </c>
      <c r="T890" t="str">
        <f>TRIM(Table1[[#This Row],[Profession]])</f>
        <v>Senior Data Scientist</v>
      </c>
      <c r="U890" s="5">
        <f>IF(ISBLANK(H890),AVERAGEIF(Table1[[#This Row],[Profession imputed]],T890,Table1[Monthly_Income]),H890)</f>
        <v>4768</v>
      </c>
      <c r="V890" s="6" t="str">
        <f>PROPER(TRIM(Table1[AI_Tool]))</f>
        <v>Microsoft Copilot</v>
      </c>
      <c r="W890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891" spans="1:23" x14ac:dyDescent="0.25">
      <c r="A891" t="s">
        <v>952</v>
      </c>
      <c r="B891">
        <v>31</v>
      </c>
      <c r="C891" t="s">
        <v>22</v>
      </c>
      <c r="D891" t="s">
        <v>92</v>
      </c>
      <c r="E891" t="s">
        <v>24</v>
      </c>
      <c r="F891" t="s">
        <v>31</v>
      </c>
      <c r="G891" t="s">
        <v>951</v>
      </c>
      <c r="H891">
        <v>4815</v>
      </c>
      <c r="I891" t="s">
        <v>139</v>
      </c>
      <c r="J891" s="6" t="s">
        <v>106</v>
      </c>
      <c r="K891" s="15">
        <v>4.9000000000000004</v>
      </c>
      <c r="L891" s="5">
        <v>20</v>
      </c>
      <c r="M891" s="15">
        <v>8.6</v>
      </c>
      <c r="N891">
        <v>4</v>
      </c>
      <c r="O891">
        <v>8</v>
      </c>
      <c r="P891">
        <v>10.7</v>
      </c>
      <c r="Q891">
        <v>12.4</v>
      </c>
      <c r="R891" s="2">
        <f>IF(ISBLANK(Table1[[#This Row],[Age]]),AVERAGE(Table1[Age]),Table1[[#This Row],[Age]])</f>
        <v>31</v>
      </c>
      <c r="S891" t="str">
        <f>PROPER(Table1[[#This Row],[Country]])</f>
        <v>Canada</v>
      </c>
      <c r="T891" t="str">
        <f>TRIM(Table1[[#This Row],[Profession]])</f>
        <v>Senior Data Scientist</v>
      </c>
      <c r="U891" s="5">
        <f>IF(ISBLANK(H891),AVERAGEIF(Table1[[#This Row],[Profession imputed]],T891,Table1[Monthly_Income]),H891)</f>
        <v>4815</v>
      </c>
      <c r="V891" s="6" t="str">
        <f>PROPER(TRIM(Table1[AI_Tool]))</f>
        <v>Microsoft Copilot</v>
      </c>
      <c r="W891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892" spans="1:23" x14ac:dyDescent="0.25">
      <c r="A892" t="s">
        <v>452</v>
      </c>
      <c r="B892">
        <v>47</v>
      </c>
      <c r="C892" t="s">
        <v>22</v>
      </c>
      <c r="D892" t="s">
        <v>117</v>
      </c>
      <c r="E892" t="s">
        <v>24</v>
      </c>
      <c r="F892" t="s">
        <v>25</v>
      </c>
      <c r="G892" t="s">
        <v>441</v>
      </c>
      <c r="H892">
        <v>4842</v>
      </c>
      <c r="I892" t="s">
        <v>271</v>
      </c>
      <c r="J892" s="6" t="s">
        <v>27</v>
      </c>
      <c r="K892" s="15">
        <v>0.9</v>
      </c>
      <c r="L892" s="5">
        <v>25</v>
      </c>
      <c r="M892" s="15">
        <v>4.0999999999999996</v>
      </c>
      <c r="N892">
        <v>5</v>
      </c>
      <c r="O892">
        <v>6</v>
      </c>
      <c r="P892">
        <v>3.9</v>
      </c>
      <c r="Q892">
        <v>5.9</v>
      </c>
      <c r="R892" s="2">
        <f>IF(ISBLANK(Table1[[#This Row],[Age]]),AVERAGE(Table1[Age]),Table1[[#This Row],[Age]])</f>
        <v>47</v>
      </c>
      <c r="S892" t="str">
        <f>PROPER(Table1[[#This Row],[Country]])</f>
        <v>United Kingdom</v>
      </c>
      <c r="T892" t="str">
        <f>TRIM(Table1[[#This Row],[Profession]])</f>
        <v>Customer Support Manager</v>
      </c>
      <c r="U892" s="5">
        <f>IF(ISBLANK(H892),AVERAGEIF(Table1[Profession imputed],T892,Table1[Monthly_Income]),H892)</f>
        <v>4842</v>
      </c>
      <c r="V892" s="6" t="str">
        <f>PROPER(TRIM(Table1[AI_Tool]))</f>
        <v>Chat Gpt</v>
      </c>
      <c r="W892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893" spans="1:23" x14ac:dyDescent="0.25">
      <c r="A893" t="s">
        <v>360</v>
      </c>
      <c r="B893">
        <v>36</v>
      </c>
      <c r="C893" t="s">
        <v>22</v>
      </c>
      <c r="D893" t="s">
        <v>44</v>
      </c>
      <c r="E893" t="s">
        <v>24</v>
      </c>
      <c r="F893" t="s">
        <v>55</v>
      </c>
      <c r="G893" t="s">
        <v>358</v>
      </c>
      <c r="H893">
        <v>4935</v>
      </c>
      <c r="I893" t="s">
        <v>271</v>
      </c>
      <c r="J893" s="6" t="s">
        <v>38</v>
      </c>
      <c r="K893" s="15">
        <v>8</v>
      </c>
      <c r="L893" s="5">
        <v>0</v>
      </c>
      <c r="M893" s="15">
        <v>7.3</v>
      </c>
      <c r="N893">
        <v>2</v>
      </c>
      <c r="O893">
        <v>7</v>
      </c>
      <c r="P893">
        <v>16.3</v>
      </c>
      <c r="Q893">
        <v>7.4</v>
      </c>
      <c r="R893" s="2">
        <f>IF(ISBLANK(Table1[[#This Row],[Age]]),AVERAGE(Table1[Age]),Table1[[#This Row],[Age]])</f>
        <v>36</v>
      </c>
      <c r="S893" t="str">
        <f>PROPER(Table1[[#This Row],[Country]])</f>
        <v>United States</v>
      </c>
      <c r="T893" t="str">
        <f>TRIM(Table1[[#This Row],[Profession]])</f>
        <v>Content Strategy Manager</v>
      </c>
      <c r="U893" s="5">
        <f>IF(ISBLANK(H893),AVERAGEIF(Table1[[#This Row],[Profession imputed]],T893,Table1[Monthly_Income]),H893)</f>
        <v>4935</v>
      </c>
      <c r="V893" s="6" t="str">
        <f>PROPER(TRIM(Table1[AI_Tool]))</f>
        <v>Chat Gpt</v>
      </c>
      <c r="W893" s="8">
        <f>IF(ISBLANK(Table1[[#This Row],[Time_Saved_Hours_Per_Week]]),AVERAGEIF(Table1[Satisfaction_Score],Table1[[#This Row],[Satisfaction_Score]],Table1[Time_Saved_Hours_Per_Week]),Table1[[#This Row],[Time_Saved_Hours_Per_Week]])</f>
        <v>16.3</v>
      </c>
    </row>
    <row r="894" spans="1:23" x14ac:dyDescent="0.25">
      <c r="A894" t="s">
        <v>471</v>
      </c>
      <c r="B894">
        <v>30</v>
      </c>
      <c r="C894" t="s">
        <v>29</v>
      </c>
      <c r="D894" t="s">
        <v>189</v>
      </c>
      <c r="E894" t="s">
        <v>24</v>
      </c>
      <c r="F894" t="s">
        <v>25</v>
      </c>
      <c r="G894" t="s">
        <v>454</v>
      </c>
      <c r="H894">
        <v>4940</v>
      </c>
      <c r="I894" t="s">
        <v>1186</v>
      </c>
      <c r="J894" s="6" t="s">
        <v>27</v>
      </c>
      <c r="K894" s="15">
        <v>4.5999999999999996</v>
      </c>
      <c r="L894" s="5">
        <v>0</v>
      </c>
      <c r="M894" s="15">
        <v>8.8000000000000007</v>
      </c>
      <c r="N894">
        <v>2</v>
      </c>
      <c r="O894">
        <v>6</v>
      </c>
      <c r="P894">
        <v>11.5</v>
      </c>
      <c r="Q894">
        <v>8.6999999999999993</v>
      </c>
      <c r="R894" s="2">
        <f>IF(ISBLANK(Table1[[#This Row],[Age]]),AVERAGE(Table1[Age]),Table1[[#This Row],[Age]])</f>
        <v>30</v>
      </c>
      <c r="S894" t="str">
        <f>PROPER(Table1[[#This Row],[Country]])</f>
        <v>Australia</v>
      </c>
      <c r="T894" t="str">
        <f>TRIM(Table1[[#This Row],[Profession]])</f>
        <v>Customer Support Specialist</v>
      </c>
      <c r="U894" s="5">
        <f>IF(ISBLANK(H894),AVERAGEIF(Table1[Profession imputed],T894,Table1[Monthly_Income]),H894)</f>
        <v>4940</v>
      </c>
      <c r="V894" s="6" t="str">
        <f>PROPER(TRIM(Table1[AI_Tool]))</f>
        <v>Google Gemini</v>
      </c>
      <c r="W894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895" spans="1:23" x14ac:dyDescent="0.25">
      <c r="A895" t="s">
        <v>331</v>
      </c>
      <c r="B895">
        <v>63</v>
      </c>
      <c r="C895" t="s">
        <v>22</v>
      </c>
      <c r="D895" t="s">
        <v>23</v>
      </c>
      <c r="E895" t="s">
        <v>24</v>
      </c>
      <c r="F895" t="s">
        <v>25</v>
      </c>
      <c r="G895" t="s">
        <v>332</v>
      </c>
      <c r="H895">
        <v>4964</v>
      </c>
      <c r="I895" t="s">
        <v>53</v>
      </c>
      <c r="J895" s="6" t="s">
        <v>75</v>
      </c>
      <c r="K895" s="15">
        <v>0.7</v>
      </c>
      <c r="L895" s="5">
        <v>20</v>
      </c>
      <c r="M895" s="15">
        <v>4.3</v>
      </c>
      <c r="N895">
        <v>4</v>
      </c>
      <c r="O895">
        <v>8</v>
      </c>
      <c r="P895">
        <v>3.6</v>
      </c>
      <c r="Q895">
        <v>7.3</v>
      </c>
      <c r="R895" s="2">
        <f>IF(ISBLANK(Table1[[#This Row],[Age]]),AVERAGE(Table1[Age]),Table1[[#This Row],[Age]])</f>
        <v>63</v>
      </c>
      <c r="S895" t="str">
        <f>PROPER(Table1[[#This Row],[Country]])</f>
        <v>Germany</v>
      </c>
      <c r="T895" t="str">
        <f>TRIM(Table1[[#This Row],[Profession]])</f>
        <v>Content Manager</v>
      </c>
      <c r="U895" s="5">
        <f>IF(ISBLANK(H895),AVERAGEIF(Table1[Profession imputed],T895,Table1[Monthly_Income]),H895)</f>
        <v>4964</v>
      </c>
      <c r="V895" s="6" t="str">
        <f>PROPER(TRIM(Table1[AI_Tool]))</f>
        <v>Google Gemini</v>
      </c>
      <c r="W895" s="8">
        <f>IF(ISBLANK(Table1[[#This Row],[Time_Saved_Hours_Per_Week]]),AVERAGEIF(Table1[Satisfaction_Score],Table1[[#This Row],[Satisfaction_Score]],Table1[Time_Saved_Hours_Per_Week]),Table1[[#This Row],[Time_Saved_Hours_Per_Week]])</f>
        <v>3.6</v>
      </c>
    </row>
    <row r="896" spans="1:23" x14ac:dyDescent="0.25">
      <c r="A896" t="s">
        <v>333</v>
      </c>
      <c r="B896">
        <v>31</v>
      </c>
      <c r="C896" t="s">
        <v>29</v>
      </c>
      <c r="D896" t="s">
        <v>23</v>
      </c>
      <c r="E896" t="s">
        <v>24</v>
      </c>
      <c r="F896" t="s">
        <v>25</v>
      </c>
      <c r="G896" t="s">
        <v>332</v>
      </c>
      <c r="I896" t="s">
        <v>139</v>
      </c>
      <c r="J896" s="6" t="s">
        <v>75</v>
      </c>
      <c r="K896" s="15">
        <v>3.4</v>
      </c>
      <c r="L896" s="5">
        <v>0</v>
      </c>
      <c r="M896" s="15">
        <v>4.8</v>
      </c>
      <c r="N896">
        <v>2</v>
      </c>
      <c r="O896">
        <v>5</v>
      </c>
      <c r="P896">
        <v>6</v>
      </c>
      <c r="Q896">
        <v>7.5</v>
      </c>
      <c r="R896" s="2">
        <f>IF(ISBLANK(Table1[[#This Row],[Age]]),AVERAGE(Table1[Age]),Table1[[#This Row],[Age]])</f>
        <v>31</v>
      </c>
      <c r="S896" t="str">
        <f>PROPER(Table1[[#This Row],[Country]])</f>
        <v>Germany</v>
      </c>
      <c r="T896" t="str">
        <f>TRIM(Table1[[#This Row],[Profession]])</f>
        <v>Content Manager</v>
      </c>
      <c r="U896" s="5">
        <f>IF(ISBLANK(H896),AVERAGEIF(Table1[Profession imputed],T896,Table1[Monthly_Income]),H896)</f>
        <v>4964</v>
      </c>
      <c r="V896" s="6" t="str">
        <f>PROPER(TRIM(Table1[AI_Tool]))</f>
        <v>Microsoft Copilot</v>
      </c>
      <c r="W896" s="8">
        <f>IF(ISBLANK(Table1[[#This Row],[Time_Saved_Hours_Per_Week]]),AVERAGEIF(Table1[Satisfaction_Score],Table1[[#This Row],[Satisfaction_Score]],Table1[Time_Saved_Hours_Per_Week]),Table1[[#This Row],[Time_Saved_Hours_Per_Week]])</f>
        <v>6</v>
      </c>
    </row>
    <row r="897" spans="1:23" x14ac:dyDescent="0.25">
      <c r="A897" t="s">
        <v>334</v>
      </c>
      <c r="B897">
        <v>32</v>
      </c>
      <c r="C897" t="s">
        <v>29</v>
      </c>
      <c r="D897" t="s">
        <v>23</v>
      </c>
      <c r="E897" t="s">
        <v>24</v>
      </c>
      <c r="F897" t="s">
        <v>25</v>
      </c>
      <c r="G897" t="s">
        <v>332</v>
      </c>
      <c r="I897" t="s">
        <v>139</v>
      </c>
      <c r="J897" s="6" t="s">
        <v>75</v>
      </c>
      <c r="K897" s="15">
        <v>3.4</v>
      </c>
      <c r="L897" s="5">
        <v>0</v>
      </c>
      <c r="M897" s="15">
        <v>4.8</v>
      </c>
      <c r="N897">
        <v>2</v>
      </c>
      <c r="O897">
        <v>5</v>
      </c>
      <c r="P897">
        <v>6</v>
      </c>
      <c r="Q897">
        <v>7.5</v>
      </c>
      <c r="R897" s="2">
        <f>IF(ISBLANK(Table1[[#This Row],[Age]]),AVERAGE(Table1[Age]),Table1[[#This Row],[Age]])</f>
        <v>32</v>
      </c>
      <c r="S897" t="str">
        <f>PROPER(Table1[[#This Row],[Country]])</f>
        <v>Germany</v>
      </c>
      <c r="T897" t="str">
        <f>TRIM(Table1[[#This Row],[Profession]])</f>
        <v>Content Manager</v>
      </c>
      <c r="U897" s="5">
        <f>IF(ISBLANK(H897),AVERAGEIF(Table1[Profession imputed],T897,Table1[Monthly_Income]),H897)</f>
        <v>4964</v>
      </c>
      <c r="V897" s="6" t="str">
        <f>PROPER(TRIM(Table1[AI_Tool]))</f>
        <v>Microsoft Copilot</v>
      </c>
      <c r="W897" s="8">
        <f>IF(ISBLANK(Table1[[#This Row],[Time_Saved_Hours_Per_Week]]),AVERAGEIF(Table1[Satisfaction_Score],Table1[[#This Row],[Satisfaction_Score]],Table1[Time_Saved_Hours_Per_Week]),Table1[[#This Row],[Time_Saved_Hours_Per_Week]])</f>
        <v>6</v>
      </c>
    </row>
    <row r="898" spans="1:23" x14ac:dyDescent="0.25">
      <c r="A898" t="s">
        <v>335</v>
      </c>
      <c r="B898">
        <v>30</v>
      </c>
      <c r="C898" t="s">
        <v>29</v>
      </c>
      <c r="D898" t="s">
        <v>23</v>
      </c>
      <c r="E898" t="s">
        <v>24</v>
      </c>
      <c r="F898" t="s">
        <v>25</v>
      </c>
      <c r="G898" t="s">
        <v>332</v>
      </c>
      <c r="I898" t="s">
        <v>139</v>
      </c>
      <c r="J898" s="6" t="s">
        <v>75</v>
      </c>
      <c r="K898" s="15">
        <v>3.4</v>
      </c>
      <c r="L898" s="5">
        <v>0</v>
      </c>
      <c r="M898" s="15">
        <v>4.8</v>
      </c>
      <c r="N898">
        <v>2</v>
      </c>
      <c r="O898">
        <v>5</v>
      </c>
      <c r="P898">
        <v>6</v>
      </c>
      <c r="Q898">
        <v>7.5</v>
      </c>
      <c r="R898" s="2">
        <f>IF(ISBLANK(Table1[[#This Row],[Age]]),AVERAGE(Table1[Age]),Table1[[#This Row],[Age]])</f>
        <v>30</v>
      </c>
      <c r="S898" t="str">
        <f>PROPER(Table1[[#This Row],[Country]])</f>
        <v>Germany</v>
      </c>
      <c r="T898" t="str">
        <f>TRIM(Table1[[#This Row],[Profession]])</f>
        <v>Content Manager</v>
      </c>
      <c r="U898" s="5">
        <f>IF(ISBLANK(H898),AVERAGEIF(Table1[Profession imputed],T898,Table1[Monthly_Income]),H898)</f>
        <v>4964</v>
      </c>
      <c r="V898" s="6" t="str">
        <f>PROPER(TRIM(Table1[AI_Tool]))</f>
        <v>Microsoft Copilot</v>
      </c>
      <c r="W898" s="8">
        <f>IF(ISBLANK(Table1[[#This Row],[Time_Saved_Hours_Per_Week]]),AVERAGEIF(Table1[Satisfaction_Score],Table1[[#This Row],[Satisfaction_Score]],Table1[Time_Saved_Hours_Per_Week]),Table1[[#This Row],[Time_Saved_Hours_Per_Week]])</f>
        <v>6</v>
      </c>
    </row>
    <row r="899" spans="1:23" x14ac:dyDescent="0.25">
      <c r="A899" t="s">
        <v>498</v>
      </c>
      <c r="B899">
        <v>30</v>
      </c>
      <c r="C899" t="s">
        <v>29</v>
      </c>
      <c r="D899" t="s">
        <v>23</v>
      </c>
      <c r="E899" t="s">
        <v>24</v>
      </c>
      <c r="F899" t="s">
        <v>50</v>
      </c>
      <c r="G899" t="s">
        <v>476</v>
      </c>
      <c r="H899">
        <v>5079</v>
      </c>
      <c r="I899" t="s">
        <v>58</v>
      </c>
      <c r="J899" s="6" t="s">
        <v>106</v>
      </c>
      <c r="K899" s="15">
        <v>1.3</v>
      </c>
      <c r="L899" s="5">
        <v>20</v>
      </c>
      <c r="M899" s="15">
        <v>2.7</v>
      </c>
      <c r="N899">
        <v>4</v>
      </c>
      <c r="O899">
        <v>4</v>
      </c>
      <c r="P899">
        <v>0.5</v>
      </c>
      <c r="Q899">
        <v>6.2</v>
      </c>
      <c r="R899" s="2">
        <f>IF(ISBLANK(Table1[[#This Row],[Age]]),AVERAGE(Table1[Age]),Table1[[#This Row],[Age]])</f>
        <v>30</v>
      </c>
      <c r="S899" t="str">
        <f>PROPER(Table1[[#This Row],[Country]])</f>
        <v>Germany</v>
      </c>
      <c r="T899" t="str">
        <f>TRIM(Table1[[#This Row],[Profession]])</f>
        <v>Data Analyst</v>
      </c>
      <c r="U899" s="5">
        <f>IF(ISBLANK(H899),AVERAGEIF(Table1[Profession imputed],T899,Table1[Monthly_Income]),H899)</f>
        <v>5079</v>
      </c>
      <c r="V899" s="6" t="str">
        <f>PROPER(TRIM(Table1[AI_Tool]))</f>
        <v>Claude</v>
      </c>
      <c r="W899" s="8">
        <f>IF(ISBLANK(Table1[[#This Row],[Time_Saved_Hours_Per_Week]]),AVERAGEIF(Table1[Satisfaction_Score],Table1[[#This Row],[Satisfaction_Score]],Table1[Time_Saved_Hours_Per_Week]),Table1[[#This Row],[Time_Saved_Hours_Per_Week]])</f>
        <v>0.5</v>
      </c>
    </row>
    <row r="900" spans="1:23" x14ac:dyDescent="0.25">
      <c r="A900" t="s">
        <v>459</v>
      </c>
      <c r="B900">
        <v>23</v>
      </c>
      <c r="C900" t="s">
        <v>22</v>
      </c>
      <c r="D900" t="s">
        <v>73</v>
      </c>
      <c r="E900" t="s">
        <v>24</v>
      </c>
      <c r="F900" t="s">
        <v>25</v>
      </c>
      <c r="G900" t="s">
        <v>454</v>
      </c>
      <c r="H900">
        <v>5098</v>
      </c>
      <c r="I900" t="s">
        <v>69</v>
      </c>
      <c r="J900" s="6" t="s">
        <v>27</v>
      </c>
      <c r="K900" s="15">
        <v>1.2</v>
      </c>
      <c r="L900" s="5">
        <v>0</v>
      </c>
      <c r="M900" s="15">
        <v>2.4</v>
      </c>
      <c r="N900">
        <v>4</v>
      </c>
      <c r="O900">
        <f>IF(Table1[[#This Row],[Accuracy_Rating]]=4,8,Table1[[#This Row],[Accuracy_Rating]])</f>
        <v>8</v>
      </c>
      <c r="P900">
        <v>0.4</v>
      </c>
      <c r="Q900">
        <v>8.8000000000000007</v>
      </c>
      <c r="R900" s="2">
        <f>IF(ISBLANK(Table1[[#This Row],[Age]]),AVERAGE(Table1[Age]),Table1[[#This Row],[Age]])</f>
        <v>23</v>
      </c>
      <c r="S900" t="str">
        <f>PROPER(Table1[[#This Row],[Country]])</f>
        <v>Unknown</v>
      </c>
      <c r="T900" t="str">
        <f>TRIM(Table1[[#This Row],[Profession]])</f>
        <v>Customer Support Specialist</v>
      </c>
      <c r="U900" s="5">
        <f>IF(ISBLANK(H900),AVERAGEIF(Table1[Profession imputed],T900,Table1[Monthly_Income]),H900)</f>
        <v>5098</v>
      </c>
      <c r="V900" s="6" t="str">
        <f>PROPER(TRIM(Table1[AI_Tool]))</f>
        <v>Perplexity Ai</v>
      </c>
      <c r="W900" s="8">
        <f>IF(ISBLANK(Table1[[#This Row],[Time_Saved_Hours_Per_Week]]),AVERAGEIF(Table1[Satisfaction_Score],Table1[[#This Row],[Satisfaction_Score]],Table1[Time_Saved_Hours_Per_Week]),Table1[[#This Row],[Time_Saved_Hours_Per_Week]])</f>
        <v>0.4</v>
      </c>
    </row>
    <row r="901" spans="1:23" x14ac:dyDescent="0.25">
      <c r="A901" t="s">
        <v>465</v>
      </c>
      <c r="B901">
        <v>30</v>
      </c>
      <c r="C901" t="s">
        <v>29</v>
      </c>
      <c r="D901" t="s">
        <v>189</v>
      </c>
      <c r="E901" t="s">
        <v>24</v>
      </c>
      <c r="F901" t="s">
        <v>25</v>
      </c>
      <c r="G901" t="s">
        <v>454</v>
      </c>
      <c r="H901">
        <v>5139</v>
      </c>
      <c r="I901" t="s">
        <v>1186</v>
      </c>
      <c r="J901" s="6" t="s">
        <v>27</v>
      </c>
      <c r="K901" s="15">
        <v>4.5999999999999996</v>
      </c>
      <c r="L901" s="5">
        <v>0</v>
      </c>
      <c r="M901" s="15">
        <v>8.8000000000000007</v>
      </c>
      <c r="N901">
        <v>2</v>
      </c>
      <c r="O901">
        <v>6</v>
      </c>
      <c r="P901">
        <v>11.5</v>
      </c>
      <c r="Q901">
        <v>8.6999999999999993</v>
      </c>
      <c r="R901" s="2">
        <f>IF(ISBLANK(Table1[[#This Row],[Age]]),AVERAGE(Table1[Age]),Table1[[#This Row],[Age]])</f>
        <v>30</v>
      </c>
      <c r="S901" t="str">
        <f>PROPER(Table1[[#This Row],[Country]])</f>
        <v>Australia</v>
      </c>
      <c r="T901" t="str">
        <f>TRIM(Table1[[#This Row],[Profession]])</f>
        <v>Customer Support Specialist</v>
      </c>
      <c r="U901" s="5">
        <f>IF(ISBLANK(H901),AVERAGEIF(Table1[Profession imputed],T901,Table1[Monthly_Income]),H901)</f>
        <v>5139</v>
      </c>
      <c r="V901" s="6" t="str">
        <f>PROPER(TRIM(Table1[AI_Tool]))</f>
        <v>Google Gemini</v>
      </c>
      <c r="W901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902" spans="1:23" x14ac:dyDescent="0.25">
      <c r="A902" t="s">
        <v>955</v>
      </c>
      <c r="B902">
        <v>31</v>
      </c>
      <c r="C902" t="s">
        <v>22</v>
      </c>
      <c r="D902" t="s">
        <v>92</v>
      </c>
      <c r="E902" t="s">
        <v>24</v>
      </c>
      <c r="F902" t="s">
        <v>31</v>
      </c>
      <c r="G902" t="s">
        <v>951</v>
      </c>
      <c r="H902">
        <v>5145</v>
      </c>
      <c r="I902" t="s">
        <v>139</v>
      </c>
      <c r="J902" s="6" t="s">
        <v>106</v>
      </c>
      <c r="K902" s="15">
        <v>4.9000000000000004</v>
      </c>
      <c r="L902" s="5">
        <v>20</v>
      </c>
      <c r="M902" s="15">
        <v>8.6</v>
      </c>
      <c r="N902">
        <v>4</v>
      </c>
      <c r="O902">
        <v>8</v>
      </c>
      <c r="P902">
        <v>10.7</v>
      </c>
      <c r="Q902">
        <v>12.4</v>
      </c>
      <c r="R902" s="2">
        <f>IF(ISBLANK(Table1[[#This Row],[Age]]),AVERAGE(Table1[Age]),Table1[[#This Row],[Age]])</f>
        <v>31</v>
      </c>
      <c r="S902" t="str">
        <f>PROPER(Table1[[#This Row],[Country]])</f>
        <v>Canada</v>
      </c>
      <c r="T902" t="str">
        <f>TRIM(Table1[[#This Row],[Profession]])</f>
        <v>Senior Data Scientist</v>
      </c>
      <c r="U902" s="5">
        <f>IF(ISBLANK(H902),AVERAGEIF(Table1[[#This Row],[Profession imputed]],T902,Table1[Monthly_Income]),H902)</f>
        <v>5145</v>
      </c>
      <c r="V902" s="6" t="str">
        <f>PROPER(TRIM(Table1[AI_Tool]))</f>
        <v>Microsoft Copilot</v>
      </c>
      <c r="W902" s="8">
        <f>IF(ISBLANK(Table1[[#This Row],[Time_Saved_Hours_Per_Week]]),AVERAGEIF(Table1[Satisfaction_Score],Table1[[#This Row],[Satisfaction_Score]],Table1[Time_Saved_Hours_Per_Week]),Table1[[#This Row],[Time_Saved_Hours_Per_Week]])</f>
        <v>10.7</v>
      </c>
    </row>
    <row r="903" spans="1:23" x14ac:dyDescent="0.25">
      <c r="A903" t="s">
        <v>366</v>
      </c>
      <c r="B903">
        <v>29</v>
      </c>
      <c r="C903" t="s">
        <v>29</v>
      </c>
      <c r="D903" t="s">
        <v>44</v>
      </c>
      <c r="E903" t="s">
        <v>24</v>
      </c>
      <c r="F903" t="s">
        <v>25</v>
      </c>
      <c r="G903" t="s">
        <v>367</v>
      </c>
      <c r="H903">
        <v>5260</v>
      </c>
      <c r="I903" t="s">
        <v>271</v>
      </c>
      <c r="J903" s="6" t="s">
        <v>38</v>
      </c>
      <c r="K903" s="15">
        <v>1.6</v>
      </c>
      <c r="L903" s="5">
        <v>0</v>
      </c>
      <c r="M903" s="15">
        <v>3.9</v>
      </c>
      <c r="N903">
        <v>4</v>
      </c>
      <c r="O903">
        <v>5</v>
      </c>
      <c r="P903">
        <v>5.2</v>
      </c>
      <c r="Q903">
        <v>6.7</v>
      </c>
      <c r="R903" s="2">
        <f>IF(ISBLANK(Table1[[#This Row],[Age]]),AVERAGE(Table1[Age]),Table1[[#This Row],[Age]])</f>
        <v>29</v>
      </c>
      <c r="S903" t="str">
        <f>PROPER(Table1[[#This Row],[Country]])</f>
        <v>United States</v>
      </c>
      <c r="T903" t="str">
        <f>TRIM(Table1[[#This Row],[Profession]])</f>
        <v>Content Writer</v>
      </c>
      <c r="U903" s="5">
        <f>IF(ISBLANK(H903),AVERAGEIF(Table1[[#This Row],[Profession imputed]],T903,Table1[Monthly_Income]),H903)</f>
        <v>5260</v>
      </c>
      <c r="V903" s="6" t="str">
        <f>PROPER(TRIM(Table1[AI_Tool]))</f>
        <v>Chat Gpt</v>
      </c>
      <c r="W903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904" spans="1:23" x14ac:dyDescent="0.25">
      <c r="A904" t="s">
        <v>456</v>
      </c>
      <c r="B904">
        <v>23</v>
      </c>
      <c r="C904" t="s">
        <v>22</v>
      </c>
      <c r="D904" t="s">
        <v>73</v>
      </c>
      <c r="E904" t="s">
        <v>24</v>
      </c>
      <c r="F904" t="s">
        <v>25</v>
      </c>
      <c r="G904" t="s">
        <v>454</v>
      </c>
      <c r="H904">
        <v>5268</v>
      </c>
      <c r="I904" t="s">
        <v>69</v>
      </c>
      <c r="J904" s="6" t="s">
        <v>27</v>
      </c>
      <c r="K904" s="15">
        <v>1.2</v>
      </c>
      <c r="L904" s="5">
        <v>0</v>
      </c>
      <c r="M904" s="15">
        <v>2.4</v>
      </c>
      <c r="N904">
        <v>4</v>
      </c>
      <c r="O904">
        <f>IF(Table1[[#This Row],[Accuracy_Rating]]=4,8,Table1[[#This Row],[Accuracy_Rating]])</f>
        <v>8</v>
      </c>
      <c r="P904">
        <v>0.4</v>
      </c>
      <c r="Q904">
        <v>8.8000000000000007</v>
      </c>
      <c r="R904" s="2">
        <f>IF(ISBLANK(Table1[[#This Row],[Age]]),AVERAGE(Table1[Age]),Table1[[#This Row],[Age]])</f>
        <v>23</v>
      </c>
      <c r="S904" t="str">
        <f>PROPER(Table1[[#This Row],[Country]])</f>
        <v>Unknown</v>
      </c>
      <c r="T904" t="str">
        <f>TRIM(Table1[[#This Row],[Profession]])</f>
        <v>Customer Support Specialist</v>
      </c>
      <c r="U904" s="5">
        <f>IF(ISBLANK(H904),AVERAGEIF(Table1[Profession imputed],T904,Table1[Monthly_Income]),H904)</f>
        <v>5268</v>
      </c>
      <c r="V904" s="6" t="str">
        <f>PROPER(TRIM(Table1[AI_Tool]))</f>
        <v>Perplexity Ai</v>
      </c>
      <c r="W904" s="8">
        <f>IF(ISBLANK(Table1[[#This Row],[Time_Saved_Hours_Per_Week]]),AVERAGEIF(Table1[Satisfaction_Score],Table1[[#This Row],[Satisfaction_Score]],Table1[Time_Saved_Hours_Per_Week]),Table1[[#This Row],[Time_Saved_Hours_Per_Week]])</f>
        <v>0.4</v>
      </c>
    </row>
    <row r="905" spans="1:23" x14ac:dyDescent="0.25">
      <c r="A905" t="s">
        <v>95</v>
      </c>
      <c r="B905">
        <v>23</v>
      </c>
      <c r="C905" t="s">
        <v>22</v>
      </c>
      <c r="D905" t="s">
        <v>92</v>
      </c>
      <c r="E905" t="s">
        <v>24</v>
      </c>
      <c r="F905" t="s">
        <v>55</v>
      </c>
      <c r="G905" t="s">
        <v>90</v>
      </c>
      <c r="H905">
        <v>5302</v>
      </c>
      <c r="I905" t="s">
        <v>1186</v>
      </c>
      <c r="J905" s="6" t="s">
        <v>27</v>
      </c>
      <c r="K905" s="15">
        <v>1.9</v>
      </c>
      <c r="L905" s="5">
        <v>0</v>
      </c>
      <c r="M905" s="15">
        <v>3.7</v>
      </c>
      <c r="N905">
        <v>4</v>
      </c>
      <c r="O905">
        <v>5</v>
      </c>
      <c r="P905">
        <v>0.8</v>
      </c>
      <c r="Q905">
        <v>7.6</v>
      </c>
      <c r="R905" s="2">
        <f>IF(ISBLANK(Table1[[#This Row],[Age]]),AVERAGE(Table1[Age]),Table1[[#This Row],[Age]])</f>
        <v>23</v>
      </c>
      <c r="S905" t="str">
        <f>PROPER(Table1[[#This Row],[Country]])</f>
        <v>Canada</v>
      </c>
      <c r="T905" t="str">
        <f>TRIM(Table1[[#This Row],[Profession]])</f>
        <v>AI Customer Support Specialist</v>
      </c>
      <c r="U905" s="5">
        <f>IF(ISBLANK(H905),AVERAGEIF(Table1[[#This Row],[Profession imputed]],T905,Table1[Monthly_Income]),H905)</f>
        <v>5302</v>
      </c>
      <c r="V905" s="6" t="str">
        <f>PROPER(TRIM(Table1[AI_Tool]))</f>
        <v>Google Gemini</v>
      </c>
      <c r="W905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906" spans="1:23" x14ac:dyDescent="0.25">
      <c r="A906" t="s">
        <v>443</v>
      </c>
      <c r="B906">
        <v>49</v>
      </c>
      <c r="C906" t="s">
        <v>22</v>
      </c>
      <c r="D906" t="s">
        <v>117</v>
      </c>
      <c r="E906" t="s">
        <v>24</v>
      </c>
      <c r="F906" t="s">
        <v>25</v>
      </c>
      <c r="G906" t="s">
        <v>441</v>
      </c>
      <c r="H906">
        <v>5308</v>
      </c>
      <c r="I906" t="s">
        <v>271</v>
      </c>
      <c r="J906" s="6" t="s">
        <v>27</v>
      </c>
      <c r="K906" s="15">
        <v>0.9</v>
      </c>
      <c r="L906" s="5">
        <v>25</v>
      </c>
      <c r="M906" s="15">
        <v>4.0999999999999996</v>
      </c>
      <c r="N906">
        <v>5</v>
      </c>
      <c r="O906">
        <v>6</v>
      </c>
      <c r="P906">
        <v>3.9</v>
      </c>
      <c r="Q906">
        <v>5.9</v>
      </c>
      <c r="R906" s="2">
        <f>IF(ISBLANK(Table1[[#This Row],[Age]]),AVERAGE(Table1[Age]),Table1[[#This Row],[Age]])</f>
        <v>49</v>
      </c>
      <c r="S906" t="str">
        <f>PROPER(Table1[[#This Row],[Country]])</f>
        <v>United Kingdom</v>
      </c>
      <c r="T906" t="str">
        <f>TRIM(Table1[[#This Row],[Profession]])</f>
        <v>Customer Support Manager</v>
      </c>
      <c r="U906" s="5">
        <f>IF(ISBLANK(H906),AVERAGEIF(Table1[Profession imputed],T906,Table1[Monthly_Income]),H906)</f>
        <v>5308</v>
      </c>
      <c r="V906" s="6" t="str">
        <f>PROPER(TRIM(Table1[AI_Tool]))</f>
        <v>Chat Gpt</v>
      </c>
      <c r="W906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907" spans="1:23" x14ac:dyDescent="0.25">
      <c r="A907" t="s">
        <v>455</v>
      </c>
      <c r="B907">
        <v>31</v>
      </c>
      <c r="C907" t="s">
        <v>29</v>
      </c>
      <c r="D907" t="s">
        <v>189</v>
      </c>
      <c r="E907" t="s">
        <v>24</v>
      </c>
      <c r="F907" t="s">
        <v>25</v>
      </c>
      <c r="G907" t="s">
        <v>454</v>
      </c>
      <c r="H907">
        <v>5355</v>
      </c>
      <c r="I907" t="s">
        <v>1186</v>
      </c>
      <c r="J907" s="6" t="s">
        <v>27</v>
      </c>
      <c r="K907" s="15">
        <v>4.5999999999999996</v>
      </c>
      <c r="L907" s="5">
        <v>0</v>
      </c>
      <c r="M907" s="15">
        <v>8.8000000000000007</v>
      </c>
      <c r="N907">
        <v>2</v>
      </c>
      <c r="O907">
        <v>6</v>
      </c>
      <c r="P907">
        <v>11.5</v>
      </c>
      <c r="Q907">
        <v>8.6999999999999993</v>
      </c>
      <c r="R907" s="2">
        <f>IF(ISBLANK(Table1[[#This Row],[Age]]),AVERAGE(Table1[Age]),Table1[[#This Row],[Age]])</f>
        <v>31</v>
      </c>
      <c r="S907" t="str">
        <f>PROPER(Table1[[#This Row],[Country]])</f>
        <v>Australia</v>
      </c>
      <c r="T907" t="str">
        <f>TRIM(Table1[[#This Row],[Profession]])</f>
        <v>Customer Support Specialist</v>
      </c>
      <c r="U907" s="5">
        <f>IF(ISBLANK(H907),AVERAGEIF(Table1[Profession imputed],T907,Table1[Monthly_Income]),H907)</f>
        <v>5355</v>
      </c>
      <c r="V907" s="6" t="str">
        <f>PROPER(TRIM(Table1[AI_Tool]))</f>
        <v>Google Gemini</v>
      </c>
      <c r="W907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908" spans="1:23" x14ac:dyDescent="0.25">
      <c r="A908" t="s">
        <v>236</v>
      </c>
      <c r="B908">
        <v>30</v>
      </c>
      <c r="C908" t="s">
        <v>29</v>
      </c>
      <c r="D908" t="s">
        <v>117</v>
      </c>
      <c r="E908" t="s">
        <v>24</v>
      </c>
      <c r="F908" t="s">
        <v>55</v>
      </c>
      <c r="G908" t="s">
        <v>237</v>
      </c>
      <c r="H908">
        <v>5421</v>
      </c>
      <c r="I908" t="s">
        <v>271</v>
      </c>
      <c r="J908" s="6" t="s">
        <v>47</v>
      </c>
      <c r="K908" s="15">
        <v>2</v>
      </c>
      <c r="L908" s="5">
        <v>0</v>
      </c>
      <c r="M908" s="15">
        <v>5.3</v>
      </c>
      <c r="N908">
        <v>4</v>
      </c>
      <c r="O908">
        <v>7</v>
      </c>
      <c r="P908">
        <v>3.9</v>
      </c>
      <c r="Q908">
        <v>7.3</v>
      </c>
      <c r="R908" s="2">
        <f>IF(ISBLANK(Table1[[#This Row],[Age]]),AVERAGE(Table1[Age]),Table1[[#This Row],[Age]])</f>
        <v>30</v>
      </c>
      <c r="S908" t="str">
        <f>PROPER(Table1[[#This Row],[Country]])</f>
        <v>United Kingdom</v>
      </c>
      <c r="T908" t="str">
        <f>TRIM(Table1[[#This Row],[Profession]])</f>
        <v>Business Analyst</v>
      </c>
      <c r="U908" s="5">
        <f>IF(ISBLANK(H908),AVERAGEIF(Table1[Profession imputed],T908,Table1[Monthly_Income]),H908)</f>
        <v>5421</v>
      </c>
      <c r="V908" s="6" t="str">
        <f>PROPER(TRIM(Table1[AI_Tool]))</f>
        <v>Chat Gpt</v>
      </c>
      <c r="W908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909" spans="1:23" x14ac:dyDescent="0.25">
      <c r="A909" t="s">
        <v>447</v>
      </c>
      <c r="B909">
        <v>50</v>
      </c>
      <c r="C909" t="s">
        <v>22</v>
      </c>
      <c r="D909" t="s">
        <v>117</v>
      </c>
      <c r="E909" t="s">
        <v>24</v>
      </c>
      <c r="F909" t="s">
        <v>25</v>
      </c>
      <c r="G909" t="s">
        <v>441</v>
      </c>
      <c r="H909">
        <v>5550</v>
      </c>
      <c r="I909" t="s">
        <v>271</v>
      </c>
      <c r="J909" s="6" t="s">
        <v>27</v>
      </c>
      <c r="K909" s="15">
        <v>0.9</v>
      </c>
      <c r="L909" s="5">
        <v>25</v>
      </c>
      <c r="M909" s="15">
        <v>4.0999999999999996</v>
      </c>
      <c r="N909">
        <v>5</v>
      </c>
      <c r="O909">
        <v>6</v>
      </c>
      <c r="P909">
        <v>3.9</v>
      </c>
      <c r="Q909">
        <v>5.9</v>
      </c>
      <c r="R909" s="2">
        <f>IF(ISBLANK(Table1[[#This Row],[Age]]),AVERAGE(Table1[Age]),Table1[[#This Row],[Age]])</f>
        <v>50</v>
      </c>
      <c r="S909" t="str">
        <f>PROPER(Table1[[#This Row],[Country]])</f>
        <v>United Kingdom</v>
      </c>
      <c r="T909" t="str">
        <f>TRIM(Table1[[#This Row],[Profession]])</f>
        <v>Customer Support Manager</v>
      </c>
      <c r="U909" s="5">
        <f>IF(ISBLANK(H909),AVERAGEIF(Table1[Profession imputed],T909,Table1[Monthly_Income]),H909)</f>
        <v>5550</v>
      </c>
      <c r="V909" s="6" t="str">
        <f>PROPER(TRIM(Table1[AI_Tool]))</f>
        <v>Chat Gpt</v>
      </c>
      <c r="W909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910" spans="1:23" x14ac:dyDescent="0.25">
      <c r="A910" t="s">
        <v>442</v>
      </c>
      <c r="B910">
        <v>48</v>
      </c>
      <c r="C910" t="s">
        <v>22</v>
      </c>
      <c r="D910" t="s">
        <v>117</v>
      </c>
      <c r="E910" t="s">
        <v>24</v>
      </c>
      <c r="F910" t="s">
        <v>25</v>
      </c>
      <c r="G910" t="s">
        <v>441</v>
      </c>
      <c r="H910">
        <v>5563</v>
      </c>
      <c r="I910" t="s">
        <v>271</v>
      </c>
      <c r="J910" s="6" t="s">
        <v>27</v>
      </c>
      <c r="K910" s="15">
        <v>0.9</v>
      </c>
      <c r="L910" s="5">
        <v>25</v>
      </c>
      <c r="M910" s="15">
        <v>4.0999999999999996</v>
      </c>
      <c r="N910">
        <v>5</v>
      </c>
      <c r="O910">
        <v>6</v>
      </c>
      <c r="P910">
        <v>3.9</v>
      </c>
      <c r="Q910">
        <v>5.9</v>
      </c>
      <c r="R910" s="2">
        <f>IF(ISBLANK(Table1[[#This Row],[Age]]),AVERAGE(Table1[Age]),Table1[[#This Row],[Age]])</f>
        <v>48</v>
      </c>
      <c r="S910" t="str">
        <f>PROPER(Table1[[#This Row],[Country]])</f>
        <v>United Kingdom</v>
      </c>
      <c r="T910" t="str">
        <f>TRIM(Table1[[#This Row],[Profession]])</f>
        <v>Customer Support Manager</v>
      </c>
      <c r="U910" s="5">
        <f>IF(ISBLANK(H910),AVERAGEIF(Table1[Profession imputed],T910,Table1[Monthly_Income]),H910)</f>
        <v>5563</v>
      </c>
      <c r="V910" s="6" t="str">
        <f>PROPER(TRIM(Table1[AI_Tool]))</f>
        <v>Chat Gpt</v>
      </c>
      <c r="W910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911" spans="1:23" x14ac:dyDescent="0.25">
      <c r="A911" t="s">
        <v>910</v>
      </c>
      <c r="B911">
        <v>47</v>
      </c>
      <c r="C911" t="s">
        <v>29</v>
      </c>
      <c r="D911" t="s">
        <v>189</v>
      </c>
      <c r="E911" t="s">
        <v>24</v>
      </c>
      <c r="F911" t="s">
        <v>55</v>
      </c>
      <c r="G911" t="s">
        <v>906</v>
      </c>
      <c r="H911">
        <v>5612</v>
      </c>
      <c r="I911" t="s">
        <v>271</v>
      </c>
      <c r="J911" s="6" t="s">
        <v>130</v>
      </c>
      <c r="K911" s="15">
        <v>1.6</v>
      </c>
      <c r="L911" s="5">
        <v>20</v>
      </c>
      <c r="M911" s="15">
        <v>5.2</v>
      </c>
      <c r="N911">
        <v>3</v>
      </c>
      <c r="O911">
        <v>7</v>
      </c>
      <c r="P911">
        <v>6.5</v>
      </c>
      <c r="Q911">
        <v>9.6999999999999993</v>
      </c>
      <c r="R911" s="2">
        <f>IF(ISBLANK(Table1[[#This Row],[Age]]),AVERAGE(Table1[Age]),Table1[[#This Row],[Age]])</f>
        <v>47</v>
      </c>
      <c r="S911" t="str">
        <f>PROPER(Table1[[#This Row],[Country]])</f>
        <v>Australia</v>
      </c>
      <c r="T911" t="str">
        <f>TRIM(Table1[[#This Row],[Profession]])</f>
        <v>Research Analyst</v>
      </c>
      <c r="U911" s="5">
        <f>IF(ISBLANK(H911),AVERAGEIF(Table1[[#This Row],[Profession imputed]],T911,Table1[Monthly_Income]),H911)</f>
        <v>5612</v>
      </c>
      <c r="V911" s="6" t="str">
        <f>PROPER(TRIM(Table1[AI_Tool]))</f>
        <v>Chat Gpt</v>
      </c>
      <c r="W911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912" spans="1:23" x14ac:dyDescent="0.25">
      <c r="A912" t="s">
        <v>357</v>
      </c>
      <c r="B912">
        <v>34</v>
      </c>
      <c r="C912" t="s">
        <v>22</v>
      </c>
      <c r="D912" t="s">
        <v>44</v>
      </c>
      <c r="E912" t="s">
        <v>24</v>
      </c>
      <c r="F912" t="s">
        <v>55</v>
      </c>
      <c r="G912" t="s">
        <v>358</v>
      </c>
      <c r="H912">
        <v>5669</v>
      </c>
      <c r="I912" t="s">
        <v>271</v>
      </c>
      <c r="J912" s="6" t="s">
        <v>38</v>
      </c>
      <c r="K912" s="15">
        <v>8</v>
      </c>
      <c r="L912" s="5">
        <v>0</v>
      </c>
      <c r="M912" s="15">
        <v>7.3</v>
      </c>
      <c r="N912">
        <v>2</v>
      </c>
      <c r="O912">
        <v>7</v>
      </c>
      <c r="P912">
        <v>16.3</v>
      </c>
      <c r="Q912">
        <v>7.4</v>
      </c>
      <c r="R912" s="2">
        <f>IF(ISBLANK(Table1[[#This Row],[Age]]),AVERAGE(Table1[Age]),Table1[[#This Row],[Age]])</f>
        <v>34</v>
      </c>
      <c r="S912" t="str">
        <f>PROPER(Table1[[#This Row],[Country]])</f>
        <v>United States</v>
      </c>
      <c r="T912" t="str">
        <f>TRIM(Table1[[#This Row],[Profession]])</f>
        <v>Content Strategy Manager</v>
      </c>
      <c r="U912" s="5">
        <f>IF(ISBLANK(H912),AVERAGEIF(Table1[[#This Row],[Profession imputed]],T912,Table1[Monthly_Income]),H912)</f>
        <v>5669</v>
      </c>
      <c r="V912" s="6" t="str">
        <f>PROPER(TRIM(Table1[AI_Tool]))</f>
        <v>Chat Gpt</v>
      </c>
      <c r="W912" s="8">
        <f>IF(ISBLANK(Table1[[#This Row],[Time_Saved_Hours_Per_Week]]),AVERAGEIF(Table1[Satisfaction_Score],Table1[[#This Row],[Satisfaction_Score]],Table1[Time_Saved_Hours_Per_Week]),Table1[[#This Row],[Time_Saved_Hours_Per_Week]])</f>
        <v>16.3</v>
      </c>
    </row>
    <row r="913" spans="1:23" x14ac:dyDescent="0.25">
      <c r="A913" t="s">
        <v>460</v>
      </c>
      <c r="B913">
        <v>25</v>
      </c>
      <c r="C913" t="s">
        <v>22</v>
      </c>
      <c r="D913" t="s">
        <v>73</v>
      </c>
      <c r="E913" t="s">
        <v>24</v>
      </c>
      <c r="F913" t="s">
        <v>25</v>
      </c>
      <c r="G913" t="s">
        <v>454</v>
      </c>
      <c r="H913">
        <v>5697</v>
      </c>
      <c r="I913" t="s">
        <v>69</v>
      </c>
      <c r="J913" s="6" t="s">
        <v>27</v>
      </c>
      <c r="K913" s="15">
        <v>1.2</v>
      </c>
      <c r="L913" s="5">
        <v>0</v>
      </c>
      <c r="M913" s="15">
        <v>2.4</v>
      </c>
      <c r="N913">
        <v>4</v>
      </c>
      <c r="O913">
        <f>IF(Table1[[#This Row],[Accuracy_Rating]]=4,8,Table1[[#This Row],[Accuracy_Rating]])</f>
        <v>8</v>
      </c>
      <c r="P913">
        <v>0.4</v>
      </c>
      <c r="Q913">
        <v>8.8000000000000007</v>
      </c>
      <c r="R913" s="2">
        <f>IF(ISBLANK(Table1[[#This Row],[Age]]),AVERAGE(Table1[Age]),Table1[[#This Row],[Age]])</f>
        <v>25</v>
      </c>
      <c r="S913" t="str">
        <f>PROPER(Table1[[#This Row],[Country]])</f>
        <v>Unknown</v>
      </c>
      <c r="T913" t="str">
        <f>TRIM(Table1[[#This Row],[Profession]])</f>
        <v>Customer Support Specialist</v>
      </c>
      <c r="U913" s="5">
        <f>IF(ISBLANK(H913),AVERAGEIF(Table1[Profession imputed],T913,Table1[Monthly_Income]),H913)</f>
        <v>5697</v>
      </c>
      <c r="V913" s="6" t="str">
        <f>PROPER(TRIM(Table1[AI_Tool]))</f>
        <v>Perplexity Ai</v>
      </c>
      <c r="W913" s="8">
        <f>IF(ISBLANK(Table1[[#This Row],[Time_Saved_Hours_Per_Week]]),AVERAGEIF(Table1[Satisfaction_Score],Table1[[#This Row],[Satisfaction_Score]],Table1[Time_Saved_Hours_Per_Week]),Table1[[#This Row],[Time_Saved_Hours_Per_Week]])</f>
        <v>0.4</v>
      </c>
    </row>
    <row r="914" spans="1:23" x14ac:dyDescent="0.25">
      <c r="A914" t="s">
        <v>389</v>
      </c>
      <c r="B914">
        <v>29</v>
      </c>
      <c r="C914" t="s">
        <v>29</v>
      </c>
      <c r="D914" t="s">
        <v>44</v>
      </c>
      <c r="E914" t="s">
        <v>24</v>
      </c>
      <c r="F914" t="s">
        <v>25</v>
      </c>
      <c r="G914" t="s">
        <v>367</v>
      </c>
      <c r="H914">
        <v>5775</v>
      </c>
      <c r="I914" t="s">
        <v>271</v>
      </c>
      <c r="J914" s="6" t="s">
        <v>38</v>
      </c>
      <c r="K914" s="15">
        <v>1.6</v>
      </c>
      <c r="L914" s="5">
        <v>0</v>
      </c>
      <c r="M914" s="15">
        <v>3.9</v>
      </c>
      <c r="N914">
        <v>4</v>
      </c>
      <c r="O914">
        <v>5</v>
      </c>
      <c r="P914">
        <v>5.2</v>
      </c>
      <c r="Q914">
        <v>6.7</v>
      </c>
      <c r="R914" s="2">
        <f>IF(ISBLANK(Table1[[#This Row],[Age]]),AVERAGE(Table1[Age]),Table1[[#This Row],[Age]])</f>
        <v>29</v>
      </c>
      <c r="S914" t="str">
        <f>PROPER(Table1[[#This Row],[Country]])</f>
        <v>United States</v>
      </c>
      <c r="T914" t="str">
        <f>TRIM(Table1[[#This Row],[Profession]])</f>
        <v>Content Writer</v>
      </c>
      <c r="U914" s="5">
        <f>IF(ISBLANK(H914),AVERAGEIF(Table1[[#This Row],[Profession imputed]],T914,Table1[Monthly_Income]),H914)</f>
        <v>5775</v>
      </c>
      <c r="V914" s="6" t="str">
        <f>PROPER(TRIM(Table1[AI_Tool]))</f>
        <v>Chat Gpt</v>
      </c>
      <c r="W914" s="8">
        <f>IF(ISBLANK(Table1[[#This Row],[Time_Saved_Hours_Per_Week]]),AVERAGEIF(Table1[Satisfaction_Score],Table1[[#This Row],[Satisfaction_Score]],Table1[Time_Saved_Hours_Per_Week]),Table1[[#This Row],[Time_Saved_Hours_Per_Week]])</f>
        <v>5.2</v>
      </c>
    </row>
    <row r="915" spans="1:23" x14ac:dyDescent="0.25">
      <c r="A915" t="s">
        <v>1035</v>
      </c>
      <c r="B915">
        <v>38</v>
      </c>
      <c r="C915" t="s">
        <v>29</v>
      </c>
      <c r="D915" t="s">
        <v>44</v>
      </c>
      <c r="E915" t="s">
        <v>24</v>
      </c>
      <c r="F915" t="s">
        <v>45</v>
      </c>
      <c r="G915" t="s">
        <v>1019</v>
      </c>
      <c r="H915">
        <v>5779</v>
      </c>
      <c r="I915" t="s">
        <v>271</v>
      </c>
      <c r="J915" s="6" t="s">
        <v>33</v>
      </c>
      <c r="K915" s="15">
        <v>2.8</v>
      </c>
      <c r="L915" s="5">
        <v>0</v>
      </c>
      <c r="M915" s="15">
        <v>5.4</v>
      </c>
      <c r="N915">
        <v>4</v>
      </c>
      <c r="O915">
        <v>7</v>
      </c>
      <c r="P915">
        <v>6.2</v>
      </c>
      <c r="Q915">
        <v>8.1999999999999993</v>
      </c>
      <c r="R915" s="2">
        <f>IF(ISBLANK(Table1[[#This Row],[Age]]),AVERAGE(Table1[Age]),Table1[[#This Row],[Age]])</f>
        <v>38</v>
      </c>
      <c r="S915" t="str">
        <f>PROPER(Table1[[#This Row],[Country]])</f>
        <v>United States</v>
      </c>
      <c r="T915" t="str">
        <f>TRIM(Table1[[#This Row],[Profession]])</f>
        <v>Software Developer</v>
      </c>
      <c r="U915" s="5">
        <f>IF(ISBLANK(H915),AVERAGEIF(Table1[[#This Row],[Profession imputed]],T915,Table1[Monthly_Income]),H915)</f>
        <v>5779</v>
      </c>
      <c r="V915" s="6" t="str">
        <f>PROPER(TRIM(Table1[AI_Tool]))</f>
        <v>Chat Gpt</v>
      </c>
      <c r="W915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916" spans="1:23" x14ac:dyDescent="0.25">
      <c r="A916" t="s">
        <v>481</v>
      </c>
      <c r="B916">
        <v>29</v>
      </c>
      <c r="C916" t="s">
        <v>29</v>
      </c>
      <c r="D916" t="s">
        <v>137</v>
      </c>
      <c r="E916" t="s">
        <v>24</v>
      </c>
      <c r="F916" t="s">
        <v>25</v>
      </c>
      <c r="G916" s="3" t="s">
        <v>476</v>
      </c>
      <c r="H916">
        <v>5785</v>
      </c>
      <c r="I916" t="s">
        <v>58</v>
      </c>
      <c r="J916" s="6" t="s">
        <v>106</v>
      </c>
      <c r="K916" s="15">
        <v>1.7</v>
      </c>
      <c r="L916" s="5">
        <v>0</v>
      </c>
      <c r="M916" s="15">
        <v>6</v>
      </c>
      <c r="N916" s="7">
        <v>4</v>
      </c>
      <c r="O916">
        <v>7</v>
      </c>
      <c r="P916">
        <v>3.7</v>
      </c>
      <c r="Q916">
        <v>6.4</v>
      </c>
      <c r="R916" s="2">
        <f>IF(ISBLANK(Table1[[#This Row],[Age]]),AVERAGE(Table1[Age]),Table1[[#This Row],[Age]])</f>
        <v>29</v>
      </c>
      <c r="S916" t="str">
        <f>PROPER(Table1[[#This Row],[Country]])</f>
        <v>France</v>
      </c>
      <c r="T916" t="str">
        <f>TRIM(Table1[[#This Row],[Profession]])</f>
        <v>Data Analyst</v>
      </c>
      <c r="U916" s="5">
        <f>IF(ISBLANK(H916),AVERAGEIF(Table1[Profession imputed],T916,Table1[Monthly_Income]),H916)</f>
        <v>5785</v>
      </c>
      <c r="V916" s="6" t="str">
        <f>PROPER(TRIM(Table1[AI_Tool]))</f>
        <v>Claude</v>
      </c>
      <c r="W916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917" spans="1:23" x14ac:dyDescent="0.25">
      <c r="A917" t="s">
        <v>93</v>
      </c>
      <c r="B917">
        <v>27</v>
      </c>
      <c r="C917" t="s">
        <v>22</v>
      </c>
      <c r="D917" t="s">
        <v>92</v>
      </c>
      <c r="E917" t="s">
        <v>24</v>
      </c>
      <c r="F917" t="s">
        <v>55</v>
      </c>
      <c r="G917" t="s">
        <v>90</v>
      </c>
      <c r="H917">
        <v>5849</v>
      </c>
      <c r="I917" t="s">
        <v>1186</v>
      </c>
      <c r="J917" s="6" t="s">
        <v>27</v>
      </c>
      <c r="K917" s="15">
        <v>1.9</v>
      </c>
      <c r="L917" s="5">
        <v>0</v>
      </c>
      <c r="M917" s="15">
        <v>3.7</v>
      </c>
      <c r="N917">
        <v>4</v>
      </c>
      <c r="O917">
        <v>5</v>
      </c>
      <c r="P917">
        <v>0.8</v>
      </c>
      <c r="Q917">
        <v>7.6</v>
      </c>
      <c r="R917" s="2">
        <f>IF(ISBLANK(Table1[[#This Row],[Age]]),AVERAGE(Table1[Age]),Table1[[#This Row],[Age]])</f>
        <v>27</v>
      </c>
      <c r="S917" t="str">
        <f>PROPER(Table1[[#This Row],[Country]])</f>
        <v>Canada</v>
      </c>
      <c r="T917" t="str">
        <f>TRIM(Table1[[#This Row],[Profession]])</f>
        <v>AI Customer Support Specialist</v>
      </c>
      <c r="U917" s="5">
        <f>IF(ISBLANK(H917),AVERAGEIF(Table1[[#This Row],[Profession imputed]],T917,Table1[Monthly_Income]),H917)</f>
        <v>5849</v>
      </c>
      <c r="V917" s="6" t="str">
        <f>PROPER(TRIM(Table1[AI_Tool]))</f>
        <v>Google Gemini</v>
      </c>
      <c r="W917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918" spans="1:23" x14ac:dyDescent="0.25">
      <c r="A918" t="s">
        <v>445</v>
      </c>
      <c r="B918">
        <v>47</v>
      </c>
      <c r="C918" t="s">
        <v>22</v>
      </c>
      <c r="D918" t="s">
        <v>117</v>
      </c>
      <c r="E918" t="s">
        <v>24</v>
      </c>
      <c r="F918" t="s">
        <v>25</v>
      </c>
      <c r="G918" t="s">
        <v>441</v>
      </c>
      <c r="H918">
        <v>5872</v>
      </c>
      <c r="I918" t="s">
        <v>271</v>
      </c>
      <c r="J918" s="6" t="s">
        <v>27</v>
      </c>
      <c r="K918" s="15">
        <v>0.9</v>
      </c>
      <c r="L918" s="5">
        <v>25</v>
      </c>
      <c r="M918" s="15">
        <v>4.0999999999999996</v>
      </c>
      <c r="N918">
        <v>5</v>
      </c>
      <c r="O918">
        <v>6</v>
      </c>
      <c r="P918">
        <v>3.9</v>
      </c>
      <c r="Q918">
        <v>5.9</v>
      </c>
      <c r="R918" s="2">
        <f>IF(ISBLANK(Table1[[#This Row],[Age]]),AVERAGE(Table1[Age]),Table1[[#This Row],[Age]])</f>
        <v>47</v>
      </c>
      <c r="S918" t="str">
        <f>PROPER(Table1[[#This Row],[Country]])</f>
        <v>United Kingdom</v>
      </c>
      <c r="T918" t="str">
        <f>TRIM(Table1[[#This Row],[Profession]])</f>
        <v>Customer Support Manager</v>
      </c>
      <c r="U918" s="5">
        <f>IF(ISBLANK(H918),AVERAGEIF(Table1[Profession imputed],T918,Table1[Monthly_Income]),H918)</f>
        <v>5872</v>
      </c>
      <c r="V918" s="6" t="str">
        <f>PROPER(TRIM(Table1[AI_Tool]))</f>
        <v>Chat Gpt</v>
      </c>
      <c r="W918" s="8">
        <f>IF(ISBLANK(Table1[[#This Row],[Time_Saved_Hours_Per_Week]]),AVERAGEIF(Table1[Satisfaction_Score],Table1[[#This Row],[Satisfaction_Score]],Table1[Time_Saved_Hours_Per_Week]),Table1[[#This Row],[Time_Saved_Hours_Per_Week]])</f>
        <v>3.9</v>
      </c>
    </row>
    <row r="919" spans="1:23" x14ac:dyDescent="0.25">
      <c r="A919" t="s">
        <v>987</v>
      </c>
      <c r="B919">
        <v>37</v>
      </c>
      <c r="C919" t="s">
        <v>29</v>
      </c>
      <c r="D919" t="s">
        <v>189</v>
      </c>
      <c r="E919" t="s">
        <v>24</v>
      </c>
      <c r="F919" t="s">
        <v>25</v>
      </c>
      <c r="G919" t="s">
        <v>979</v>
      </c>
      <c r="H919">
        <v>5878</v>
      </c>
      <c r="I919" t="s">
        <v>271</v>
      </c>
      <c r="J919" s="6" t="s">
        <v>33</v>
      </c>
      <c r="K919" s="15">
        <v>1.3</v>
      </c>
      <c r="L919" s="5">
        <v>20</v>
      </c>
      <c r="M919" s="15">
        <v>3.1</v>
      </c>
      <c r="N919">
        <v>3</v>
      </c>
      <c r="O919">
        <v>4</v>
      </c>
      <c r="P919">
        <v>4.3</v>
      </c>
      <c r="Q919">
        <v>8.1</v>
      </c>
      <c r="R919" s="2">
        <f>IF(ISBLANK(Table1[[#This Row],[Age]]),AVERAGE(Table1[Age]),Table1[[#This Row],[Age]])</f>
        <v>37</v>
      </c>
      <c r="S919" t="str">
        <f>PROPER(Table1[[#This Row],[Country]])</f>
        <v>Australia</v>
      </c>
      <c r="T919" t="str">
        <f>TRIM(Table1[[#This Row],[Profession]])</f>
        <v>Senior Software Developer</v>
      </c>
      <c r="U919" s="5">
        <f>IF(ISBLANK(H919),AVERAGEIF(Table1[[#This Row],[Profession imputed]],T919,Table1[Monthly_Income]),H919)</f>
        <v>5878</v>
      </c>
      <c r="V919" s="6" t="str">
        <f>PROPER(TRIM(Table1[AI_Tool]))</f>
        <v>Chat Gpt</v>
      </c>
      <c r="W919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20" spans="1:23" x14ac:dyDescent="0.25">
      <c r="A920" t="s">
        <v>908</v>
      </c>
      <c r="B920">
        <v>48</v>
      </c>
      <c r="C920" t="s">
        <v>29</v>
      </c>
      <c r="D920" t="s">
        <v>189</v>
      </c>
      <c r="E920" t="s">
        <v>24</v>
      </c>
      <c r="F920" t="s">
        <v>55</v>
      </c>
      <c r="G920" t="s">
        <v>906</v>
      </c>
      <c r="H920">
        <v>5903</v>
      </c>
      <c r="I920" t="s">
        <v>271</v>
      </c>
      <c r="J920" s="6" t="s">
        <v>130</v>
      </c>
      <c r="K920" s="15">
        <v>1.6</v>
      </c>
      <c r="L920" s="5">
        <v>20</v>
      </c>
      <c r="M920" s="15">
        <v>5.2</v>
      </c>
      <c r="N920">
        <v>3</v>
      </c>
      <c r="O920">
        <v>7</v>
      </c>
      <c r="P920">
        <v>6.5</v>
      </c>
      <c r="Q920">
        <v>9.6999999999999993</v>
      </c>
      <c r="R920" s="2">
        <f>IF(ISBLANK(Table1[[#This Row],[Age]]),AVERAGE(Table1[Age]),Table1[[#This Row],[Age]])</f>
        <v>48</v>
      </c>
      <c r="S920" t="str">
        <f>PROPER(Table1[[#This Row],[Country]])</f>
        <v>Australia</v>
      </c>
      <c r="T920" t="str">
        <f>TRIM(Table1[[#This Row],[Profession]])</f>
        <v>Research Analyst</v>
      </c>
      <c r="U920" s="5">
        <f>IF(ISBLANK(H920),AVERAGEIF(Table1[[#This Row],[Profession imputed]],T920,Table1[Monthly_Income]),H920)</f>
        <v>5903</v>
      </c>
      <c r="V920" s="6" t="str">
        <f>PROPER(TRIM(Table1[AI_Tool]))</f>
        <v>Chat Gpt</v>
      </c>
      <c r="W920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921" spans="1:23" x14ac:dyDescent="0.25">
      <c r="A921" t="s">
        <v>43</v>
      </c>
      <c r="B921">
        <v>35</v>
      </c>
      <c r="C921" t="s">
        <v>22</v>
      </c>
      <c r="D921" t="s">
        <v>44</v>
      </c>
      <c r="E921" t="s">
        <v>24</v>
      </c>
      <c r="F921" t="s">
        <v>45</v>
      </c>
      <c r="G921" t="s">
        <v>46</v>
      </c>
      <c r="H921">
        <v>5966</v>
      </c>
      <c r="I921" t="s">
        <v>271</v>
      </c>
      <c r="J921" s="6" t="s">
        <v>47</v>
      </c>
      <c r="K921" s="15">
        <v>4.9000000000000004</v>
      </c>
      <c r="L921" s="5">
        <v>20</v>
      </c>
      <c r="M921" s="15">
        <v>5.7</v>
      </c>
      <c r="N921">
        <v>3</v>
      </c>
      <c r="O921">
        <v>5</v>
      </c>
      <c r="P921">
        <v>11.5</v>
      </c>
      <c r="Q921">
        <v>9.3000000000000007</v>
      </c>
      <c r="R921" s="2">
        <f>IF(ISBLANK(Table1[[#This Row],[Age]]),AVERAGE(Table1[Age]),Table1[[#This Row],[Age]])</f>
        <v>35</v>
      </c>
      <c r="S921" t="str">
        <f>PROPER(Table1[[#This Row],[Country]])</f>
        <v>United States</v>
      </c>
      <c r="T921" t="str">
        <f>TRIM(Table1[[#This Row],[Profession]])</f>
        <v>Administrative Assistant</v>
      </c>
      <c r="U921" s="5">
        <f>IF(ISBLANK(H921),AVERAGEIF(Table1[Profession imputed],T921,Table1[Monthly_Income]),H921)</f>
        <v>5966</v>
      </c>
      <c r="V921" s="6" t="str">
        <f>PROPER(TRIM(Table1[AI_Tool]))</f>
        <v>Chat Gpt</v>
      </c>
      <c r="W921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922" spans="1:23" x14ac:dyDescent="0.25">
      <c r="A922" t="s">
        <v>489</v>
      </c>
      <c r="B922">
        <v>29</v>
      </c>
      <c r="C922" t="s">
        <v>29</v>
      </c>
      <c r="D922" t="s">
        <v>137</v>
      </c>
      <c r="E922" t="s">
        <v>24</v>
      </c>
      <c r="F922" t="s">
        <v>25</v>
      </c>
      <c r="G922" s="3" t="s">
        <v>476</v>
      </c>
      <c r="H922">
        <v>5969</v>
      </c>
      <c r="I922" t="s">
        <v>58</v>
      </c>
      <c r="J922" s="6" t="s">
        <v>106</v>
      </c>
      <c r="K922" s="15">
        <v>1.7</v>
      </c>
      <c r="L922" s="5">
        <v>0</v>
      </c>
      <c r="M922" s="15">
        <v>6</v>
      </c>
      <c r="N922" s="7">
        <v>4</v>
      </c>
      <c r="O922">
        <v>7</v>
      </c>
      <c r="P922">
        <v>3.7</v>
      </c>
      <c r="Q922">
        <v>6.4</v>
      </c>
      <c r="R922" s="2">
        <f>IF(ISBLANK(Table1[[#This Row],[Age]]),AVERAGE(Table1[Age]),Table1[[#This Row],[Age]])</f>
        <v>29</v>
      </c>
      <c r="S922" t="str">
        <f>PROPER(Table1[[#This Row],[Country]])</f>
        <v>France</v>
      </c>
      <c r="T922" t="str">
        <f>TRIM(Table1[[#This Row],[Profession]])</f>
        <v>Data Analyst</v>
      </c>
      <c r="U922" s="5">
        <f>IF(ISBLANK(H922),AVERAGEIF(Table1[Profession imputed],T922,Table1[Monthly_Income]),H922)</f>
        <v>5969</v>
      </c>
      <c r="V922" s="6" t="str">
        <f>PROPER(TRIM(Table1[AI_Tool]))</f>
        <v>Claude</v>
      </c>
      <c r="W922" s="8">
        <f>IF(ISBLANK(Table1[[#This Row],[Time_Saved_Hours_Per_Week]]),AVERAGEIF(Table1[Satisfaction_Score],Table1[[#This Row],[Satisfaction_Score]],Table1[Time_Saved_Hours_Per_Week]),Table1[[#This Row],[Time_Saved_Hours_Per_Week]])</f>
        <v>3.7</v>
      </c>
    </row>
    <row r="923" spans="1:23" x14ac:dyDescent="0.25">
      <c r="A923" t="s">
        <v>895</v>
      </c>
      <c r="B923">
        <v>23</v>
      </c>
      <c r="C923" t="s">
        <v>22</v>
      </c>
      <c r="D923" t="s">
        <v>23</v>
      </c>
      <c r="E923" t="s">
        <v>24</v>
      </c>
      <c r="F923" t="s">
        <v>55</v>
      </c>
      <c r="G923" t="s">
        <v>896</v>
      </c>
      <c r="H923">
        <v>5976</v>
      </c>
      <c r="I923" t="s">
        <v>271</v>
      </c>
      <c r="J923" s="6" t="s">
        <v>47</v>
      </c>
      <c r="K923" s="15">
        <v>2</v>
      </c>
      <c r="L923" s="5">
        <v>0</v>
      </c>
      <c r="M923" s="15">
        <v>5</v>
      </c>
      <c r="N923">
        <v>2</v>
      </c>
      <c r="O923">
        <v>5</v>
      </c>
      <c r="P923">
        <v>5.8</v>
      </c>
      <c r="Q923">
        <v>6.6</v>
      </c>
      <c r="R923" s="2">
        <f>IF(ISBLANK(Table1[[#This Row],[Age]]),AVERAGE(Table1[Age]),Table1[[#This Row],[Age]])</f>
        <v>23</v>
      </c>
      <c r="S923" t="str">
        <f>PROPER(Table1[[#This Row],[Country]])</f>
        <v>Germany</v>
      </c>
      <c r="T923" t="str">
        <f>TRIM(Table1[[#This Row],[Profession]])</f>
        <v>Project Manager</v>
      </c>
      <c r="U923" s="5">
        <f>IF(ISBLANK(H923),AVERAGEIF(Table1[[#This Row],[Profession imputed]],T923,Table1[Monthly_Income]),H923)</f>
        <v>5976</v>
      </c>
      <c r="V923" s="6" t="str">
        <f>PROPER(TRIM(Table1[AI_Tool]))</f>
        <v>Chat Gpt</v>
      </c>
      <c r="W923" s="8">
        <f>IF(ISBLANK(Table1[[#This Row],[Time_Saved_Hours_Per_Week]]),AVERAGEIF(Table1[Satisfaction_Score],Table1[[#This Row],[Satisfaction_Score]],Table1[Time_Saved_Hours_Per_Week]),Table1[[#This Row],[Time_Saved_Hours_Per_Week]])</f>
        <v>5.8</v>
      </c>
    </row>
    <row r="924" spans="1:23" x14ac:dyDescent="0.25">
      <c r="A924" t="s">
        <v>913</v>
      </c>
      <c r="B924">
        <v>49</v>
      </c>
      <c r="C924" t="s">
        <v>29</v>
      </c>
      <c r="D924" t="s">
        <v>189</v>
      </c>
      <c r="E924" t="s">
        <v>24</v>
      </c>
      <c r="F924" t="s">
        <v>55</v>
      </c>
      <c r="G924" t="s">
        <v>906</v>
      </c>
      <c r="H924">
        <v>5977</v>
      </c>
      <c r="I924" t="s">
        <v>271</v>
      </c>
      <c r="J924" s="6" t="s">
        <v>130</v>
      </c>
      <c r="K924" s="15">
        <v>1.6</v>
      </c>
      <c r="L924" s="5">
        <v>20</v>
      </c>
      <c r="M924" s="15">
        <v>5.2</v>
      </c>
      <c r="N924">
        <v>3</v>
      </c>
      <c r="O924">
        <v>7</v>
      </c>
      <c r="P924">
        <v>6.5</v>
      </c>
      <c r="Q924">
        <v>9.6999999999999993</v>
      </c>
      <c r="R924" s="2">
        <f>IF(ISBLANK(Table1[[#This Row],[Age]]),AVERAGE(Table1[Age]),Table1[[#This Row],[Age]])</f>
        <v>49</v>
      </c>
      <c r="S924" t="str">
        <f>PROPER(Table1[[#This Row],[Country]])</f>
        <v>Australia</v>
      </c>
      <c r="T924" t="str">
        <f>TRIM(Table1[[#This Row],[Profession]])</f>
        <v>Research Analyst</v>
      </c>
      <c r="U924" s="5">
        <f>IF(ISBLANK(H924),AVERAGEIF(Table1[[#This Row],[Profession imputed]],T924,Table1[Monthly_Income]),H924)</f>
        <v>5977</v>
      </c>
      <c r="V924" s="6" t="str">
        <f>PROPER(TRIM(Table1[AI_Tool]))</f>
        <v>Chat Gpt</v>
      </c>
      <c r="W924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925" spans="1:23" x14ac:dyDescent="0.25">
      <c r="A925" t="s">
        <v>1036</v>
      </c>
      <c r="B925">
        <v>34</v>
      </c>
      <c r="C925" t="s">
        <v>29</v>
      </c>
      <c r="D925" t="s">
        <v>44</v>
      </c>
      <c r="E925" t="s">
        <v>24</v>
      </c>
      <c r="F925" t="s">
        <v>45</v>
      </c>
      <c r="G925" t="s">
        <v>1019</v>
      </c>
      <c r="H925">
        <v>5981</v>
      </c>
      <c r="I925" t="s">
        <v>271</v>
      </c>
      <c r="J925" s="6" t="s">
        <v>33</v>
      </c>
      <c r="K925" s="15">
        <v>2.8</v>
      </c>
      <c r="L925" s="5">
        <v>0</v>
      </c>
      <c r="M925" s="15">
        <v>5.4</v>
      </c>
      <c r="N925">
        <v>4</v>
      </c>
      <c r="O925">
        <v>7</v>
      </c>
      <c r="P925">
        <v>6.2</v>
      </c>
      <c r="Q925">
        <v>8.1999999999999993</v>
      </c>
      <c r="R925" s="2">
        <f>IF(ISBLANK(Table1[[#This Row],[Age]]),AVERAGE(Table1[Age]),Table1[[#This Row],[Age]])</f>
        <v>34</v>
      </c>
      <c r="S925" t="str">
        <f>PROPER(Table1[[#This Row],[Country]])</f>
        <v>United States</v>
      </c>
      <c r="T925" t="str">
        <f>TRIM(Table1[[#This Row],[Profession]])</f>
        <v>Software Developer</v>
      </c>
      <c r="U925" s="5">
        <f>IF(ISBLANK(H925),AVERAGEIF(Table1[[#This Row],[Profession imputed]],T925,Table1[Monthly_Income]),H925)</f>
        <v>5981</v>
      </c>
      <c r="V925" s="6" t="str">
        <f>PROPER(TRIM(Table1[AI_Tool]))</f>
        <v>Chat Gpt</v>
      </c>
      <c r="W925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926" spans="1:23" x14ac:dyDescent="0.25">
      <c r="A926" t="s">
        <v>362</v>
      </c>
      <c r="B926">
        <v>33</v>
      </c>
      <c r="C926" t="s">
        <v>22</v>
      </c>
      <c r="D926" t="s">
        <v>44</v>
      </c>
      <c r="E926" t="s">
        <v>24</v>
      </c>
      <c r="F926" t="s">
        <v>55</v>
      </c>
      <c r="G926" t="s">
        <v>358</v>
      </c>
      <c r="H926">
        <v>5982</v>
      </c>
      <c r="I926" t="s">
        <v>271</v>
      </c>
      <c r="J926" s="6" t="s">
        <v>38</v>
      </c>
      <c r="K926" s="15">
        <v>8</v>
      </c>
      <c r="L926" s="5">
        <v>0</v>
      </c>
      <c r="M926" s="15">
        <v>7.3</v>
      </c>
      <c r="N926">
        <v>2</v>
      </c>
      <c r="O926">
        <v>7</v>
      </c>
      <c r="P926">
        <v>16.3</v>
      </c>
      <c r="Q926">
        <v>7.4</v>
      </c>
      <c r="R926" s="2">
        <f>IF(ISBLANK(Table1[[#This Row],[Age]]),AVERAGE(Table1[Age]),Table1[[#This Row],[Age]])</f>
        <v>33</v>
      </c>
      <c r="S926" t="str">
        <f>PROPER(Table1[[#This Row],[Country]])</f>
        <v>United States</v>
      </c>
      <c r="T926" t="str">
        <f>TRIM(Table1[[#This Row],[Profession]])</f>
        <v>Content Strategy Manager</v>
      </c>
      <c r="U926" s="5">
        <f>IF(ISBLANK(H926),AVERAGEIF(Table1[[#This Row],[Profession imputed]],T926,Table1[Monthly_Income]),H926)</f>
        <v>5982</v>
      </c>
      <c r="V926" s="6" t="str">
        <f>PROPER(TRIM(Table1[AI_Tool]))</f>
        <v>Chat Gpt</v>
      </c>
      <c r="W926" s="8">
        <f>IF(ISBLANK(Table1[[#This Row],[Time_Saved_Hours_Per_Week]]),AVERAGEIF(Table1[Satisfaction_Score],Table1[[#This Row],[Satisfaction_Score]],Table1[Time_Saved_Hours_Per_Week]),Table1[[#This Row],[Time_Saved_Hours_Per_Week]])</f>
        <v>16.3</v>
      </c>
    </row>
    <row r="927" spans="1:23" x14ac:dyDescent="0.25">
      <c r="A927" t="s">
        <v>844</v>
      </c>
      <c r="B927">
        <v>34</v>
      </c>
      <c r="C927" t="s">
        <v>22</v>
      </c>
      <c r="D927" t="s">
        <v>189</v>
      </c>
      <c r="E927" t="s">
        <v>24</v>
      </c>
      <c r="F927" t="s">
        <v>45</v>
      </c>
      <c r="G927" t="s">
        <v>843</v>
      </c>
      <c r="H927">
        <v>5988</v>
      </c>
      <c r="I927" t="s">
        <v>271</v>
      </c>
      <c r="J927" s="6" t="s">
        <v>38</v>
      </c>
      <c r="K927" s="15">
        <v>1.9</v>
      </c>
      <c r="L927" s="5">
        <v>0</v>
      </c>
      <c r="M927" s="15">
        <v>5.4</v>
      </c>
      <c r="N927">
        <v>4</v>
      </c>
      <c r="O927">
        <v>7</v>
      </c>
      <c r="P927">
        <v>6</v>
      </c>
      <c r="Q927">
        <v>11</v>
      </c>
      <c r="R927" s="2">
        <f>IF(ISBLANK(Table1[[#This Row],[Age]]),AVERAGE(Table1[Age]),Table1[[#This Row],[Age]])</f>
        <v>34</v>
      </c>
      <c r="S927" t="str">
        <f>PROPER(Table1[[#This Row],[Country]])</f>
        <v>Australia</v>
      </c>
      <c r="T927" t="str">
        <f>TRIM(Table1[[#This Row],[Profession]])</f>
        <v>Marketing Communications Officer</v>
      </c>
      <c r="U927" s="5">
        <f>IF(ISBLANK(H927),AVERAGEIF(Table1[[#This Row],[Profession imputed]],T927,Table1[Monthly_Income]),H927)</f>
        <v>5988</v>
      </c>
      <c r="V927" s="6" t="str">
        <f>PROPER(TRIM(Table1[AI_Tool]))</f>
        <v>Chat Gpt</v>
      </c>
      <c r="W927" s="8">
        <f>IF(ISBLANK(Table1[[#This Row],[Time_Saved_Hours_Per_Week]]),AVERAGEIF(Table1[Satisfaction_Score],Table1[[#This Row],[Satisfaction_Score]],Table1[Time_Saved_Hours_Per_Week]),Table1[[#This Row],[Time_Saved_Hours_Per_Week]])</f>
        <v>6</v>
      </c>
    </row>
    <row r="928" spans="1:23" x14ac:dyDescent="0.25">
      <c r="A928" t="s">
        <v>466</v>
      </c>
      <c r="B928">
        <v>29</v>
      </c>
      <c r="C928" t="s">
        <v>29</v>
      </c>
      <c r="D928" t="s">
        <v>189</v>
      </c>
      <c r="E928" t="s">
        <v>24</v>
      </c>
      <c r="F928" t="s">
        <v>25</v>
      </c>
      <c r="G928" t="s">
        <v>454</v>
      </c>
      <c r="H928">
        <v>6111</v>
      </c>
      <c r="I928" t="s">
        <v>1186</v>
      </c>
      <c r="J928" s="6" t="s">
        <v>27</v>
      </c>
      <c r="K928" s="15">
        <v>4.5999999999999996</v>
      </c>
      <c r="L928" s="5">
        <v>0</v>
      </c>
      <c r="M928" s="15">
        <v>8.8000000000000007</v>
      </c>
      <c r="N928">
        <v>2</v>
      </c>
      <c r="O928">
        <v>6</v>
      </c>
      <c r="P928">
        <v>11.5</v>
      </c>
      <c r="Q928">
        <v>8.6999999999999993</v>
      </c>
      <c r="R928" s="2">
        <f>IF(ISBLANK(Table1[[#This Row],[Age]]),AVERAGE(Table1[Age]),Table1[[#This Row],[Age]])</f>
        <v>29</v>
      </c>
      <c r="S928" t="str">
        <f>PROPER(Table1[[#This Row],[Country]])</f>
        <v>Australia</v>
      </c>
      <c r="T928" t="str">
        <f>TRIM(Table1[[#This Row],[Profession]])</f>
        <v>Customer Support Specialist</v>
      </c>
      <c r="U928" s="5">
        <f>IF(ISBLANK(H928),AVERAGEIF(Table1[Profession imputed],T928,Table1[Monthly_Income]),H928)</f>
        <v>6111</v>
      </c>
      <c r="V928" s="6" t="str">
        <f>PROPER(TRIM(Table1[AI_Tool]))</f>
        <v>Google Gemini</v>
      </c>
      <c r="W928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929" spans="1:23" x14ac:dyDescent="0.25">
      <c r="A929" t="s">
        <v>91</v>
      </c>
      <c r="B929">
        <v>25</v>
      </c>
      <c r="C929" t="s">
        <v>22</v>
      </c>
      <c r="D929" t="s">
        <v>92</v>
      </c>
      <c r="E929" t="s">
        <v>24</v>
      </c>
      <c r="F929" t="s">
        <v>55</v>
      </c>
      <c r="G929" t="s">
        <v>90</v>
      </c>
      <c r="H929">
        <v>6171</v>
      </c>
      <c r="I929" t="s">
        <v>1186</v>
      </c>
      <c r="J929" s="6" t="s">
        <v>27</v>
      </c>
      <c r="K929" s="15">
        <v>1.9</v>
      </c>
      <c r="L929" s="5">
        <v>0</v>
      </c>
      <c r="M929" s="15">
        <v>3.7</v>
      </c>
      <c r="N929">
        <v>4</v>
      </c>
      <c r="O929">
        <v>5</v>
      </c>
      <c r="P929">
        <v>0.8</v>
      </c>
      <c r="Q929">
        <v>7.6</v>
      </c>
      <c r="R929" s="2">
        <f>IF(ISBLANK(Table1[[#This Row],[Age]]),AVERAGE(Table1[Age]),Table1[[#This Row],[Age]])</f>
        <v>25</v>
      </c>
      <c r="S929" t="str">
        <f>PROPER(Table1[[#This Row],[Country]])</f>
        <v>Canada</v>
      </c>
      <c r="T929" t="str">
        <f>TRIM(Table1[[#This Row],[Profession]])</f>
        <v>AI Customer Support Specialist</v>
      </c>
      <c r="U929" s="5">
        <f>IF(ISBLANK(H929),AVERAGEIF(Table1[[#This Row],[Profession imputed]],T929,Table1[Monthly_Income]),H929)</f>
        <v>6171</v>
      </c>
      <c r="V929" s="6" t="str">
        <f>PROPER(TRIM(Table1[AI_Tool]))</f>
        <v>Google Gemini</v>
      </c>
      <c r="W929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930" spans="1:23" x14ac:dyDescent="0.25">
      <c r="A930" t="s">
        <v>842</v>
      </c>
      <c r="B930">
        <v>33</v>
      </c>
      <c r="C930" t="s">
        <v>22</v>
      </c>
      <c r="D930" t="s">
        <v>189</v>
      </c>
      <c r="E930" t="s">
        <v>24</v>
      </c>
      <c r="F930" t="s">
        <v>45</v>
      </c>
      <c r="G930" t="s">
        <v>843</v>
      </c>
      <c r="H930">
        <v>6197</v>
      </c>
      <c r="I930" t="s">
        <v>271</v>
      </c>
      <c r="J930" s="6" t="s">
        <v>38</v>
      </c>
      <c r="K930" s="15">
        <v>1.9</v>
      </c>
      <c r="L930" s="5">
        <v>0</v>
      </c>
      <c r="M930" s="15">
        <v>5.4</v>
      </c>
      <c r="N930">
        <v>4</v>
      </c>
      <c r="O930">
        <v>7</v>
      </c>
      <c r="P930">
        <v>6</v>
      </c>
      <c r="Q930">
        <v>11</v>
      </c>
      <c r="R930" s="2">
        <f>IF(ISBLANK(Table1[[#This Row],[Age]]),AVERAGE(Table1[Age]),Table1[[#This Row],[Age]])</f>
        <v>33</v>
      </c>
      <c r="S930" t="str">
        <f>PROPER(Table1[[#This Row],[Country]])</f>
        <v>Australia</v>
      </c>
      <c r="T930" t="str">
        <f>TRIM(Table1[[#This Row],[Profession]])</f>
        <v>Marketing Communications Officer</v>
      </c>
      <c r="U930" s="5">
        <f>IF(ISBLANK(H930),AVERAGEIF(Table1[[#This Row],[Profession imputed]],T930,Table1[Monthly_Income]),H930)</f>
        <v>6197</v>
      </c>
      <c r="V930" s="6" t="str">
        <f>PROPER(TRIM(Table1[AI_Tool]))</f>
        <v>Chat Gpt</v>
      </c>
      <c r="W930" s="8">
        <f>IF(ISBLANK(Table1[[#This Row],[Time_Saved_Hours_Per_Week]]),AVERAGEIF(Table1[Satisfaction_Score],Table1[[#This Row],[Satisfaction_Score]],Table1[Time_Saved_Hours_Per_Week]),Table1[[#This Row],[Time_Saved_Hours_Per_Week]])</f>
        <v>6</v>
      </c>
    </row>
    <row r="931" spans="1:23" x14ac:dyDescent="0.25">
      <c r="A931" t="s">
        <v>1027</v>
      </c>
      <c r="B931">
        <v>37</v>
      </c>
      <c r="C931" t="s">
        <v>29</v>
      </c>
      <c r="D931" t="s">
        <v>44</v>
      </c>
      <c r="E931" t="s">
        <v>24</v>
      </c>
      <c r="F931" t="s">
        <v>45</v>
      </c>
      <c r="G931" t="s">
        <v>1019</v>
      </c>
      <c r="H931">
        <v>6211</v>
      </c>
      <c r="I931" t="s">
        <v>271</v>
      </c>
      <c r="J931" s="6" t="s">
        <v>33</v>
      </c>
      <c r="K931" s="15">
        <v>2.8</v>
      </c>
      <c r="L931" s="5">
        <v>0</v>
      </c>
      <c r="M931" s="15">
        <v>5.4</v>
      </c>
      <c r="N931">
        <v>4</v>
      </c>
      <c r="O931">
        <v>7</v>
      </c>
      <c r="P931">
        <v>6.2</v>
      </c>
      <c r="Q931">
        <v>8.1999999999999993</v>
      </c>
      <c r="R931" s="2">
        <f>IF(ISBLANK(Table1[[#This Row],[Age]]),AVERAGE(Table1[Age]),Table1[[#This Row],[Age]])</f>
        <v>37</v>
      </c>
      <c r="S931" t="str">
        <f>PROPER(Table1[[#This Row],[Country]])</f>
        <v>United States</v>
      </c>
      <c r="T931" t="str">
        <f>TRIM(Table1[[#This Row],[Profession]])</f>
        <v>Software Developer</v>
      </c>
      <c r="U931" s="5">
        <f>IF(ISBLANK(H931),AVERAGEIF(Table1[[#This Row],[Profession imputed]],T931,Table1[Monthly_Income]),H931)</f>
        <v>6211</v>
      </c>
      <c r="V931" s="6" t="str">
        <f>PROPER(TRIM(Table1[AI_Tool]))</f>
        <v>Chat Gpt</v>
      </c>
      <c r="W931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932" spans="1:23" x14ac:dyDescent="0.25">
      <c r="A932" t="s">
        <v>994</v>
      </c>
      <c r="B932">
        <v>26</v>
      </c>
      <c r="C932" t="s">
        <v>22</v>
      </c>
      <c r="D932" t="s">
        <v>23</v>
      </c>
      <c r="E932" t="s">
        <v>24</v>
      </c>
      <c r="F932" t="s">
        <v>55</v>
      </c>
      <c r="G932" t="s">
        <v>993</v>
      </c>
      <c r="H932">
        <v>6231</v>
      </c>
      <c r="I932" t="s">
        <v>1186</v>
      </c>
      <c r="J932" s="6" t="s">
        <v>33</v>
      </c>
      <c r="K932" s="15">
        <v>4.0999999999999996</v>
      </c>
      <c r="L932" s="5">
        <v>0</v>
      </c>
      <c r="M932" s="15">
        <v>6</v>
      </c>
      <c r="N932">
        <v>4</v>
      </c>
      <c r="O932">
        <v>7</v>
      </c>
      <c r="P932">
        <v>7.2</v>
      </c>
      <c r="Q932">
        <v>0</v>
      </c>
      <c r="R932" s="2">
        <f>IF(ISBLANK(Table1[[#This Row],[Age]]),AVERAGE(Table1[Age]),Table1[[#This Row],[Age]])</f>
        <v>26</v>
      </c>
      <c r="S932" t="str">
        <f>PROPER(Table1[[#This Row],[Country]])</f>
        <v>Germany</v>
      </c>
      <c r="T932" t="str">
        <f>TRIM(Table1[[#This Row],[Profession]])</f>
        <v>Senior Software Developer / Softwareentwicklerin</v>
      </c>
      <c r="U932" s="5">
        <f>IF(ISBLANK(H932),AVERAGEIF(Table1[[#This Row],[Profession imputed]],T932,Table1[Monthly_Income]),H932)</f>
        <v>6231</v>
      </c>
      <c r="V932" s="6" t="str">
        <f>PROPER(TRIM(Table1[AI_Tool]))</f>
        <v>Google Gemini</v>
      </c>
      <c r="W932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933" spans="1:23" x14ac:dyDescent="0.25">
      <c r="A933" t="s">
        <v>469</v>
      </c>
      <c r="C933" t="s">
        <v>22</v>
      </c>
      <c r="D933" t="s">
        <v>92</v>
      </c>
      <c r="E933" t="s">
        <v>24</v>
      </c>
      <c r="F933" t="s">
        <v>25</v>
      </c>
      <c r="G933" t="s">
        <v>454</v>
      </c>
      <c r="H933">
        <v>6249</v>
      </c>
      <c r="I933" t="s">
        <v>282</v>
      </c>
      <c r="J933" s="6" t="s">
        <v>27</v>
      </c>
      <c r="K933" s="15">
        <v>9.6999999999999993</v>
      </c>
      <c r="L933" s="5">
        <v>20</v>
      </c>
      <c r="M933" s="15">
        <v>7.7</v>
      </c>
      <c r="N933">
        <v>5</v>
      </c>
      <c r="O933">
        <v>9</v>
      </c>
      <c r="Q933">
        <v>11.6</v>
      </c>
      <c r="R933" s="2">
        <f>IF(ISBLANK(Table1[[#This Row],[Age]]),AVERAGE(Table1[Age]),Table1[[#This Row],[Age]])</f>
        <v>30.023333333333333</v>
      </c>
      <c r="S933" t="str">
        <f>PROPER(Table1[[#This Row],[Country]])</f>
        <v>Canada</v>
      </c>
      <c r="T933" t="str">
        <f>TRIM(Table1[[#This Row],[Profession]])</f>
        <v>Customer Support Specialist</v>
      </c>
      <c r="U933" s="5">
        <f>IF(ISBLANK(H933),AVERAGEIF(Table1[Profession imputed],T933,Table1[Monthly_Income]),H933)</f>
        <v>6249</v>
      </c>
      <c r="V933" s="6" t="str">
        <f>PROPER(TRIM(Table1[AI_Tool]))</f>
        <v>Deepseek</v>
      </c>
      <c r="W933" s="8">
        <f>IF(ISBLANK(Table1[[#This Row],[Time_Saved_Hours_Per_Week]]),AVERAGEIF(Table1[Satisfaction_Score],Table1[[#This Row],[Satisfaction_Score]],Table1[Time_Saved_Hours_Per_Week]),Table1[[#This Row],[Time_Saved_Hours_Per_Week]])</f>
        <v>10.763793103448272</v>
      </c>
    </row>
    <row r="934" spans="1:23" x14ac:dyDescent="0.25">
      <c r="A934" t="s">
        <v>1124</v>
      </c>
      <c r="B934">
        <v>64</v>
      </c>
      <c r="C934" t="s">
        <v>29</v>
      </c>
      <c r="D934" t="s">
        <v>189</v>
      </c>
      <c r="E934" t="s">
        <v>24</v>
      </c>
      <c r="F934" t="s">
        <v>25</v>
      </c>
      <c r="G934" t="s">
        <v>1121</v>
      </c>
      <c r="H934">
        <v>6267</v>
      </c>
      <c r="I934" t="s">
        <v>271</v>
      </c>
      <c r="J934" s="6" t="s">
        <v>38</v>
      </c>
      <c r="K934" s="15">
        <v>2.2999999999999998</v>
      </c>
      <c r="L934" s="5">
        <v>0</v>
      </c>
      <c r="M934" s="15">
        <v>4.8</v>
      </c>
      <c r="N934">
        <v>3</v>
      </c>
      <c r="O934">
        <v>5</v>
      </c>
      <c r="P934">
        <v>2</v>
      </c>
      <c r="Q934">
        <v>5.9</v>
      </c>
      <c r="R934" s="2">
        <f>IF(ISBLANK(Table1[[#This Row],[Age]]),AVERAGE(Table1[Age]),Table1[[#This Row],[Age]])</f>
        <v>64</v>
      </c>
      <c r="S934" t="str">
        <f>PROPER(Table1[[#This Row],[Country]])</f>
        <v>Australia</v>
      </c>
      <c r="T934" t="str">
        <f>TRIM(Table1[[#This Row],[Profession]])</f>
        <v>Technical Writer</v>
      </c>
      <c r="U934" s="5">
        <f>IF(ISBLANK(H934),AVERAGEIF(Table1[[#This Row],[Profession imputed]],T934,Table1[Monthly_Income]),H934)</f>
        <v>6267</v>
      </c>
      <c r="V934" s="6" t="str">
        <f>PROPER(TRIM(Table1[AI_Tool]))</f>
        <v>Chat Gpt</v>
      </c>
      <c r="W934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935" spans="1:23" x14ac:dyDescent="0.25">
      <c r="A935" t="s">
        <v>98</v>
      </c>
      <c r="B935">
        <v>27</v>
      </c>
      <c r="C935" t="s">
        <v>22</v>
      </c>
      <c r="D935" t="s">
        <v>92</v>
      </c>
      <c r="E935" t="s">
        <v>24</v>
      </c>
      <c r="F935" t="s">
        <v>55</v>
      </c>
      <c r="G935" t="s">
        <v>90</v>
      </c>
      <c r="H935">
        <v>6294</v>
      </c>
      <c r="I935" t="s">
        <v>1186</v>
      </c>
      <c r="J935" s="6" t="s">
        <v>27</v>
      </c>
      <c r="K935" s="15">
        <v>1.9</v>
      </c>
      <c r="L935" s="5">
        <v>0</v>
      </c>
      <c r="M935" s="15">
        <v>3.7</v>
      </c>
      <c r="N935">
        <v>4</v>
      </c>
      <c r="O935">
        <v>5</v>
      </c>
      <c r="P935">
        <v>0.8</v>
      </c>
      <c r="Q935">
        <v>7.6</v>
      </c>
      <c r="R935" s="2">
        <f>IF(ISBLANK(Table1[[#This Row],[Age]]),AVERAGE(Table1[Age]),Table1[[#This Row],[Age]])</f>
        <v>27</v>
      </c>
      <c r="S935" t="str">
        <f>PROPER(Table1[[#This Row],[Country]])</f>
        <v>Canada</v>
      </c>
      <c r="T935" t="str">
        <f>TRIM(Table1[[#This Row],[Profession]])</f>
        <v>AI Customer Support Specialist</v>
      </c>
      <c r="U935" s="5">
        <f>IF(ISBLANK(H935),AVERAGEIF(Table1[[#This Row],[Profession imputed]],T935,Table1[Monthly_Income]),H935)</f>
        <v>6294</v>
      </c>
      <c r="V935" s="6" t="str">
        <f>PROPER(TRIM(Table1[AI_Tool]))</f>
        <v>Google Gemini</v>
      </c>
      <c r="W935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936" spans="1:23" x14ac:dyDescent="0.25">
      <c r="A936" t="s">
        <v>1123</v>
      </c>
      <c r="B936">
        <v>62</v>
      </c>
      <c r="C936" t="s">
        <v>29</v>
      </c>
      <c r="D936" t="s">
        <v>189</v>
      </c>
      <c r="E936" t="s">
        <v>24</v>
      </c>
      <c r="F936" t="s">
        <v>25</v>
      </c>
      <c r="G936" t="s">
        <v>1121</v>
      </c>
      <c r="H936">
        <v>6387</v>
      </c>
      <c r="I936" t="s">
        <v>271</v>
      </c>
      <c r="J936" s="6" t="s">
        <v>38</v>
      </c>
      <c r="K936" s="15">
        <v>2.2999999999999998</v>
      </c>
      <c r="L936" s="5">
        <v>0</v>
      </c>
      <c r="M936" s="15">
        <v>4.8</v>
      </c>
      <c r="N936">
        <v>3</v>
      </c>
      <c r="O936">
        <v>5</v>
      </c>
      <c r="P936">
        <v>2</v>
      </c>
      <c r="Q936">
        <v>5.9</v>
      </c>
      <c r="R936" s="2">
        <f>IF(ISBLANK(Table1[[#This Row],[Age]]),AVERAGE(Table1[Age]),Table1[[#This Row],[Age]])</f>
        <v>62</v>
      </c>
      <c r="S936" t="str">
        <f>PROPER(Table1[[#This Row],[Country]])</f>
        <v>Australia</v>
      </c>
      <c r="T936" t="str">
        <f>TRIM(Table1[[#This Row],[Profession]])</f>
        <v>Technical Writer</v>
      </c>
      <c r="U936" s="5">
        <f>IF(ISBLANK(H936),AVERAGEIF(Table1[[#This Row],[Profession imputed]],T936,Table1[Monthly_Income]),H936)</f>
        <v>6387</v>
      </c>
      <c r="V936" s="6" t="str">
        <f>PROPER(TRIM(Table1[AI_Tool]))</f>
        <v>Chat Gpt</v>
      </c>
      <c r="W936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937" spans="1:23" x14ac:dyDescent="0.25">
      <c r="A937" t="s">
        <v>978</v>
      </c>
      <c r="B937">
        <v>35</v>
      </c>
      <c r="C937" t="s">
        <v>29</v>
      </c>
      <c r="D937" t="s">
        <v>189</v>
      </c>
      <c r="E937" t="s">
        <v>24</v>
      </c>
      <c r="F937" t="s">
        <v>25</v>
      </c>
      <c r="G937" t="s">
        <v>979</v>
      </c>
      <c r="H937">
        <v>6399</v>
      </c>
      <c r="I937" t="s">
        <v>271</v>
      </c>
      <c r="J937" s="6" t="s">
        <v>33</v>
      </c>
      <c r="K937" s="15">
        <v>1.3</v>
      </c>
      <c r="L937" s="5">
        <v>20</v>
      </c>
      <c r="M937" s="15">
        <v>3.1</v>
      </c>
      <c r="N937">
        <v>3</v>
      </c>
      <c r="O937">
        <v>4</v>
      </c>
      <c r="P937">
        <v>4.3</v>
      </c>
      <c r="Q937">
        <v>8.1</v>
      </c>
      <c r="R937" s="2">
        <f>IF(ISBLANK(Table1[[#This Row],[Age]]),AVERAGE(Table1[Age]),Table1[[#This Row],[Age]])</f>
        <v>35</v>
      </c>
      <c r="S937" t="str">
        <f>PROPER(Table1[[#This Row],[Country]])</f>
        <v>Australia</v>
      </c>
      <c r="T937" t="str">
        <f>TRIM(Table1[[#This Row],[Profession]])</f>
        <v>Senior Software Developer</v>
      </c>
      <c r="U937" s="5">
        <f>IF(ISBLANK(H937),AVERAGEIF(Table1[[#This Row],[Profession imputed]],T937,Table1[Monthly_Income]),H937)</f>
        <v>6399</v>
      </c>
      <c r="V937" s="6" t="str">
        <f>PROPER(TRIM(Table1[AI_Tool]))</f>
        <v>Chat Gpt</v>
      </c>
      <c r="W937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38" spans="1:23" x14ac:dyDescent="0.25">
      <c r="A938" t="s">
        <v>845</v>
      </c>
      <c r="B938">
        <v>33</v>
      </c>
      <c r="C938" t="s">
        <v>22</v>
      </c>
      <c r="D938" t="s">
        <v>189</v>
      </c>
      <c r="E938" t="s">
        <v>24</v>
      </c>
      <c r="F938" t="s">
        <v>45</v>
      </c>
      <c r="G938" t="s">
        <v>843</v>
      </c>
      <c r="H938">
        <v>6424</v>
      </c>
      <c r="I938" t="s">
        <v>271</v>
      </c>
      <c r="J938" s="6" t="s">
        <v>38</v>
      </c>
      <c r="K938" s="15">
        <v>1.9</v>
      </c>
      <c r="L938" s="5">
        <v>0</v>
      </c>
      <c r="M938" s="15">
        <v>5.4</v>
      </c>
      <c r="N938">
        <v>4</v>
      </c>
      <c r="O938">
        <v>7</v>
      </c>
      <c r="P938">
        <v>6</v>
      </c>
      <c r="Q938">
        <v>11</v>
      </c>
      <c r="R938" s="2">
        <f>IF(ISBLANK(Table1[[#This Row],[Age]]),AVERAGE(Table1[Age]),Table1[[#This Row],[Age]])</f>
        <v>33</v>
      </c>
      <c r="S938" t="str">
        <f>PROPER(Table1[[#This Row],[Country]])</f>
        <v>Australia</v>
      </c>
      <c r="T938" t="str">
        <f>TRIM(Table1[[#This Row],[Profession]])</f>
        <v>Marketing Communications Officer</v>
      </c>
      <c r="U938" s="5">
        <f>IF(ISBLANK(H938),AVERAGEIF(Table1[[#This Row],[Profession imputed]],T938,Table1[Monthly_Income]),H938)</f>
        <v>6424</v>
      </c>
      <c r="V938" s="6" t="str">
        <f>PROPER(TRIM(Table1[AI_Tool]))</f>
        <v>Chat Gpt</v>
      </c>
      <c r="W938" s="8">
        <f>IF(ISBLANK(Table1[[#This Row],[Time_Saved_Hours_Per_Week]]),AVERAGEIF(Table1[Satisfaction_Score],Table1[[#This Row],[Satisfaction_Score]],Table1[Time_Saved_Hours_Per_Week]),Table1[[#This Row],[Time_Saved_Hours_Per_Week]])</f>
        <v>6</v>
      </c>
    </row>
    <row r="939" spans="1:23" x14ac:dyDescent="0.25">
      <c r="A939" t="s">
        <v>1023</v>
      </c>
      <c r="B939">
        <v>30</v>
      </c>
      <c r="C939" t="s">
        <v>29</v>
      </c>
      <c r="D939" t="s">
        <v>117</v>
      </c>
      <c r="E939" t="s">
        <v>24</v>
      </c>
      <c r="F939" t="s">
        <v>25</v>
      </c>
      <c r="G939" t="s">
        <v>1019</v>
      </c>
      <c r="H939">
        <v>6437</v>
      </c>
      <c r="I939" t="s">
        <v>1186</v>
      </c>
      <c r="J939" s="6" t="s">
        <v>33</v>
      </c>
      <c r="K939" s="15">
        <v>1.9</v>
      </c>
      <c r="L939" s="5">
        <v>0</v>
      </c>
      <c r="M939" s="15">
        <v>4.9000000000000004</v>
      </c>
      <c r="N939">
        <v>5</v>
      </c>
      <c r="O939">
        <v>8</v>
      </c>
      <c r="P939">
        <v>2.1</v>
      </c>
      <c r="Q939">
        <v>6.7</v>
      </c>
      <c r="R939" s="2">
        <f>IF(ISBLANK(Table1[[#This Row],[Age]]),AVERAGE(Table1[Age]),Table1[[#This Row],[Age]])</f>
        <v>30</v>
      </c>
      <c r="S939" t="str">
        <f>PROPER(Table1[[#This Row],[Country]])</f>
        <v>United Kingdom</v>
      </c>
      <c r="T939" t="str">
        <f>TRIM(Table1[[#This Row],[Profession]])</f>
        <v>Software Developer</v>
      </c>
      <c r="U939" s="5">
        <f>IF(ISBLANK(H939),AVERAGEIF(Table1[[#This Row],[Profession imputed]],T939,Table1[Monthly_Income]),H939)</f>
        <v>6437</v>
      </c>
      <c r="V939" s="6" t="str">
        <f>PROPER(TRIM(Table1[AI_Tool]))</f>
        <v>Google Gemini</v>
      </c>
      <c r="W939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940" spans="1:23" x14ac:dyDescent="0.25">
      <c r="A940" t="s">
        <v>948</v>
      </c>
      <c r="B940">
        <v>65</v>
      </c>
      <c r="C940" t="s">
        <v>22</v>
      </c>
      <c r="D940" t="s">
        <v>189</v>
      </c>
      <c r="E940" t="s">
        <v>24</v>
      </c>
      <c r="F940" t="s">
        <v>55</v>
      </c>
      <c r="G940" t="s">
        <v>946</v>
      </c>
      <c r="H940">
        <v>6448</v>
      </c>
      <c r="I940" t="s">
        <v>271</v>
      </c>
      <c r="J940" s="6" t="s">
        <v>75</v>
      </c>
      <c r="K940" s="15">
        <v>2.2999999999999998</v>
      </c>
      <c r="L940" s="5">
        <v>0</v>
      </c>
      <c r="M940" s="15">
        <v>4.8</v>
      </c>
      <c r="N940">
        <v>3</v>
      </c>
      <c r="O940">
        <f>IF(Table1[[#This Row],[Accuracy_Rating]]=4,8,IF(Table1[[#This Row],[Accuracy_Rating]]=3,7,Table1[[#This Row],[Accuracy_Rating]]))</f>
        <v>7</v>
      </c>
      <c r="P940">
        <v>2.4</v>
      </c>
      <c r="Q940">
        <v>11.2</v>
      </c>
      <c r="R940" s="2">
        <f>IF(ISBLANK(Table1[[#This Row],[Age]]),AVERAGE(Table1[Age]),Table1[[#This Row],[Age]])</f>
        <v>65</v>
      </c>
      <c r="S940" t="str">
        <f>PROPER(Table1[[#This Row],[Country]])</f>
        <v>Australia</v>
      </c>
      <c r="T940" t="str">
        <f>TRIM(Table1[[#This Row],[Profession]])</f>
        <v>Senior Content Strategist</v>
      </c>
      <c r="U940" s="5">
        <f>IF(ISBLANK(H940),AVERAGEIF(Table1[[#This Row],[Profession imputed]],T940,Table1[Monthly_Income]),H940)</f>
        <v>6448</v>
      </c>
      <c r="V940" s="6" t="str">
        <f>PROPER(TRIM(Table1[AI_Tool]))</f>
        <v>Chat Gpt</v>
      </c>
      <c r="W940" s="8">
        <f>IF(ISBLANK(Table1[[#This Row],[Time_Saved_Hours_Per_Week]]),AVERAGEIF(Table1[Satisfaction_Score],Table1[[#This Row],[Satisfaction_Score]],Table1[Time_Saved_Hours_Per_Week]),Table1[[#This Row],[Time_Saved_Hours_Per_Week]])</f>
        <v>2.4</v>
      </c>
    </row>
    <row r="941" spans="1:23" x14ac:dyDescent="0.25">
      <c r="A941" t="s">
        <v>63</v>
      </c>
      <c r="B941">
        <v>35</v>
      </c>
      <c r="C941" t="s">
        <v>22</v>
      </c>
      <c r="D941" t="s">
        <v>44</v>
      </c>
      <c r="E941" t="s">
        <v>24</v>
      </c>
      <c r="F941" t="s">
        <v>45</v>
      </c>
      <c r="G941" t="s">
        <v>46</v>
      </c>
      <c r="H941">
        <v>6623</v>
      </c>
      <c r="I941" t="s">
        <v>271</v>
      </c>
      <c r="J941" s="6" t="s">
        <v>47</v>
      </c>
      <c r="K941" s="15">
        <v>4.9000000000000004</v>
      </c>
      <c r="L941" s="5">
        <v>20</v>
      </c>
      <c r="M941" s="15">
        <v>5.7</v>
      </c>
      <c r="N941">
        <v>3</v>
      </c>
      <c r="O941">
        <v>5</v>
      </c>
      <c r="P941">
        <v>11.5</v>
      </c>
      <c r="Q941">
        <v>9.3000000000000007</v>
      </c>
      <c r="R941" s="2">
        <f>IF(ISBLANK(Table1[[#This Row],[Age]]),AVERAGE(Table1[Age]),Table1[[#This Row],[Age]])</f>
        <v>35</v>
      </c>
      <c r="S941" t="str">
        <f>PROPER(Table1[[#This Row],[Country]])</f>
        <v>United States</v>
      </c>
      <c r="T941" t="str">
        <f>TRIM(Table1[[#This Row],[Profession]])</f>
        <v>Administrative Assistant</v>
      </c>
      <c r="U941" s="5">
        <f>IF(ISBLANK(H941),AVERAGEIF(Table1[[#This Row],[Profession imputed]],T941,Table1[Monthly_Income]),H941)</f>
        <v>6623</v>
      </c>
      <c r="V941" s="6" t="str">
        <f>PROPER(TRIM(Table1[AI_Tool]))</f>
        <v>Chat Gpt</v>
      </c>
      <c r="W941" s="8">
        <f>IF(ISBLANK(Table1[[#This Row],[Time_Saved_Hours_Per_Week]]),AVERAGEIF(Table1[Satisfaction_Score],Table1[[#This Row],[Satisfaction_Score]],Table1[Time_Saved_Hours_Per_Week]),Table1[[#This Row],[Time_Saved_Hours_Per_Week]])</f>
        <v>11.5</v>
      </c>
    </row>
    <row r="942" spans="1:23" x14ac:dyDescent="0.25">
      <c r="A942" t="s">
        <v>1009</v>
      </c>
      <c r="B942">
        <v>45</v>
      </c>
      <c r="C942" t="s">
        <v>22</v>
      </c>
      <c r="D942" t="s">
        <v>117</v>
      </c>
      <c r="E942" t="s">
        <v>24</v>
      </c>
      <c r="F942" t="s">
        <v>31</v>
      </c>
      <c r="G942" t="s">
        <v>1006</v>
      </c>
      <c r="H942">
        <v>6631</v>
      </c>
      <c r="I942" t="s">
        <v>58</v>
      </c>
      <c r="J942" s="6" t="s">
        <v>33</v>
      </c>
      <c r="K942" s="15">
        <v>0.5</v>
      </c>
      <c r="L942" s="5">
        <v>0</v>
      </c>
      <c r="M942" s="15">
        <v>2</v>
      </c>
      <c r="N942">
        <v>2</v>
      </c>
      <c r="O942">
        <v>3</v>
      </c>
      <c r="P942">
        <v>2.7</v>
      </c>
      <c r="Q942">
        <v>10.4</v>
      </c>
      <c r="R942" s="2">
        <f>IF(ISBLANK(Table1[[#This Row],[Age]]),AVERAGE(Table1[Age]),Table1[[#This Row],[Age]])</f>
        <v>45</v>
      </c>
      <c r="S942" t="str">
        <f>PROPER(Table1[[#This Row],[Country]])</f>
        <v>United Kingdom</v>
      </c>
      <c r="T942" t="str">
        <f>TRIM(Table1[[#This Row],[Profession]])</f>
        <v>Senior Software Engineer / AI Systems Developer</v>
      </c>
      <c r="U942" s="5">
        <f>IF(ISBLANK(H942),AVERAGEIF(Table1[[#This Row],[Profession imputed]],T942,Table1[Monthly_Income]),H942)</f>
        <v>6631</v>
      </c>
      <c r="V942" s="6" t="str">
        <f>PROPER(TRIM(Table1[AI_Tool]))</f>
        <v>Claude</v>
      </c>
      <c r="W942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943" spans="1:23" x14ac:dyDescent="0.25">
      <c r="A943" t="s">
        <v>457</v>
      </c>
      <c r="C943" t="s">
        <v>22</v>
      </c>
      <c r="D943" t="s">
        <v>92</v>
      </c>
      <c r="E943" t="s">
        <v>24</v>
      </c>
      <c r="F943" t="s">
        <v>25</v>
      </c>
      <c r="G943" t="s">
        <v>454</v>
      </c>
      <c r="H943">
        <v>6705</v>
      </c>
      <c r="I943" t="s">
        <v>282</v>
      </c>
      <c r="J943" s="6" t="s">
        <v>27</v>
      </c>
      <c r="K943" s="15">
        <v>9.6999999999999993</v>
      </c>
      <c r="L943" s="5">
        <v>20</v>
      </c>
      <c r="M943" s="15">
        <v>7.7</v>
      </c>
      <c r="N943">
        <v>5</v>
      </c>
      <c r="O943">
        <v>9</v>
      </c>
      <c r="Q943">
        <v>11.6</v>
      </c>
      <c r="R943" s="2">
        <f>IF(ISBLANK(Table1[[#This Row],[Age]]),AVERAGE(Table1[Age]),Table1[[#This Row],[Age]])</f>
        <v>30.023333333333333</v>
      </c>
      <c r="S943" t="str">
        <f>PROPER(Table1[[#This Row],[Country]])</f>
        <v>Canada</v>
      </c>
      <c r="T943" t="str">
        <f>TRIM(Table1[[#This Row],[Profession]])</f>
        <v>Customer Support Specialist</v>
      </c>
      <c r="U943" s="5">
        <f>IF(ISBLANK(H943),AVERAGEIF(Table1[Profession imputed],T943,Table1[Monthly_Income]),H943)</f>
        <v>6705</v>
      </c>
      <c r="V943" s="6" t="str">
        <f>PROPER(TRIM(Table1[AI_Tool]))</f>
        <v>Deepseek</v>
      </c>
      <c r="W943" s="8">
        <f>IF(ISBLANK(Table1[[#This Row],[Time_Saved_Hours_Per_Week]]),AVERAGEIF(Table1[Satisfaction_Score],Table1[[#This Row],[Satisfaction_Score]],Table1[Time_Saved_Hours_Per_Week]),Table1[[#This Row],[Time_Saved_Hours_Per_Week]])</f>
        <v>10.763793103448272</v>
      </c>
    </row>
    <row r="944" spans="1:23" x14ac:dyDescent="0.25">
      <c r="A944" t="s">
        <v>94</v>
      </c>
      <c r="B944">
        <v>24</v>
      </c>
      <c r="C944" t="s">
        <v>22</v>
      </c>
      <c r="D944" t="s">
        <v>92</v>
      </c>
      <c r="E944" t="s">
        <v>24</v>
      </c>
      <c r="F944" t="s">
        <v>55</v>
      </c>
      <c r="G944" t="s">
        <v>90</v>
      </c>
      <c r="H944">
        <v>6740</v>
      </c>
      <c r="I944" t="s">
        <v>1186</v>
      </c>
      <c r="J944" s="6" t="s">
        <v>27</v>
      </c>
      <c r="K944" s="15">
        <v>1.9</v>
      </c>
      <c r="L944" s="5">
        <v>0</v>
      </c>
      <c r="M944" s="15">
        <v>3.7</v>
      </c>
      <c r="N944">
        <v>4</v>
      </c>
      <c r="O944">
        <v>5</v>
      </c>
      <c r="P944">
        <v>0.8</v>
      </c>
      <c r="Q944">
        <v>7.6</v>
      </c>
      <c r="R944" s="2">
        <f>IF(ISBLANK(Table1[[#This Row],[Age]]),AVERAGE(Table1[Age]),Table1[[#This Row],[Age]])</f>
        <v>24</v>
      </c>
      <c r="S944" t="str">
        <f>PROPER(Table1[[#This Row],[Country]])</f>
        <v>Canada</v>
      </c>
      <c r="T944" t="str">
        <f>TRIM(Table1[[#This Row],[Profession]])</f>
        <v>AI Customer Support Specialist</v>
      </c>
      <c r="U944" s="5">
        <f>IF(ISBLANK(H944),AVERAGEIF(Table1[[#This Row],[Profession imputed]],T944,Table1[Monthly_Income]),H944)</f>
        <v>6740</v>
      </c>
      <c r="V944" s="6" t="str">
        <f>PROPER(TRIM(Table1[AI_Tool]))</f>
        <v>Google Gemini</v>
      </c>
      <c r="W944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945" spans="1:23" x14ac:dyDescent="0.25">
      <c r="A945" t="s">
        <v>914</v>
      </c>
      <c r="B945">
        <v>46</v>
      </c>
      <c r="C945" t="s">
        <v>29</v>
      </c>
      <c r="D945" t="s">
        <v>189</v>
      </c>
      <c r="E945" t="s">
        <v>24</v>
      </c>
      <c r="F945" t="s">
        <v>55</v>
      </c>
      <c r="G945" t="s">
        <v>906</v>
      </c>
      <c r="H945">
        <v>6748</v>
      </c>
      <c r="I945" t="s">
        <v>271</v>
      </c>
      <c r="J945" s="6" t="s">
        <v>130</v>
      </c>
      <c r="K945" s="15">
        <v>1.6</v>
      </c>
      <c r="L945" s="5">
        <v>20</v>
      </c>
      <c r="M945" s="15">
        <v>5.2</v>
      </c>
      <c r="N945">
        <v>3</v>
      </c>
      <c r="O945">
        <v>7</v>
      </c>
      <c r="P945">
        <v>6.5</v>
      </c>
      <c r="Q945">
        <v>9.6999999999999993</v>
      </c>
      <c r="R945" s="2">
        <f>IF(ISBLANK(Table1[[#This Row],[Age]]),AVERAGE(Table1[Age]),Table1[[#This Row],[Age]])</f>
        <v>46</v>
      </c>
      <c r="S945" t="str">
        <f>PROPER(Table1[[#This Row],[Country]])</f>
        <v>Australia</v>
      </c>
      <c r="T945" t="str">
        <f>TRIM(Table1[[#This Row],[Profession]])</f>
        <v>Research Analyst</v>
      </c>
      <c r="U945" s="5">
        <f>IF(ISBLANK(H945),AVERAGEIF(Table1[[#This Row],[Profession imputed]],T945,Table1[Monthly_Income]),H945)</f>
        <v>6748</v>
      </c>
      <c r="V945" s="6" t="str">
        <f>PROPER(TRIM(Table1[AI_Tool]))</f>
        <v>Chat Gpt</v>
      </c>
      <c r="W945" s="8">
        <f>IF(ISBLANK(Table1[[#This Row],[Time_Saved_Hours_Per_Week]]),AVERAGEIF(Table1[Satisfaction_Score],Table1[[#This Row],[Satisfaction_Score]],Table1[Time_Saved_Hours_Per_Week]),Table1[[#This Row],[Time_Saved_Hours_Per_Week]])</f>
        <v>6.5</v>
      </c>
    </row>
    <row r="946" spans="1:23" x14ac:dyDescent="0.25">
      <c r="A946" t="s">
        <v>1025</v>
      </c>
      <c r="B946">
        <v>36</v>
      </c>
      <c r="C946" t="s">
        <v>29</v>
      </c>
      <c r="D946" t="s">
        <v>44</v>
      </c>
      <c r="E946" t="s">
        <v>24</v>
      </c>
      <c r="F946" t="s">
        <v>45</v>
      </c>
      <c r="G946" t="s">
        <v>1019</v>
      </c>
      <c r="H946">
        <v>6766</v>
      </c>
      <c r="I946" t="s">
        <v>271</v>
      </c>
      <c r="J946" s="6" t="s">
        <v>33</v>
      </c>
      <c r="K946" s="15">
        <v>2.8</v>
      </c>
      <c r="L946" s="5">
        <v>0</v>
      </c>
      <c r="M946" s="15">
        <v>5.4</v>
      </c>
      <c r="N946">
        <v>4</v>
      </c>
      <c r="O946">
        <v>7</v>
      </c>
      <c r="P946">
        <v>6.2</v>
      </c>
      <c r="Q946">
        <v>8.1999999999999993</v>
      </c>
      <c r="R946" s="2">
        <f>IF(ISBLANK(Table1[[#This Row],[Age]]),AVERAGE(Table1[Age]),Table1[[#This Row],[Age]])</f>
        <v>36</v>
      </c>
      <c r="S946" t="str">
        <f>PROPER(Table1[[#This Row],[Country]])</f>
        <v>United States</v>
      </c>
      <c r="T946" t="str">
        <f>TRIM(Table1[[#This Row],[Profession]])</f>
        <v>Software Developer</v>
      </c>
      <c r="U946" s="5">
        <f>IF(ISBLANK(H946),AVERAGEIF(Table1[[#This Row],[Profession imputed]],T946,Table1[Monthly_Income]),H946)</f>
        <v>6766</v>
      </c>
      <c r="V946" s="6" t="str">
        <f>PROPER(TRIM(Table1[AI_Tool]))</f>
        <v>Chat Gpt</v>
      </c>
      <c r="W946" s="8">
        <f>IF(ISBLANK(Table1[[#This Row],[Time_Saved_Hours_Per_Week]]),AVERAGEIF(Table1[Satisfaction_Score],Table1[[#This Row],[Satisfaction_Score]],Table1[Time_Saved_Hours_Per_Week]),Table1[[#This Row],[Time_Saved_Hours_Per_Week]])</f>
        <v>6.2</v>
      </c>
    </row>
    <row r="947" spans="1:23" x14ac:dyDescent="0.25">
      <c r="A947" t="s">
        <v>945</v>
      </c>
      <c r="B947">
        <v>97</v>
      </c>
      <c r="C947" t="s">
        <v>22</v>
      </c>
      <c r="D947" t="s">
        <v>189</v>
      </c>
      <c r="E947" t="s">
        <v>24</v>
      </c>
      <c r="F947" t="s">
        <v>55</v>
      </c>
      <c r="G947" t="s">
        <v>946</v>
      </c>
      <c r="H947">
        <v>6779</v>
      </c>
      <c r="I947" t="s">
        <v>271</v>
      </c>
      <c r="J947" s="6" t="s">
        <v>75</v>
      </c>
      <c r="K947" s="15">
        <v>2.2999999999999998</v>
      </c>
      <c r="L947" s="5">
        <v>0</v>
      </c>
      <c r="M947" s="15">
        <v>4.8</v>
      </c>
      <c r="N947">
        <v>3</v>
      </c>
      <c r="O947">
        <f>IF(Table1[[#This Row],[Accuracy_Rating]]=4,8,IF(Table1[[#This Row],[Accuracy_Rating]]=3,7,Table1[[#This Row],[Accuracy_Rating]]))</f>
        <v>7</v>
      </c>
      <c r="P947">
        <v>2.4</v>
      </c>
      <c r="Q947">
        <v>11.2</v>
      </c>
      <c r="R947" s="2">
        <f>IF(ISBLANK(Table1[[#This Row],[Age]]),AVERAGE(Table1[Age]),Table1[[#This Row],[Age]])</f>
        <v>97</v>
      </c>
      <c r="S947" t="str">
        <f>PROPER(Table1[[#This Row],[Country]])</f>
        <v>Australia</v>
      </c>
      <c r="T947" t="str">
        <f>TRIM(Table1[[#This Row],[Profession]])</f>
        <v>Senior Content Strategist</v>
      </c>
      <c r="U947" s="5">
        <f>IF(ISBLANK(H947),AVERAGEIF(Table1[[#This Row],[Profession imputed]],T947,Table1[Monthly_Income]),H947)</f>
        <v>6779</v>
      </c>
      <c r="V947" s="6" t="str">
        <f>PROPER(TRIM(Table1[AI_Tool]))</f>
        <v>Chat Gpt</v>
      </c>
      <c r="W947" s="8">
        <f>IF(ISBLANK(Table1[[#This Row],[Time_Saved_Hours_Per_Week]]),AVERAGEIF(Table1[Satisfaction_Score],Table1[[#This Row],[Satisfaction_Score]],Table1[Time_Saved_Hours_Per_Week]),Table1[[#This Row],[Time_Saved_Hours_Per_Week]])</f>
        <v>2.4</v>
      </c>
    </row>
    <row r="948" spans="1:23" x14ac:dyDescent="0.25">
      <c r="A948" t="s">
        <v>990</v>
      </c>
      <c r="B948">
        <v>33</v>
      </c>
      <c r="C948" t="s">
        <v>29</v>
      </c>
      <c r="D948" t="s">
        <v>189</v>
      </c>
      <c r="E948" t="s">
        <v>24</v>
      </c>
      <c r="F948" t="s">
        <v>25</v>
      </c>
      <c r="G948" t="s">
        <v>979</v>
      </c>
      <c r="H948">
        <v>6802</v>
      </c>
      <c r="I948" t="s">
        <v>271</v>
      </c>
      <c r="J948" s="6" t="s">
        <v>33</v>
      </c>
      <c r="K948" s="15">
        <v>1.3</v>
      </c>
      <c r="L948" s="5">
        <v>20</v>
      </c>
      <c r="M948" s="15">
        <v>3.1</v>
      </c>
      <c r="N948">
        <v>3</v>
      </c>
      <c r="O948">
        <v>4</v>
      </c>
      <c r="P948">
        <v>4.3</v>
      </c>
      <c r="Q948">
        <v>8.1</v>
      </c>
      <c r="R948" s="2">
        <f>IF(ISBLANK(Table1[[#This Row],[Age]]),AVERAGE(Table1[Age]),Table1[[#This Row],[Age]])</f>
        <v>33</v>
      </c>
      <c r="S948" t="str">
        <f>PROPER(Table1[[#This Row],[Country]])</f>
        <v>Australia</v>
      </c>
      <c r="T948" t="str">
        <f>TRIM(Table1[[#This Row],[Profession]])</f>
        <v>Senior Software Developer</v>
      </c>
      <c r="U948" s="5">
        <f>IF(ISBLANK(H948),AVERAGEIF(Table1[[#This Row],[Profession imputed]],T948,Table1[Monthly_Income]),H948)</f>
        <v>6802</v>
      </c>
      <c r="V948" s="6" t="str">
        <f>PROPER(TRIM(Table1[AI_Tool]))</f>
        <v>Chat Gpt</v>
      </c>
      <c r="W948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49" spans="1:23" x14ac:dyDescent="0.25">
      <c r="A949" t="s">
        <v>992</v>
      </c>
      <c r="B949">
        <v>25</v>
      </c>
      <c r="C949" t="s">
        <v>22</v>
      </c>
      <c r="D949" t="s">
        <v>23</v>
      </c>
      <c r="E949" t="s">
        <v>24</v>
      </c>
      <c r="F949" t="s">
        <v>55</v>
      </c>
      <c r="G949" t="s">
        <v>993</v>
      </c>
      <c r="H949">
        <v>6851</v>
      </c>
      <c r="I949" t="s">
        <v>1186</v>
      </c>
      <c r="J949" s="6" t="s">
        <v>33</v>
      </c>
      <c r="K949" s="15">
        <v>4.0999999999999996</v>
      </c>
      <c r="L949" s="5">
        <v>0</v>
      </c>
      <c r="M949" s="15">
        <v>6</v>
      </c>
      <c r="N949">
        <v>4</v>
      </c>
      <c r="O949">
        <v>7</v>
      </c>
      <c r="P949">
        <v>7.2</v>
      </c>
      <c r="Q949">
        <v>0</v>
      </c>
      <c r="R949" s="2">
        <f>IF(ISBLANK(Table1[[#This Row],[Age]]),AVERAGE(Table1[Age]),Table1[[#This Row],[Age]])</f>
        <v>25</v>
      </c>
      <c r="S949" t="str">
        <f>PROPER(Table1[[#This Row],[Country]])</f>
        <v>Germany</v>
      </c>
      <c r="T949" t="str">
        <f>TRIM(Table1[[#This Row],[Profession]])</f>
        <v>Senior Software Developer / Softwareentwicklerin</v>
      </c>
      <c r="U949" s="5">
        <f>IF(ISBLANK(H949),AVERAGEIF(Table1[[#This Row],[Profession imputed]],T949,Table1[Monthly_Income]),H949)</f>
        <v>6851</v>
      </c>
      <c r="V949" s="6" t="str">
        <f>PROPER(TRIM(Table1[AI_Tool]))</f>
        <v>Google Gemini</v>
      </c>
      <c r="W949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950" spans="1:23" x14ac:dyDescent="0.25">
      <c r="A950" t="s">
        <v>984</v>
      </c>
      <c r="B950">
        <v>25</v>
      </c>
      <c r="C950" t="s">
        <v>22</v>
      </c>
      <c r="D950" t="s">
        <v>23</v>
      </c>
      <c r="E950" t="s">
        <v>24</v>
      </c>
      <c r="F950" t="s">
        <v>55</v>
      </c>
      <c r="G950" t="s">
        <v>979</v>
      </c>
      <c r="H950">
        <v>6859</v>
      </c>
      <c r="I950" t="s">
        <v>1186</v>
      </c>
      <c r="J950" s="6" t="s">
        <v>33</v>
      </c>
      <c r="K950" s="15">
        <v>4.0999999999999996</v>
      </c>
      <c r="L950" s="5">
        <v>0</v>
      </c>
      <c r="M950" s="15">
        <v>6</v>
      </c>
      <c r="N950">
        <v>4</v>
      </c>
      <c r="O950">
        <v>7</v>
      </c>
      <c r="P950">
        <v>7.2</v>
      </c>
      <c r="Q950">
        <v>0</v>
      </c>
      <c r="R950" s="2">
        <f>IF(ISBLANK(Table1[[#This Row],[Age]]),AVERAGE(Table1[Age]),Table1[[#This Row],[Age]])</f>
        <v>25</v>
      </c>
      <c r="S950" t="str">
        <f>PROPER(Table1[[#This Row],[Country]])</f>
        <v>Germany</v>
      </c>
      <c r="T950" t="str">
        <f>TRIM(Table1[[#This Row],[Profession]])</f>
        <v>Senior Software Developer</v>
      </c>
      <c r="U950" s="5">
        <f>IF(ISBLANK(H950),AVERAGEIF(Table1[[#This Row],[Profession imputed]],T950,Table1[Monthly_Income]),H950)</f>
        <v>6859</v>
      </c>
      <c r="V950" s="6" t="str">
        <f>PROPER(TRIM(Table1[AI_Tool]))</f>
        <v>Google Gemini</v>
      </c>
      <c r="W950" s="8">
        <f>IF(ISBLANK(Table1[[#This Row],[Time_Saved_Hours_Per_Week]]),AVERAGEIF(Table1[Satisfaction_Score],Table1[[#This Row],[Satisfaction_Score]],Table1[Time_Saved_Hours_Per_Week]),Table1[[#This Row],[Time_Saved_Hours_Per_Week]])</f>
        <v>7.2</v>
      </c>
    </row>
    <row r="951" spans="1:23" x14ac:dyDescent="0.25">
      <c r="A951" t="s">
        <v>96</v>
      </c>
      <c r="B951">
        <v>27</v>
      </c>
      <c r="C951" t="s">
        <v>22</v>
      </c>
      <c r="D951" t="s">
        <v>92</v>
      </c>
      <c r="E951" t="s">
        <v>24</v>
      </c>
      <c r="F951" t="s">
        <v>55</v>
      </c>
      <c r="G951" t="s">
        <v>90</v>
      </c>
      <c r="H951">
        <v>6973</v>
      </c>
      <c r="I951" t="s">
        <v>1186</v>
      </c>
      <c r="J951" s="6" t="s">
        <v>27</v>
      </c>
      <c r="K951" s="15">
        <v>1.9</v>
      </c>
      <c r="L951" s="5">
        <v>0</v>
      </c>
      <c r="M951" s="15">
        <v>3.7</v>
      </c>
      <c r="N951">
        <v>4</v>
      </c>
      <c r="O951">
        <v>5</v>
      </c>
      <c r="P951">
        <v>0.8</v>
      </c>
      <c r="Q951">
        <v>7.6</v>
      </c>
      <c r="R951" s="2">
        <f>IF(ISBLANK(Table1[[#This Row],[Age]]),AVERAGE(Table1[Age]),Table1[[#This Row],[Age]])</f>
        <v>27</v>
      </c>
      <c r="S951" t="str">
        <f>PROPER(Table1[[#This Row],[Country]])</f>
        <v>Canada</v>
      </c>
      <c r="T951" t="str">
        <f>TRIM(Table1[[#This Row],[Profession]])</f>
        <v>AI Customer Support Specialist</v>
      </c>
      <c r="U951" s="5">
        <f>IF(ISBLANK(H951),AVERAGEIF(Table1[[#This Row],[Profession imputed]],T951,Table1[Monthly_Income]),H951)</f>
        <v>6973</v>
      </c>
      <c r="V951" s="6" t="str">
        <f>PROPER(TRIM(Table1[AI_Tool]))</f>
        <v>Google Gemini</v>
      </c>
      <c r="W951" s="8">
        <f>IF(ISBLANK(Table1[[#This Row],[Time_Saved_Hours_Per_Week]]),AVERAGEIF(Table1[Satisfaction_Score],Table1[[#This Row],[Satisfaction_Score]],Table1[Time_Saved_Hours_Per_Week]),Table1[[#This Row],[Time_Saved_Hours_Per_Week]])</f>
        <v>0.8</v>
      </c>
    </row>
    <row r="952" spans="1:23" x14ac:dyDescent="0.25">
      <c r="A952" t="s">
        <v>462</v>
      </c>
      <c r="C952" t="s">
        <v>22</v>
      </c>
      <c r="D952" t="s">
        <v>92</v>
      </c>
      <c r="E952" t="s">
        <v>24</v>
      </c>
      <c r="F952" t="s">
        <v>25</v>
      </c>
      <c r="G952" t="s">
        <v>454</v>
      </c>
      <c r="H952">
        <v>7090</v>
      </c>
      <c r="I952" t="s">
        <v>282</v>
      </c>
      <c r="J952" s="6" t="s">
        <v>27</v>
      </c>
      <c r="K952" s="15">
        <v>9.6999999999999993</v>
      </c>
      <c r="L952" s="5">
        <v>20</v>
      </c>
      <c r="M952" s="15">
        <v>7.7</v>
      </c>
      <c r="N952">
        <v>5</v>
      </c>
      <c r="O952">
        <v>9</v>
      </c>
      <c r="Q952">
        <v>11.6</v>
      </c>
      <c r="R952" s="2">
        <f>IF(ISBLANK(Table1[[#This Row],[Age]]),AVERAGE(Table1[Age]),Table1[[#This Row],[Age]])</f>
        <v>30.023333333333333</v>
      </c>
      <c r="S952" t="str">
        <f>PROPER(Table1[[#This Row],[Country]])</f>
        <v>Canada</v>
      </c>
      <c r="T952" t="str">
        <f>TRIM(Table1[[#This Row],[Profession]])</f>
        <v>Customer Support Specialist</v>
      </c>
      <c r="U952" s="5">
        <f>IF(ISBLANK(H952),AVERAGEIF(Table1[Profession imputed],T952,Table1[Monthly_Income]),H952)</f>
        <v>7090</v>
      </c>
      <c r="V952" s="6" t="str">
        <f>PROPER(TRIM(Table1[AI_Tool]))</f>
        <v>Deepseek</v>
      </c>
      <c r="W952" s="8">
        <f>IF(ISBLANK(Table1[[#This Row],[Time_Saved_Hours_Per_Week]]),AVERAGEIF(Table1[Satisfaction_Score],Table1[[#This Row],[Satisfaction_Score]],Table1[Time_Saved_Hours_Per_Week]),Table1[[#This Row],[Time_Saved_Hours_Per_Week]])</f>
        <v>10.763793103448272</v>
      </c>
    </row>
    <row r="953" spans="1:23" x14ac:dyDescent="0.25">
      <c r="A953" t="s">
        <v>983</v>
      </c>
      <c r="B953">
        <v>35</v>
      </c>
      <c r="C953" t="s">
        <v>29</v>
      </c>
      <c r="D953" t="s">
        <v>189</v>
      </c>
      <c r="E953" t="s">
        <v>24</v>
      </c>
      <c r="F953" t="s">
        <v>25</v>
      </c>
      <c r="G953" t="s">
        <v>979</v>
      </c>
      <c r="H953">
        <v>7096</v>
      </c>
      <c r="I953" t="s">
        <v>271</v>
      </c>
      <c r="J953" s="6" t="s">
        <v>33</v>
      </c>
      <c r="K953" s="15">
        <v>1.3</v>
      </c>
      <c r="L953" s="5">
        <v>20</v>
      </c>
      <c r="M953" s="15">
        <v>3.1</v>
      </c>
      <c r="N953">
        <v>3</v>
      </c>
      <c r="O953">
        <v>4</v>
      </c>
      <c r="P953">
        <v>4.3</v>
      </c>
      <c r="Q953">
        <v>8.1</v>
      </c>
      <c r="R953" s="2">
        <f>IF(ISBLANK(Table1[[#This Row],[Age]]),AVERAGE(Table1[Age]),Table1[[#This Row],[Age]])</f>
        <v>35</v>
      </c>
      <c r="S953" t="str">
        <f>PROPER(Table1[[#This Row],[Country]])</f>
        <v>Australia</v>
      </c>
      <c r="T953" t="str">
        <f>TRIM(Table1[[#This Row],[Profession]])</f>
        <v>Senior Software Developer</v>
      </c>
      <c r="U953" s="5">
        <f>IF(ISBLANK(H953),AVERAGEIF(Table1[[#This Row],[Profession imputed]],T953,Table1[Monthly_Income]),H953)</f>
        <v>7096</v>
      </c>
      <c r="V953" s="6" t="str">
        <f>PROPER(TRIM(Table1[AI_Tool]))</f>
        <v>Chat Gpt</v>
      </c>
      <c r="W953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54" spans="1:23" x14ac:dyDescent="0.25">
      <c r="A954" t="s">
        <v>1120</v>
      </c>
      <c r="B954">
        <v>63</v>
      </c>
      <c r="C954" t="s">
        <v>29</v>
      </c>
      <c r="D954" t="s">
        <v>189</v>
      </c>
      <c r="E954" t="s">
        <v>24</v>
      </c>
      <c r="F954" t="s">
        <v>25</v>
      </c>
      <c r="G954" t="s">
        <v>1121</v>
      </c>
      <c r="H954">
        <v>7178</v>
      </c>
      <c r="I954" t="s">
        <v>271</v>
      </c>
      <c r="J954" s="6" t="s">
        <v>38</v>
      </c>
      <c r="K954" s="15">
        <v>2.2999999999999998</v>
      </c>
      <c r="L954" s="5">
        <v>0</v>
      </c>
      <c r="M954" s="15">
        <v>4.8</v>
      </c>
      <c r="N954">
        <v>3</v>
      </c>
      <c r="O954">
        <v>5</v>
      </c>
      <c r="P954">
        <v>2</v>
      </c>
      <c r="Q954">
        <v>5.9</v>
      </c>
      <c r="R954" s="2">
        <f>IF(ISBLANK(Table1[[#This Row],[Age]]),AVERAGE(Table1[Age]),Table1[[#This Row],[Age]])</f>
        <v>63</v>
      </c>
      <c r="S954" t="str">
        <f>PROPER(Table1[[#This Row],[Country]])</f>
        <v>Australia</v>
      </c>
      <c r="T954" t="str">
        <f>TRIM(Table1[[#This Row],[Profession]])</f>
        <v>Technical Writer</v>
      </c>
      <c r="U954" s="5">
        <f>IF(ISBLANK(H954),AVERAGEIF(Table1[[#This Row],[Profession imputed]],T954,Table1[Monthly_Income]),H954)</f>
        <v>7178</v>
      </c>
      <c r="V954" s="6" t="str">
        <f>PROPER(TRIM(Table1[AI_Tool]))</f>
        <v>Chat Gpt</v>
      </c>
      <c r="W954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955" spans="1:23" x14ac:dyDescent="0.25">
      <c r="A955" t="s">
        <v>1032</v>
      </c>
      <c r="B955">
        <v>28</v>
      </c>
      <c r="C955" t="s">
        <v>29</v>
      </c>
      <c r="D955" t="s">
        <v>117</v>
      </c>
      <c r="E955" t="s">
        <v>24</v>
      </c>
      <c r="F955" t="s">
        <v>25</v>
      </c>
      <c r="G955" t="s">
        <v>1019</v>
      </c>
      <c r="H955">
        <v>7183</v>
      </c>
      <c r="I955" t="s">
        <v>1186</v>
      </c>
      <c r="J955" s="6" t="s">
        <v>33</v>
      </c>
      <c r="K955" s="15">
        <v>1.9</v>
      </c>
      <c r="L955" s="5">
        <v>0</v>
      </c>
      <c r="M955" s="15">
        <v>4.9000000000000004</v>
      </c>
      <c r="N955">
        <v>5</v>
      </c>
      <c r="O955">
        <v>8</v>
      </c>
      <c r="P955">
        <v>2.1</v>
      </c>
      <c r="Q955">
        <v>6.7</v>
      </c>
      <c r="R955" s="2">
        <f>IF(ISBLANK(Table1[[#This Row],[Age]]),AVERAGE(Table1[Age]),Table1[[#This Row],[Age]])</f>
        <v>28</v>
      </c>
      <c r="S955" t="str">
        <f>PROPER(Table1[[#This Row],[Country]])</f>
        <v>United Kingdom</v>
      </c>
      <c r="T955" t="str">
        <f>TRIM(Table1[[#This Row],[Profession]])</f>
        <v>Software Developer</v>
      </c>
      <c r="U955" s="5">
        <f>IF(ISBLANK(H955),AVERAGEIF(Table1[[#This Row],[Profession imputed]],T955,Table1[Monthly_Income]),H955)</f>
        <v>7183</v>
      </c>
      <c r="V955" s="6" t="str">
        <f>PROPER(TRIM(Table1[AI_Tool]))</f>
        <v>Google Gemini</v>
      </c>
      <c r="W955" s="8">
        <f>IF(ISBLANK(Table1[[#This Row],[Time_Saved_Hours_Per_Week]]),AVERAGEIF(Table1[Satisfaction_Score],Table1[[#This Row],[Satisfaction_Score]],Table1[Time_Saved_Hours_Per_Week]),Table1[[#This Row],[Time_Saved_Hours_Per_Week]])</f>
        <v>2.1</v>
      </c>
    </row>
    <row r="956" spans="1:23" x14ac:dyDescent="0.25">
      <c r="A956" t="s">
        <v>967</v>
      </c>
      <c r="B956">
        <v>32</v>
      </c>
      <c r="C956" t="s">
        <v>29</v>
      </c>
      <c r="D956" t="s">
        <v>117</v>
      </c>
      <c r="E956" t="s">
        <v>24</v>
      </c>
      <c r="F956" t="s">
        <v>31</v>
      </c>
      <c r="G956" t="s">
        <v>964</v>
      </c>
      <c r="H956">
        <v>7277</v>
      </c>
      <c r="I956" t="s">
        <v>271</v>
      </c>
      <c r="J956" s="6" t="s">
        <v>33</v>
      </c>
      <c r="K956" s="15">
        <v>1.5</v>
      </c>
      <c r="L956" s="5">
        <v>10</v>
      </c>
      <c r="M956" s="15">
        <v>5</v>
      </c>
      <c r="N956">
        <v>4</v>
      </c>
      <c r="O956">
        <v>7</v>
      </c>
      <c r="P956">
        <v>1.8</v>
      </c>
      <c r="Q956">
        <v>8.4</v>
      </c>
      <c r="R956" s="2">
        <f>IF(ISBLANK(Table1[[#This Row],[Age]]),AVERAGE(Table1[Age]),Table1[[#This Row],[Age]])</f>
        <v>32</v>
      </c>
      <c r="S956" t="str">
        <f>PROPER(Table1[[#This Row],[Country]])</f>
        <v>United Kingdom</v>
      </c>
      <c r="T956" t="str">
        <f>TRIM(Table1[[#This Row],[Profession]])</f>
        <v>Senior Machine Learning Engineer</v>
      </c>
      <c r="U956" s="5">
        <f>IF(ISBLANK(H956),AVERAGEIF(Table1[[#This Row],[Profession imputed]],T956,Table1[Monthly_Income]),H956)</f>
        <v>7277</v>
      </c>
      <c r="V956" s="6" t="str">
        <f>PROPER(TRIM(Table1[AI_Tool]))</f>
        <v>Chat Gpt</v>
      </c>
      <c r="W956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957" spans="1:23" x14ac:dyDescent="0.25">
      <c r="A957" t="s">
        <v>982</v>
      </c>
      <c r="B957">
        <v>37</v>
      </c>
      <c r="C957" t="s">
        <v>29</v>
      </c>
      <c r="D957" t="s">
        <v>189</v>
      </c>
      <c r="E957" t="s">
        <v>24</v>
      </c>
      <c r="F957" t="s">
        <v>25</v>
      </c>
      <c r="G957" t="s">
        <v>979</v>
      </c>
      <c r="H957">
        <v>7321</v>
      </c>
      <c r="I957" t="s">
        <v>271</v>
      </c>
      <c r="J957" s="6" t="s">
        <v>33</v>
      </c>
      <c r="K957" s="15">
        <v>1.3</v>
      </c>
      <c r="L957" s="5">
        <v>20</v>
      </c>
      <c r="M957" s="15">
        <v>3.1</v>
      </c>
      <c r="N957">
        <v>3</v>
      </c>
      <c r="O957">
        <v>4</v>
      </c>
      <c r="P957">
        <v>4.3</v>
      </c>
      <c r="Q957">
        <v>8.1</v>
      </c>
      <c r="R957" s="2">
        <f>IF(ISBLANK(Table1[[#This Row],[Age]]),AVERAGE(Table1[Age]),Table1[[#This Row],[Age]])</f>
        <v>37</v>
      </c>
      <c r="S957" t="str">
        <f>PROPER(Table1[[#This Row],[Country]])</f>
        <v>Australia</v>
      </c>
      <c r="T957" t="str">
        <f>TRIM(Table1[[#This Row],[Profession]])</f>
        <v>Senior Software Developer</v>
      </c>
      <c r="U957" s="5">
        <f>IF(ISBLANK(H957),AVERAGEIF(Table1[[#This Row],[Profession imputed]],T957,Table1[Monthly_Income]),H957)</f>
        <v>7321</v>
      </c>
      <c r="V957" s="6" t="str">
        <f>PROPER(TRIM(Table1[AI_Tool]))</f>
        <v>Chat Gpt</v>
      </c>
      <c r="W957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58" spans="1:23" x14ac:dyDescent="0.25">
      <c r="A958" t="s">
        <v>991</v>
      </c>
      <c r="B958">
        <v>33</v>
      </c>
      <c r="C958" t="s">
        <v>29</v>
      </c>
      <c r="D958" t="s">
        <v>189</v>
      </c>
      <c r="E958" t="s">
        <v>24</v>
      </c>
      <c r="F958" t="s">
        <v>25</v>
      </c>
      <c r="G958" t="s">
        <v>979</v>
      </c>
      <c r="H958">
        <v>7348</v>
      </c>
      <c r="I958" t="s">
        <v>271</v>
      </c>
      <c r="J958" s="6" t="s">
        <v>33</v>
      </c>
      <c r="K958" s="15">
        <v>1.3</v>
      </c>
      <c r="L958" s="5">
        <v>20</v>
      </c>
      <c r="M958" s="15">
        <v>3.1</v>
      </c>
      <c r="N958">
        <v>3</v>
      </c>
      <c r="O958">
        <v>4</v>
      </c>
      <c r="P958">
        <v>4.3</v>
      </c>
      <c r="Q958">
        <v>8.1</v>
      </c>
      <c r="R958" s="2">
        <f>IF(ISBLANK(Table1[[#This Row],[Age]]),AVERAGE(Table1[Age]),Table1[[#This Row],[Age]])</f>
        <v>33</v>
      </c>
      <c r="S958" t="str">
        <f>PROPER(Table1[[#This Row],[Country]])</f>
        <v>Australia</v>
      </c>
      <c r="T958" t="str">
        <f>TRIM(Table1[[#This Row],[Profession]])</f>
        <v>Senior Software Developer</v>
      </c>
      <c r="U958" s="5">
        <f>IF(ISBLANK(H958),AVERAGEIF(Table1[[#This Row],[Profession imputed]],T958,Table1[Monthly_Income]),H958)</f>
        <v>7348</v>
      </c>
      <c r="V958" s="6" t="str">
        <f>PROPER(TRIM(Table1[AI_Tool]))</f>
        <v>Chat Gpt</v>
      </c>
      <c r="W958" s="8">
        <f>IF(ISBLANK(Table1[[#This Row],[Time_Saved_Hours_Per_Week]]),AVERAGEIF(Table1[Satisfaction_Score],Table1[[#This Row],[Satisfaction_Score]],Table1[Time_Saved_Hours_Per_Week]),Table1[[#This Row],[Time_Saved_Hours_Per_Week]])</f>
        <v>4.3</v>
      </c>
    </row>
    <row r="959" spans="1:23" x14ac:dyDescent="0.25">
      <c r="A959" t="s">
        <v>458</v>
      </c>
      <c r="C959" t="s">
        <v>22</v>
      </c>
      <c r="D959" t="s">
        <v>92</v>
      </c>
      <c r="E959" t="s">
        <v>24</v>
      </c>
      <c r="F959" t="s">
        <v>25</v>
      </c>
      <c r="G959" t="s">
        <v>454</v>
      </c>
      <c r="H959">
        <v>7430</v>
      </c>
      <c r="I959" t="s">
        <v>282</v>
      </c>
      <c r="J959" s="6" t="s">
        <v>27</v>
      </c>
      <c r="K959" s="15">
        <v>9.6999999999999993</v>
      </c>
      <c r="L959" s="5">
        <v>20</v>
      </c>
      <c r="M959" s="15">
        <v>7.7</v>
      </c>
      <c r="N959">
        <v>5</v>
      </c>
      <c r="O959">
        <v>9</v>
      </c>
      <c r="Q959">
        <v>11.6</v>
      </c>
      <c r="R959" s="2">
        <f>IF(ISBLANK(Table1[[#This Row],[Age]]),AVERAGE(Table1[Age]),Table1[[#This Row],[Age]])</f>
        <v>30.023333333333333</v>
      </c>
      <c r="S959" t="str">
        <f>PROPER(Table1[[#This Row],[Country]])</f>
        <v>Canada</v>
      </c>
      <c r="T959" t="str">
        <f>TRIM(Table1[[#This Row],[Profession]])</f>
        <v>Customer Support Specialist</v>
      </c>
      <c r="U959" s="5">
        <f>IF(ISBLANK(H959),AVERAGEIF(Table1[Profession imputed],T959,Table1[Monthly_Income]),H959)</f>
        <v>7430</v>
      </c>
      <c r="V959" s="6" t="str">
        <f>PROPER(TRIM(Table1[AI_Tool]))</f>
        <v>Deepseek</v>
      </c>
      <c r="W959" s="8">
        <f>IF(ISBLANK(Table1[[#This Row],[Time_Saved_Hours_Per_Week]]),AVERAGEIF(Table1[Satisfaction_Score],Table1[[#This Row],[Satisfaction_Score]],Table1[Time_Saved_Hours_Per_Week]),Table1[[#This Row],[Time_Saved_Hours_Per_Week]])</f>
        <v>10.763793103448272</v>
      </c>
    </row>
    <row r="960" spans="1:23" x14ac:dyDescent="0.25">
      <c r="A960" t="s">
        <v>464</v>
      </c>
      <c r="C960" t="s">
        <v>22</v>
      </c>
      <c r="D960" t="s">
        <v>92</v>
      </c>
      <c r="E960" t="s">
        <v>24</v>
      </c>
      <c r="F960" t="s">
        <v>25</v>
      </c>
      <c r="G960" t="s">
        <v>454</v>
      </c>
      <c r="H960">
        <v>7444</v>
      </c>
      <c r="I960" t="s">
        <v>282</v>
      </c>
      <c r="J960" s="6" t="s">
        <v>27</v>
      </c>
      <c r="K960" s="15">
        <v>9.6999999999999993</v>
      </c>
      <c r="L960" s="5">
        <v>20</v>
      </c>
      <c r="M960" s="15">
        <v>7.7</v>
      </c>
      <c r="N960">
        <v>5</v>
      </c>
      <c r="O960">
        <v>9</v>
      </c>
      <c r="Q960">
        <v>11.6</v>
      </c>
      <c r="R960" s="2">
        <f>IF(ISBLANK(Table1[[#This Row],[Age]]),AVERAGE(Table1[Age]),Table1[[#This Row],[Age]])</f>
        <v>30.023333333333333</v>
      </c>
      <c r="S960" t="str">
        <f>PROPER(Table1[[#This Row],[Country]])</f>
        <v>Canada</v>
      </c>
      <c r="T960" t="str">
        <f>TRIM(Table1[[#This Row],[Profession]])</f>
        <v>Customer Support Specialist</v>
      </c>
      <c r="U960" s="5">
        <f>IF(ISBLANK(H960),AVERAGEIF(Table1[Profession imputed],T960,Table1[Monthly_Income]),H960)</f>
        <v>7444</v>
      </c>
      <c r="V960" s="6" t="str">
        <f>PROPER(TRIM(Table1[AI_Tool]))</f>
        <v>Deepseek</v>
      </c>
      <c r="W960" s="8">
        <f>IF(ISBLANK(Table1[[#This Row],[Time_Saved_Hours_Per_Week]]),AVERAGEIF(Table1[Satisfaction_Score],Table1[[#This Row],[Satisfaction_Score]],Table1[Time_Saved_Hours_Per_Week]),Table1[[#This Row],[Time_Saved_Hours_Per_Week]])</f>
        <v>10.763793103448272</v>
      </c>
    </row>
    <row r="961" spans="1:23" x14ac:dyDescent="0.25">
      <c r="A961" t="s">
        <v>1148</v>
      </c>
      <c r="C961" t="s">
        <v>22</v>
      </c>
      <c r="D961" t="s">
        <v>44</v>
      </c>
      <c r="E961" t="s">
        <v>24</v>
      </c>
      <c r="F961" t="s">
        <v>25</v>
      </c>
      <c r="G961" t="s">
        <v>73</v>
      </c>
      <c r="H961">
        <v>7531</v>
      </c>
      <c r="I961" t="s">
        <v>139</v>
      </c>
      <c r="J961" s="6" t="s">
        <v>124</v>
      </c>
      <c r="K961" s="15">
        <v>1.8</v>
      </c>
      <c r="L961" s="5">
        <v>0</v>
      </c>
      <c r="M961" s="15">
        <v>1.8</v>
      </c>
      <c r="N961">
        <v>3</v>
      </c>
      <c r="O961">
        <v>4</v>
      </c>
      <c r="Q961">
        <v>12.2</v>
      </c>
      <c r="R961" s="2">
        <f>IF(ISBLANK(Table1[[#This Row],[Age]]),AVERAGE(Table1[Age]),Table1[[#This Row],[Age]])</f>
        <v>30.023333333333333</v>
      </c>
      <c r="S961" t="str">
        <f>PROPER(Table1[[#This Row],[Country]])</f>
        <v>United States</v>
      </c>
      <c r="T961" t="str">
        <f>TRIM(Table1[[#This Row],[Profession]])</f>
        <v>UNKNOWN</v>
      </c>
      <c r="U961" s="5">
        <f>IF(ISBLANK(H961),AVERAGEIF(Table1[[#This Row],[Profession imputed]],T961,Table1[Monthly_Income]),H961)</f>
        <v>7531</v>
      </c>
      <c r="V961" s="6" t="str">
        <f>PROPER(TRIM(Table1[AI_Tool]))</f>
        <v>Microsoft Copilot</v>
      </c>
      <c r="W961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962" spans="1:23" x14ac:dyDescent="0.25">
      <c r="A962" t="s">
        <v>968</v>
      </c>
      <c r="B962">
        <v>35</v>
      </c>
      <c r="C962" t="s">
        <v>29</v>
      </c>
      <c r="D962" t="s">
        <v>117</v>
      </c>
      <c r="E962" t="s">
        <v>24</v>
      </c>
      <c r="F962" t="s">
        <v>31</v>
      </c>
      <c r="G962" t="s">
        <v>964</v>
      </c>
      <c r="H962">
        <v>7656</v>
      </c>
      <c r="I962" t="s">
        <v>271</v>
      </c>
      <c r="J962" s="6" t="s">
        <v>33</v>
      </c>
      <c r="K962" s="15">
        <v>1.5</v>
      </c>
      <c r="L962" s="5">
        <v>10</v>
      </c>
      <c r="M962" s="15">
        <v>5</v>
      </c>
      <c r="N962">
        <v>4</v>
      </c>
      <c r="O962">
        <v>7</v>
      </c>
      <c r="P962">
        <v>1.8</v>
      </c>
      <c r="Q962">
        <v>8.4</v>
      </c>
      <c r="R962" s="2">
        <f>IF(ISBLANK(Table1[[#This Row],[Age]]),AVERAGE(Table1[Age]),Table1[[#This Row],[Age]])</f>
        <v>35</v>
      </c>
      <c r="S962" t="str">
        <f>PROPER(Table1[[#This Row],[Country]])</f>
        <v>United Kingdom</v>
      </c>
      <c r="T962" t="str">
        <f>TRIM(Table1[[#This Row],[Profession]])</f>
        <v>Senior Machine Learning Engineer</v>
      </c>
      <c r="U962" s="5">
        <f>IF(ISBLANK(H962),AVERAGEIF(Table1[[#This Row],[Profession imputed]],T962,Table1[Monthly_Income]),H962)</f>
        <v>7656</v>
      </c>
      <c r="V962" s="6" t="str">
        <f>PROPER(TRIM(Table1[AI_Tool]))</f>
        <v>Chat Gpt</v>
      </c>
      <c r="W962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963" spans="1:23" x14ac:dyDescent="0.25">
      <c r="A963" t="s">
        <v>463</v>
      </c>
      <c r="C963" t="s">
        <v>22</v>
      </c>
      <c r="D963" t="s">
        <v>92</v>
      </c>
      <c r="E963" t="s">
        <v>24</v>
      </c>
      <c r="F963" t="s">
        <v>25</v>
      </c>
      <c r="G963" t="s">
        <v>454</v>
      </c>
      <c r="H963">
        <v>7658</v>
      </c>
      <c r="I963" t="s">
        <v>282</v>
      </c>
      <c r="J963" s="6" t="s">
        <v>27</v>
      </c>
      <c r="K963" s="15">
        <v>9.6999999999999993</v>
      </c>
      <c r="L963" s="5">
        <v>20</v>
      </c>
      <c r="M963" s="15">
        <v>7.7</v>
      </c>
      <c r="N963">
        <v>5</v>
      </c>
      <c r="O963">
        <v>9</v>
      </c>
      <c r="Q963">
        <v>11.6</v>
      </c>
      <c r="R963" s="2">
        <f>IF(ISBLANK(Table1[[#This Row],[Age]]),AVERAGE(Table1[Age]),Table1[[#This Row],[Age]])</f>
        <v>30.023333333333333</v>
      </c>
      <c r="S963" t="str">
        <f>PROPER(Table1[[#This Row],[Country]])</f>
        <v>Canada</v>
      </c>
      <c r="T963" t="str">
        <f>TRIM(Table1[[#This Row],[Profession]])</f>
        <v>Customer Support Specialist</v>
      </c>
      <c r="U963" s="5">
        <f>IF(ISBLANK(H963),AVERAGEIF(Table1[Profession imputed],T963,Table1[Monthly_Income]),H963)</f>
        <v>7658</v>
      </c>
      <c r="V963" s="6" t="str">
        <f>PROPER(TRIM(Table1[AI_Tool]))</f>
        <v>Deepseek</v>
      </c>
      <c r="W963" s="8">
        <f>IF(ISBLANK(Table1[[#This Row],[Time_Saved_Hours_Per_Week]]),AVERAGEIF(Table1[Satisfaction_Score],Table1[[#This Row],[Satisfaction_Score]],Table1[Time_Saved_Hours_Per_Week]),Table1[[#This Row],[Time_Saved_Hours_Per_Week]])</f>
        <v>10.763793103448272</v>
      </c>
    </row>
    <row r="964" spans="1:23" x14ac:dyDescent="0.25">
      <c r="A964" t="s">
        <v>1005</v>
      </c>
      <c r="B964">
        <v>47</v>
      </c>
      <c r="C964" t="s">
        <v>22</v>
      </c>
      <c r="D964" t="s">
        <v>117</v>
      </c>
      <c r="E964" t="s">
        <v>24</v>
      </c>
      <c r="F964" t="s">
        <v>31</v>
      </c>
      <c r="G964" t="s">
        <v>1006</v>
      </c>
      <c r="H964">
        <v>7690</v>
      </c>
      <c r="I964" t="s">
        <v>58</v>
      </c>
      <c r="J964" s="6" t="s">
        <v>33</v>
      </c>
      <c r="K964" s="15">
        <v>0.5</v>
      </c>
      <c r="L964" s="5">
        <v>0</v>
      </c>
      <c r="M964" s="15">
        <v>2</v>
      </c>
      <c r="N964">
        <v>2</v>
      </c>
      <c r="O964">
        <v>3</v>
      </c>
      <c r="P964">
        <v>2.7</v>
      </c>
      <c r="Q964">
        <v>10.4</v>
      </c>
      <c r="R964" s="2">
        <f>IF(ISBLANK(Table1[[#This Row],[Age]]),AVERAGE(Table1[Age]),Table1[[#This Row],[Age]])</f>
        <v>47</v>
      </c>
      <c r="S964" t="str">
        <f>PROPER(Table1[[#This Row],[Country]])</f>
        <v>United Kingdom</v>
      </c>
      <c r="T964" t="str">
        <f>TRIM(Table1[[#This Row],[Profession]])</f>
        <v>Senior Software Engineer / AI Systems Developer</v>
      </c>
      <c r="U964" s="5">
        <f>IF(ISBLANK(H964),AVERAGEIF(Table1[[#This Row],[Profession imputed]],T964,Table1[Monthly_Income]),H964)</f>
        <v>7690</v>
      </c>
      <c r="V964" s="6" t="str">
        <f>PROPER(TRIM(Table1[AI_Tool]))</f>
        <v>Claude</v>
      </c>
      <c r="W964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965" spans="1:23" x14ac:dyDescent="0.25">
      <c r="A965" t="s">
        <v>1122</v>
      </c>
      <c r="B965">
        <v>65</v>
      </c>
      <c r="C965" t="s">
        <v>29</v>
      </c>
      <c r="D965" t="s">
        <v>189</v>
      </c>
      <c r="E965" t="s">
        <v>24</v>
      </c>
      <c r="F965" t="s">
        <v>25</v>
      </c>
      <c r="G965" t="s">
        <v>1121</v>
      </c>
      <c r="H965">
        <v>7732</v>
      </c>
      <c r="I965" t="s">
        <v>271</v>
      </c>
      <c r="J965" s="6" t="s">
        <v>38</v>
      </c>
      <c r="K965" s="15">
        <v>2.2999999999999998</v>
      </c>
      <c r="L965" s="5">
        <v>0</v>
      </c>
      <c r="M965" s="15">
        <v>4.8</v>
      </c>
      <c r="N965">
        <v>3</v>
      </c>
      <c r="O965">
        <v>5</v>
      </c>
      <c r="P965">
        <v>2</v>
      </c>
      <c r="Q965">
        <v>5.9</v>
      </c>
      <c r="R965" s="2">
        <f>IF(ISBLANK(Table1[[#This Row],[Age]]),AVERAGE(Table1[Age]),Table1[[#This Row],[Age]])</f>
        <v>65</v>
      </c>
      <c r="S965" t="str">
        <f>PROPER(Table1[[#This Row],[Country]])</f>
        <v>Australia</v>
      </c>
      <c r="T965" t="str">
        <f>TRIM(Table1[[#This Row],[Profession]])</f>
        <v>Technical Writer</v>
      </c>
      <c r="U965" s="5">
        <f>IF(ISBLANK(H965),AVERAGEIF(Table1[[#This Row],[Profession imputed]],T965,Table1[Monthly_Income]),H965)</f>
        <v>7732</v>
      </c>
      <c r="V965" s="6" t="str">
        <f>PROPER(TRIM(Table1[AI_Tool]))</f>
        <v>Chat Gpt</v>
      </c>
      <c r="W965" s="8">
        <f>IF(ISBLANK(Table1[[#This Row],[Time_Saved_Hours_Per_Week]]),AVERAGEIF(Table1[Satisfaction_Score],Table1[[#This Row],[Satisfaction_Score]],Table1[Time_Saved_Hours_Per_Week]),Table1[[#This Row],[Time_Saved_Hours_Per_Week]])</f>
        <v>2</v>
      </c>
    </row>
    <row r="966" spans="1:23" x14ac:dyDescent="0.25">
      <c r="A966" t="s">
        <v>1022</v>
      </c>
      <c r="B966">
        <v>32</v>
      </c>
      <c r="C966" t="s">
        <v>22</v>
      </c>
      <c r="D966" t="s">
        <v>44</v>
      </c>
      <c r="E966" t="s">
        <v>24</v>
      </c>
      <c r="F966" t="s">
        <v>25</v>
      </c>
      <c r="G966" t="s">
        <v>1019</v>
      </c>
      <c r="H966">
        <v>7739</v>
      </c>
      <c r="I966" t="s">
        <v>271</v>
      </c>
      <c r="J966" s="6" t="s">
        <v>33</v>
      </c>
      <c r="K966" s="15">
        <v>2.2000000000000002</v>
      </c>
      <c r="L966" s="5">
        <v>0</v>
      </c>
      <c r="M966" s="15">
        <v>5.0999999999999996</v>
      </c>
      <c r="N966">
        <v>3</v>
      </c>
      <c r="O966">
        <v>6</v>
      </c>
      <c r="P966">
        <v>5.6</v>
      </c>
      <c r="Q966">
        <v>5.0999999999999996</v>
      </c>
      <c r="R966" s="2">
        <f>IF(ISBLANK(Table1[[#This Row],[Age]]),AVERAGE(Table1[Age]),Table1[[#This Row],[Age]])</f>
        <v>32</v>
      </c>
      <c r="S966" t="str">
        <f>PROPER(Table1[[#This Row],[Country]])</f>
        <v>United States</v>
      </c>
      <c r="T966" t="str">
        <f>TRIM(Table1[[#This Row],[Profession]])</f>
        <v>Software Developer</v>
      </c>
      <c r="U966" s="5">
        <f>IF(ISBLANK(H966),AVERAGEIF(Table1[[#This Row],[Profession imputed]],T966,Table1[Monthly_Income]),H966)</f>
        <v>7739</v>
      </c>
      <c r="V966" s="6" t="str">
        <f>PROPER(TRIM(Table1[AI_Tool]))</f>
        <v>Chat Gpt</v>
      </c>
      <c r="W966" s="8">
        <f>IF(ISBLANK(Table1[[#This Row],[Time_Saved_Hours_Per_Week]]),AVERAGEIF(Table1[Satisfaction_Score],Table1[[#This Row],[Satisfaction_Score]],Table1[Time_Saved_Hours_Per_Week]),Table1[[#This Row],[Time_Saved_Hours_Per_Week]])</f>
        <v>5.6</v>
      </c>
    </row>
    <row r="967" spans="1:23" x14ac:dyDescent="0.25">
      <c r="A967" t="s">
        <v>1008</v>
      </c>
      <c r="B967">
        <v>48</v>
      </c>
      <c r="C967" t="s">
        <v>22</v>
      </c>
      <c r="D967" t="s">
        <v>117</v>
      </c>
      <c r="E967" t="s">
        <v>24</v>
      </c>
      <c r="F967" t="s">
        <v>31</v>
      </c>
      <c r="G967" t="s">
        <v>1006</v>
      </c>
      <c r="H967">
        <v>8139</v>
      </c>
      <c r="I967" t="s">
        <v>58</v>
      </c>
      <c r="J967" s="6" t="s">
        <v>33</v>
      </c>
      <c r="K967" s="15">
        <v>0.5</v>
      </c>
      <c r="L967" s="5">
        <v>0</v>
      </c>
      <c r="M967" s="15">
        <v>2</v>
      </c>
      <c r="N967">
        <v>2</v>
      </c>
      <c r="O967">
        <v>3</v>
      </c>
      <c r="P967">
        <v>2.7</v>
      </c>
      <c r="Q967">
        <v>10.4</v>
      </c>
      <c r="R967" s="2">
        <f>IF(ISBLANK(Table1[[#This Row],[Age]]),AVERAGE(Table1[Age]),Table1[[#This Row],[Age]])</f>
        <v>48</v>
      </c>
      <c r="S967" t="str">
        <f>PROPER(Table1[[#This Row],[Country]])</f>
        <v>United Kingdom</v>
      </c>
      <c r="T967" t="str">
        <f>TRIM(Table1[[#This Row],[Profession]])</f>
        <v>Senior Software Engineer / AI Systems Developer</v>
      </c>
      <c r="U967" s="5">
        <f>IF(ISBLANK(H967),AVERAGEIF(Table1[[#This Row],[Profession imputed]],T967,Table1[Monthly_Income]),H967)</f>
        <v>8139</v>
      </c>
      <c r="V967" s="6" t="str">
        <f>PROPER(TRIM(Table1[AI_Tool]))</f>
        <v>Claude</v>
      </c>
      <c r="W967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968" spans="1:23" x14ac:dyDescent="0.25">
      <c r="A968" t="s">
        <v>963</v>
      </c>
      <c r="B968">
        <v>33</v>
      </c>
      <c r="C968" t="s">
        <v>29</v>
      </c>
      <c r="D968" t="s">
        <v>117</v>
      </c>
      <c r="E968" t="s">
        <v>24</v>
      </c>
      <c r="F968" t="s">
        <v>31</v>
      </c>
      <c r="G968" t="s">
        <v>964</v>
      </c>
      <c r="H968">
        <v>8205</v>
      </c>
      <c r="I968" t="s">
        <v>271</v>
      </c>
      <c r="J968" s="6" t="s">
        <v>33</v>
      </c>
      <c r="K968" s="15">
        <v>1.5</v>
      </c>
      <c r="L968" s="5">
        <v>10</v>
      </c>
      <c r="M968" s="15">
        <v>5</v>
      </c>
      <c r="N968">
        <v>4</v>
      </c>
      <c r="O968">
        <v>7</v>
      </c>
      <c r="P968">
        <v>1.8</v>
      </c>
      <c r="Q968">
        <v>8.4</v>
      </c>
      <c r="R968" s="2">
        <f>IF(ISBLANK(Table1[[#This Row],[Age]]),AVERAGE(Table1[Age]),Table1[[#This Row],[Age]])</f>
        <v>33</v>
      </c>
      <c r="S968" t="str">
        <f>PROPER(Table1[[#This Row],[Country]])</f>
        <v>United Kingdom</v>
      </c>
      <c r="T968" t="str">
        <f>TRIM(Table1[[#This Row],[Profession]])</f>
        <v>Senior Machine Learning Engineer</v>
      </c>
      <c r="U968" s="5">
        <f>IF(ISBLANK(H968),AVERAGEIF(Table1[[#This Row],[Profession imputed]],T968,Table1[Monthly_Income]),H968)</f>
        <v>8205</v>
      </c>
      <c r="V968" s="6" t="str">
        <f>PROPER(TRIM(Table1[AI_Tool]))</f>
        <v>Chat Gpt</v>
      </c>
      <c r="W968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969" spans="1:23" x14ac:dyDescent="0.25">
      <c r="A969" t="s">
        <v>1145</v>
      </c>
      <c r="C969" t="s">
        <v>22</v>
      </c>
      <c r="D969" t="s">
        <v>44</v>
      </c>
      <c r="E969" t="s">
        <v>24</v>
      </c>
      <c r="F969" t="s">
        <v>25</v>
      </c>
      <c r="G969" t="s">
        <v>73</v>
      </c>
      <c r="H969">
        <v>8255</v>
      </c>
      <c r="I969" t="s">
        <v>139</v>
      </c>
      <c r="J969" s="6" t="s">
        <v>124</v>
      </c>
      <c r="K969" s="15">
        <v>1.8</v>
      </c>
      <c r="L969" s="5">
        <v>0</v>
      </c>
      <c r="M969" s="15">
        <v>1.8</v>
      </c>
      <c r="N969">
        <v>3</v>
      </c>
      <c r="O969">
        <v>4</v>
      </c>
      <c r="Q969">
        <v>12.2</v>
      </c>
      <c r="R969" s="2">
        <f>IF(ISBLANK(Table1[[#This Row],[Age]]),AVERAGE(Table1[Age]),Table1[[#This Row],[Age]])</f>
        <v>30.023333333333333</v>
      </c>
      <c r="S969" t="str">
        <f>PROPER(Table1[[#This Row],[Country]])</f>
        <v>United States</v>
      </c>
      <c r="T969" t="str">
        <f>TRIM(Table1[[#This Row],[Profession]])</f>
        <v>UNKNOWN</v>
      </c>
      <c r="U969" s="5">
        <f>IF(ISBLANK(H969),AVERAGEIF(Table1[[#This Row],[Profession imputed]],T969,Table1[Monthly_Income]),H969)</f>
        <v>8255</v>
      </c>
      <c r="V969" s="6" t="str">
        <f>PROPER(TRIM(Table1[AI_Tool]))</f>
        <v>Microsoft Copilot</v>
      </c>
      <c r="W969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970" spans="1:23" x14ac:dyDescent="0.25">
      <c r="A970" t="s">
        <v>965</v>
      </c>
      <c r="B970">
        <v>35</v>
      </c>
      <c r="C970" t="s">
        <v>29</v>
      </c>
      <c r="D970" t="s">
        <v>117</v>
      </c>
      <c r="E970" t="s">
        <v>24</v>
      </c>
      <c r="F970" t="s">
        <v>31</v>
      </c>
      <c r="G970" t="s">
        <v>964</v>
      </c>
      <c r="H970">
        <v>8556</v>
      </c>
      <c r="I970" t="s">
        <v>271</v>
      </c>
      <c r="J970" s="6" t="s">
        <v>33</v>
      </c>
      <c r="K970" s="15">
        <v>1.5</v>
      </c>
      <c r="L970" s="5">
        <v>10</v>
      </c>
      <c r="M970" s="15">
        <v>5</v>
      </c>
      <c r="N970">
        <v>4</v>
      </c>
      <c r="O970">
        <v>7</v>
      </c>
      <c r="P970">
        <v>1.8</v>
      </c>
      <c r="Q970">
        <v>8.4</v>
      </c>
      <c r="R970" s="2">
        <f>IF(ISBLANK(Table1[[#This Row],[Age]]),AVERAGE(Table1[Age]),Table1[[#This Row],[Age]])</f>
        <v>35</v>
      </c>
      <c r="S970" t="str">
        <f>PROPER(Table1[[#This Row],[Country]])</f>
        <v>United Kingdom</v>
      </c>
      <c r="T970" t="str">
        <f>TRIM(Table1[[#This Row],[Profession]])</f>
        <v>Senior Machine Learning Engineer</v>
      </c>
      <c r="U970" s="5">
        <f>IF(ISBLANK(H970),AVERAGEIF(Table1[[#This Row],[Profession imputed]],T970,Table1[Monthly_Income]),H970)</f>
        <v>8556</v>
      </c>
      <c r="V970" s="6" t="str">
        <f>PROPER(TRIM(Table1[AI_Tool]))</f>
        <v>Chat Gpt</v>
      </c>
      <c r="W970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971" spans="1:23" x14ac:dyDescent="0.25">
      <c r="A971" t="s">
        <v>1007</v>
      </c>
      <c r="B971">
        <v>47</v>
      </c>
      <c r="C971" t="s">
        <v>22</v>
      </c>
      <c r="D971" t="s">
        <v>117</v>
      </c>
      <c r="E971" t="s">
        <v>24</v>
      </c>
      <c r="F971" t="s">
        <v>31</v>
      </c>
      <c r="G971" t="s">
        <v>1006</v>
      </c>
      <c r="H971">
        <v>8663</v>
      </c>
      <c r="I971" t="s">
        <v>58</v>
      </c>
      <c r="J971" s="6" t="s">
        <v>33</v>
      </c>
      <c r="K971" s="15">
        <v>0.5</v>
      </c>
      <c r="L971" s="5">
        <v>0</v>
      </c>
      <c r="M971" s="15">
        <v>2</v>
      </c>
      <c r="N971">
        <v>2</v>
      </c>
      <c r="O971">
        <v>3</v>
      </c>
      <c r="P971">
        <v>2.7</v>
      </c>
      <c r="Q971">
        <v>10.4</v>
      </c>
      <c r="R971" s="2">
        <f>IF(ISBLANK(Table1[[#This Row],[Age]]),AVERAGE(Table1[Age]),Table1[[#This Row],[Age]])</f>
        <v>47</v>
      </c>
      <c r="S971" t="str">
        <f>PROPER(Table1[[#This Row],[Country]])</f>
        <v>United Kingdom</v>
      </c>
      <c r="T971" t="str">
        <f>TRIM(Table1[[#This Row],[Profession]])</f>
        <v>Senior Software Engineer / AI Systems Developer</v>
      </c>
      <c r="U971" s="5">
        <f>IF(ISBLANK(H971),AVERAGEIF(Table1[[#This Row],[Profession imputed]],T971,Table1[Monthly_Income]),H971)</f>
        <v>8663</v>
      </c>
      <c r="V971" s="6" t="str">
        <f>PROPER(TRIM(Table1[AI_Tool]))</f>
        <v>Claude</v>
      </c>
      <c r="W971" s="8">
        <f>IF(ISBLANK(Table1[[#This Row],[Time_Saved_Hours_Per_Week]]),AVERAGEIF(Table1[Satisfaction_Score],Table1[[#This Row],[Satisfaction_Score]],Table1[Time_Saved_Hours_Per_Week]),Table1[[#This Row],[Time_Saved_Hours_Per_Week]])</f>
        <v>2.7</v>
      </c>
    </row>
    <row r="972" spans="1:23" x14ac:dyDescent="0.25">
      <c r="A972" t="s">
        <v>468</v>
      </c>
      <c r="B972">
        <v>31</v>
      </c>
      <c r="C972" t="s">
        <v>29</v>
      </c>
      <c r="D972" t="s">
        <v>44</v>
      </c>
      <c r="E972" t="s">
        <v>24</v>
      </c>
      <c r="F972" t="s">
        <v>25</v>
      </c>
      <c r="G972" t="s">
        <v>454</v>
      </c>
      <c r="H972">
        <v>8682</v>
      </c>
      <c r="I972" t="s">
        <v>271</v>
      </c>
      <c r="J972" s="6" t="s">
        <v>27</v>
      </c>
      <c r="K972" s="15">
        <v>5.7</v>
      </c>
      <c r="L972" s="5">
        <v>0</v>
      </c>
      <c r="M972" s="15">
        <v>9.9</v>
      </c>
      <c r="N972">
        <v>3</v>
      </c>
      <c r="O972">
        <v>9</v>
      </c>
      <c r="P972">
        <v>11.4</v>
      </c>
      <c r="Q972">
        <v>8.4</v>
      </c>
      <c r="R972" s="2">
        <f>IF(ISBLANK(Table1[[#This Row],[Age]]),AVERAGE(Table1[Age]),Table1[[#This Row],[Age]])</f>
        <v>31</v>
      </c>
      <c r="S972" t="str">
        <f>PROPER(Table1[[#This Row],[Country]])</f>
        <v>United States</v>
      </c>
      <c r="T972" t="str">
        <f>TRIM(Table1[[#This Row],[Profession]])</f>
        <v>Customer Support Specialist</v>
      </c>
      <c r="U972" s="5">
        <f>IF(ISBLANK(H972),AVERAGEIF(Table1[Profession imputed],T972,Table1[Monthly_Income]),H972)</f>
        <v>8682</v>
      </c>
      <c r="V972" s="6" t="str">
        <f>PROPER(TRIM(Table1[AI_Tool]))</f>
        <v>Chat Gpt</v>
      </c>
      <c r="W972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973" spans="1:23" x14ac:dyDescent="0.25">
      <c r="A973" t="s">
        <v>453</v>
      </c>
      <c r="B973">
        <v>30</v>
      </c>
      <c r="C973" t="s">
        <v>29</v>
      </c>
      <c r="D973" t="s">
        <v>44</v>
      </c>
      <c r="E973" t="s">
        <v>24</v>
      </c>
      <c r="F973" t="s">
        <v>25</v>
      </c>
      <c r="G973" t="s">
        <v>454</v>
      </c>
      <c r="H973">
        <v>8903</v>
      </c>
      <c r="I973" t="s">
        <v>271</v>
      </c>
      <c r="J973" s="6" t="s">
        <v>27</v>
      </c>
      <c r="K973" s="15">
        <v>5.7</v>
      </c>
      <c r="L973" s="5">
        <v>0</v>
      </c>
      <c r="M973" s="15">
        <v>9.9</v>
      </c>
      <c r="N973">
        <v>3</v>
      </c>
      <c r="O973">
        <v>9</v>
      </c>
      <c r="P973">
        <v>11.4</v>
      </c>
      <c r="Q973">
        <v>8.4</v>
      </c>
      <c r="R973" s="2">
        <f>IF(ISBLANK(Table1[[#This Row],[Age]]),AVERAGE(Table1[Age]),Table1[[#This Row],[Age]])</f>
        <v>30</v>
      </c>
      <c r="S973" t="str">
        <f>PROPER(Table1[[#This Row],[Country]])</f>
        <v>United States</v>
      </c>
      <c r="T973" t="str">
        <f>TRIM(Table1[[#This Row],[Profession]])</f>
        <v>Customer Support Specialist</v>
      </c>
      <c r="U973" s="5">
        <f>IF(ISBLANK(H973),AVERAGEIF(Table1[Profession imputed],T973,Table1[Monthly_Income]),H973)</f>
        <v>8903</v>
      </c>
      <c r="V973" s="6" t="str">
        <f>PROPER(TRIM(Table1[AI_Tool]))</f>
        <v>Chat Gpt</v>
      </c>
      <c r="W973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974" spans="1:23" x14ac:dyDescent="0.25">
      <c r="A974" t="s">
        <v>966</v>
      </c>
      <c r="B974">
        <v>35</v>
      </c>
      <c r="C974" t="s">
        <v>29</v>
      </c>
      <c r="D974" t="s">
        <v>117</v>
      </c>
      <c r="E974" t="s">
        <v>24</v>
      </c>
      <c r="F974" t="s">
        <v>31</v>
      </c>
      <c r="G974" t="s">
        <v>964</v>
      </c>
      <c r="H974">
        <v>8999</v>
      </c>
      <c r="I974" t="s">
        <v>271</v>
      </c>
      <c r="J974" s="6" t="s">
        <v>33</v>
      </c>
      <c r="K974" s="15">
        <v>1.5</v>
      </c>
      <c r="L974" s="5">
        <v>10</v>
      </c>
      <c r="M974" s="15">
        <v>5</v>
      </c>
      <c r="N974">
        <v>4</v>
      </c>
      <c r="O974">
        <v>7</v>
      </c>
      <c r="P974">
        <v>1.8</v>
      </c>
      <c r="Q974">
        <v>8.4</v>
      </c>
      <c r="R974" s="2">
        <f>IF(ISBLANK(Table1[[#This Row],[Age]]),AVERAGE(Table1[Age]),Table1[[#This Row],[Age]])</f>
        <v>35</v>
      </c>
      <c r="S974" t="str">
        <f>PROPER(Table1[[#This Row],[Country]])</f>
        <v>United Kingdom</v>
      </c>
      <c r="T974" t="str">
        <f>TRIM(Table1[[#This Row],[Profession]])</f>
        <v>Senior Machine Learning Engineer</v>
      </c>
      <c r="U974" s="5">
        <f>IF(ISBLANK(H974),AVERAGEIF(Table1[[#This Row],[Profession imputed]],T974,Table1[Monthly_Income]),H974)</f>
        <v>8999</v>
      </c>
      <c r="V974" s="6" t="str">
        <f>PROPER(TRIM(Table1[AI_Tool]))</f>
        <v>Chat Gpt</v>
      </c>
      <c r="W974" s="8">
        <f>IF(ISBLANK(Table1[[#This Row],[Time_Saved_Hours_Per_Week]]),AVERAGEIF(Table1[Satisfaction_Score],Table1[[#This Row],[Satisfaction_Score]],Table1[Time_Saved_Hours_Per_Week]),Table1[[#This Row],[Time_Saved_Hours_Per_Week]])</f>
        <v>1.8</v>
      </c>
    </row>
    <row r="975" spans="1:23" x14ac:dyDescent="0.25">
      <c r="A975" t="s">
        <v>1176</v>
      </c>
      <c r="C975" t="s">
        <v>22</v>
      </c>
      <c r="D975" t="s">
        <v>44</v>
      </c>
      <c r="E975" t="s">
        <v>24</v>
      </c>
      <c r="F975" t="s">
        <v>25</v>
      </c>
      <c r="G975" t="s">
        <v>73</v>
      </c>
      <c r="H975">
        <v>9302</v>
      </c>
      <c r="I975" t="s">
        <v>139</v>
      </c>
      <c r="J975" s="6" t="s">
        <v>33</v>
      </c>
      <c r="K975" s="15">
        <v>1.8</v>
      </c>
      <c r="L975" s="5">
        <v>0</v>
      </c>
      <c r="M975" s="15">
        <v>1.8</v>
      </c>
      <c r="N975">
        <v>3</v>
      </c>
      <c r="O975">
        <v>4</v>
      </c>
      <c r="Q975">
        <v>12.2</v>
      </c>
      <c r="R975" s="2">
        <f>IF(ISBLANK(Table1[[#This Row],[Age]]),AVERAGE(Table1[Age]),Table1[[#This Row],[Age]])</f>
        <v>30.023333333333333</v>
      </c>
      <c r="S975" t="str">
        <f>PROPER(Table1[[#This Row],[Country]])</f>
        <v>United States</v>
      </c>
      <c r="T975" t="str">
        <f>TRIM(Table1[[#This Row],[Profession]])</f>
        <v>UNKNOWN</v>
      </c>
      <c r="U975" s="5">
        <f>IF(ISBLANK(H975),AVERAGEIF(Table1[[#This Row],[Profession imputed]],T975,Table1[Monthly_Income]),H975)</f>
        <v>9302</v>
      </c>
      <c r="V975" s="6" t="str">
        <f>PROPER(TRIM(Table1[AI_Tool]))</f>
        <v>Microsoft Copilot</v>
      </c>
      <c r="W975" s="8">
        <f>IF(ISBLANK(Table1[[#This Row],[Time_Saved_Hours_Per_Week]]),AVERAGEIF(Table1[Satisfaction_Score],Table1[[#This Row],[Satisfaction_Score]],Table1[Time_Saved_Hours_Per_Week]),Table1[[#This Row],[Time_Saved_Hours_Per_Week]])</f>
        <v>3.2436781609195395</v>
      </c>
    </row>
    <row r="976" spans="1:23" x14ac:dyDescent="0.25">
      <c r="A976" t="s">
        <v>85</v>
      </c>
      <c r="B976">
        <v>37</v>
      </c>
      <c r="C976" t="s">
        <v>22</v>
      </c>
      <c r="D976" t="s">
        <v>44</v>
      </c>
      <c r="E976" t="s">
        <v>24</v>
      </c>
      <c r="F976" t="s">
        <v>31</v>
      </c>
      <c r="G976" t="s">
        <v>83</v>
      </c>
      <c r="H976">
        <v>9502</v>
      </c>
      <c r="I976" t="s">
        <v>58</v>
      </c>
      <c r="J976" s="6" t="s">
        <v>75</v>
      </c>
      <c r="K976" s="15">
        <v>1.7</v>
      </c>
      <c r="L976" s="5">
        <v>0</v>
      </c>
      <c r="M976" s="15">
        <v>5.8</v>
      </c>
      <c r="N976">
        <v>4</v>
      </c>
      <c r="O976">
        <v>5</v>
      </c>
      <c r="P976">
        <v>7.1</v>
      </c>
      <c r="Q976">
        <v>7.6</v>
      </c>
      <c r="R976" s="2">
        <f>IF(ISBLANK(Table1[[#This Row],[Age]]),AVERAGE(Table1[Age]),Table1[[#This Row],[Age]])</f>
        <v>37</v>
      </c>
      <c r="S976" t="str">
        <f>PROPER(Table1[[#This Row],[Country]])</f>
        <v>United States</v>
      </c>
      <c r="T976" t="str">
        <f>TRIM(Table1[[#This Row],[Profession]])</f>
        <v>AI Customer Success Manager</v>
      </c>
      <c r="U976" s="5">
        <f>IF(ISBLANK(H976),AVERAGEIF(Table1[[#This Row],[Profession imputed]],T976,Table1[Monthly_Income]),H976)</f>
        <v>9502</v>
      </c>
      <c r="V976" s="6" t="str">
        <f>PROPER(TRIM(Table1[AI_Tool]))</f>
        <v>Claude</v>
      </c>
      <c r="W976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977" spans="1:23" x14ac:dyDescent="0.25">
      <c r="A977" t="s">
        <v>351</v>
      </c>
      <c r="C977" t="s">
        <v>29</v>
      </c>
      <c r="D977" t="s">
        <v>44</v>
      </c>
      <c r="E977" t="s">
        <v>24</v>
      </c>
      <c r="F977" t="s">
        <v>55</v>
      </c>
      <c r="G977" t="s">
        <v>346</v>
      </c>
      <c r="H977">
        <v>9538</v>
      </c>
      <c r="I977" t="s">
        <v>1186</v>
      </c>
      <c r="J977" s="6" t="s">
        <v>38</v>
      </c>
      <c r="K977" s="15">
        <v>2.1</v>
      </c>
      <c r="L977" s="5">
        <v>20</v>
      </c>
      <c r="M977" s="15">
        <v>4.2</v>
      </c>
      <c r="N977">
        <v>3</v>
      </c>
      <c r="O977">
        <v>5</v>
      </c>
      <c r="P977">
        <v>5.4</v>
      </c>
      <c r="Q977">
        <v>10.5</v>
      </c>
      <c r="R977" s="2">
        <f>IF(ISBLANK(Table1[[#This Row],[Age]]),AVERAGE(Table1[Age]),Table1[[#This Row],[Age]])</f>
        <v>30.023333333333333</v>
      </c>
      <c r="S977" t="str">
        <f>PROPER(Table1[[#This Row],[Country]])</f>
        <v>United States</v>
      </c>
      <c r="T977" t="str">
        <f>TRIM(Table1[[#This Row],[Profession]])</f>
        <v>Content Strategist</v>
      </c>
      <c r="U977" s="5">
        <f>IF(ISBLANK(H977),AVERAGEIF(Table1[[#This Row],[Profession imputed]],T977,Table1[Monthly_Income]),H977)</f>
        <v>9538</v>
      </c>
      <c r="V977" s="6" t="str">
        <f>PROPER(TRIM(Table1[AI_Tool]))</f>
        <v>Google Gemini</v>
      </c>
      <c r="W977" s="8">
        <f>IF(ISBLANK(Table1[[#This Row],[Time_Saved_Hours_Per_Week]]),AVERAGEIF(Table1[Satisfaction_Score],Table1[[#This Row],[Satisfaction_Score]],Table1[Time_Saved_Hours_Per_Week]),Table1[[#This Row],[Time_Saved_Hours_Per_Week]])</f>
        <v>5.4</v>
      </c>
    </row>
    <row r="978" spans="1:23" x14ac:dyDescent="0.25">
      <c r="A978" t="s">
        <v>461</v>
      </c>
      <c r="B978">
        <v>29</v>
      </c>
      <c r="C978" t="s">
        <v>29</v>
      </c>
      <c r="D978" t="s">
        <v>44</v>
      </c>
      <c r="E978" t="s">
        <v>24</v>
      </c>
      <c r="F978" t="s">
        <v>25</v>
      </c>
      <c r="G978" t="s">
        <v>454</v>
      </c>
      <c r="H978">
        <v>9700</v>
      </c>
      <c r="I978" t="s">
        <v>271</v>
      </c>
      <c r="J978" s="6" t="s">
        <v>27</v>
      </c>
      <c r="K978" s="15">
        <v>5.7</v>
      </c>
      <c r="L978" s="5">
        <v>0</v>
      </c>
      <c r="M978" s="15">
        <v>9.9</v>
      </c>
      <c r="N978">
        <v>3</v>
      </c>
      <c r="O978">
        <v>9</v>
      </c>
      <c r="P978">
        <v>11.4</v>
      </c>
      <c r="Q978">
        <v>8.4</v>
      </c>
      <c r="R978" s="2">
        <f>IF(ISBLANK(Table1[[#This Row],[Age]]),AVERAGE(Table1[Age]),Table1[[#This Row],[Age]])</f>
        <v>29</v>
      </c>
      <c r="S978" t="str">
        <f>PROPER(Table1[[#This Row],[Country]])</f>
        <v>United States</v>
      </c>
      <c r="T978" t="str">
        <f>TRIM(Table1[[#This Row],[Profession]])</f>
        <v>Customer Support Specialist</v>
      </c>
      <c r="U978" s="5">
        <f>IF(ISBLANK(H978),AVERAGEIF(Table1[Profession imputed],T978,Table1[Monthly_Income]),H978)</f>
        <v>9700</v>
      </c>
      <c r="V978" s="6" t="str">
        <f>PROPER(TRIM(Table1[AI_Tool]))</f>
        <v>Chat Gpt</v>
      </c>
      <c r="W978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979" spans="1:23" x14ac:dyDescent="0.25">
      <c r="A979" t="s">
        <v>470</v>
      </c>
      <c r="B979">
        <v>32</v>
      </c>
      <c r="C979" t="s">
        <v>29</v>
      </c>
      <c r="D979" t="s">
        <v>44</v>
      </c>
      <c r="E979" t="s">
        <v>24</v>
      </c>
      <c r="F979" t="s">
        <v>25</v>
      </c>
      <c r="G979" t="s">
        <v>454</v>
      </c>
      <c r="H979">
        <v>9760</v>
      </c>
      <c r="I979" t="s">
        <v>271</v>
      </c>
      <c r="J979" s="6" t="s">
        <v>27</v>
      </c>
      <c r="K979" s="15">
        <v>5.7</v>
      </c>
      <c r="L979" s="5">
        <v>0</v>
      </c>
      <c r="M979" s="15">
        <v>9.9</v>
      </c>
      <c r="N979">
        <v>3</v>
      </c>
      <c r="O979">
        <v>9</v>
      </c>
      <c r="P979">
        <v>11.4</v>
      </c>
      <c r="Q979">
        <v>8.4</v>
      </c>
      <c r="R979" s="2">
        <f>IF(ISBLANK(Table1[[#This Row],[Age]]),AVERAGE(Table1[Age]),Table1[[#This Row],[Age]])</f>
        <v>32</v>
      </c>
      <c r="S979" t="str">
        <f>PROPER(Table1[[#This Row],[Country]])</f>
        <v>United States</v>
      </c>
      <c r="T979" t="str">
        <f>TRIM(Table1[[#This Row],[Profession]])</f>
        <v>Customer Support Specialist</v>
      </c>
      <c r="U979" s="5">
        <f>IF(ISBLANK(H979),AVERAGEIF(Table1[Profession imputed],T979,Table1[Monthly_Income]),H979)</f>
        <v>9760</v>
      </c>
      <c r="V979" s="6" t="str">
        <f>PROPER(TRIM(Table1[AI_Tool]))</f>
        <v>Chat Gpt</v>
      </c>
      <c r="W979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980" spans="1:23" x14ac:dyDescent="0.25">
      <c r="A980" t="s">
        <v>84</v>
      </c>
      <c r="B980">
        <v>37</v>
      </c>
      <c r="C980" t="s">
        <v>22</v>
      </c>
      <c r="D980" t="s">
        <v>44</v>
      </c>
      <c r="E980" t="s">
        <v>24</v>
      </c>
      <c r="F980" t="s">
        <v>31</v>
      </c>
      <c r="G980" t="s">
        <v>83</v>
      </c>
      <c r="H980">
        <v>9925</v>
      </c>
      <c r="I980" t="s">
        <v>58</v>
      </c>
      <c r="J980" s="6" t="s">
        <v>75</v>
      </c>
      <c r="K980" s="15">
        <v>1.7</v>
      </c>
      <c r="L980" s="5">
        <v>0</v>
      </c>
      <c r="M980" s="15">
        <v>5.8</v>
      </c>
      <c r="N980" s="7">
        <v>4</v>
      </c>
      <c r="O980">
        <v>5</v>
      </c>
      <c r="P980">
        <v>7.1</v>
      </c>
      <c r="Q980">
        <v>7.6</v>
      </c>
      <c r="R980" s="2">
        <f>IF(ISBLANK(Table1[[#This Row],[Age]]),AVERAGE(Table1[Age]),Table1[[#This Row],[Age]])</f>
        <v>37</v>
      </c>
      <c r="S980" t="str">
        <f>PROPER(Table1[[#This Row],[Country]])</f>
        <v>United States</v>
      </c>
      <c r="T980" t="str">
        <f>TRIM(Table1[[#This Row],[Profession]])</f>
        <v>AI Customer Success Manager</v>
      </c>
      <c r="U980" s="5">
        <f>IF(ISBLANK(H980),AVERAGEIF(Table1[[#This Row],[Profession imputed]],T980,Table1[Monthly_Income]),H980)</f>
        <v>9925</v>
      </c>
      <c r="V980" s="6" t="str">
        <f>PROPER(TRIM(Table1[AI_Tool]))</f>
        <v>Claude</v>
      </c>
      <c r="W980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981" spans="1:23" x14ac:dyDescent="0.25">
      <c r="A981" t="s">
        <v>82</v>
      </c>
      <c r="B981">
        <v>36</v>
      </c>
      <c r="C981" t="s">
        <v>22</v>
      </c>
      <c r="D981" t="s">
        <v>44</v>
      </c>
      <c r="E981" t="s">
        <v>24</v>
      </c>
      <c r="F981" t="s">
        <v>31</v>
      </c>
      <c r="G981" t="s">
        <v>83</v>
      </c>
      <c r="H981">
        <v>9938</v>
      </c>
      <c r="I981" t="s">
        <v>58</v>
      </c>
      <c r="J981" s="6" t="s">
        <v>75</v>
      </c>
      <c r="K981" s="15">
        <v>1.7</v>
      </c>
      <c r="L981" s="5">
        <v>0</v>
      </c>
      <c r="M981" s="15">
        <v>5.8</v>
      </c>
      <c r="N981" s="7">
        <v>4</v>
      </c>
      <c r="O981">
        <v>5</v>
      </c>
      <c r="P981">
        <v>7.1</v>
      </c>
      <c r="Q981">
        <v>7.6</v>
      </c>
      <c r="R981" s="2">
        <f>IF(ISBLANK(Table1[[#This Row],[Age]]),AVERAGE(Table1[Age]),Table1[[#This Row],[Age]])</f>
        <v>36</v>
      </c>
      <c r="S981" t="str">
        <f>PROPER(Table1[[#This Row],[Country]])</f>
        <v>United States</v>
      </c>
      <c r="T981" t="str">
        <f>TRIM(Table1[[#This Row],[Profession]])</f>
        <v>AI Customer Success Manager</v>
      </c>
      <c r="U981" s="5">
        <f>IF(ISBLANK(H981),AVERAGEIF(Table1[[#This Row],[Profession imputed]],T981,Table1[Monthly_Income]),H981)</f>
        <v>9938</v>
      </c>
      <c r="V981" s="6" t="str">
        <f>PROPER(TRIM(Table1[AI_Tool]))</f>
        <v>Claude</v>
      </c>
      <c r="W981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982" spans="1:23" x14ac:dyDescent="0.25">
      <c r="A982" t="s">
        <v>467</v>
      </c>
      <c r="B982">
        <v>30</v>
      </c>
      <c r="C982" t="s">
        <v>29</v>
      </c>
      <c r="D982" t="s">
        <v>44</v>
      </c>
      <c r="E982" t="s">
        <v>24</v>
      </c>
      <c r="F982" t="s">
        <v>25</v>
      </c>
      <c r="G982" t="s">
        <v>454</v>
      </c>
      <c r="H982">
        <v>10015</v>
      </c>
      <c r="I982" t="s">
        <v>271</v>
      </c>
      <c r="J982" s="6" t="s">
        <v>27</v>
      </c>
      <c r="K982" s="15">
        <v>5.7</v>
      </c>
      <c r="L982" s="5">
        <v>0</v>
      </c>
      <c r="M982" s="15">
        <v>9.9</v>
      </c>
      <c r="N982">
        <v>3</v>
      </c>
      <c r="O982">
        <v>9</v>
      </c>
      <c r="P982">
        <v>11.4</v>
      </c>
      <c r="Q982">
        <v>8.4</v>
      </c>
      <c r="R982" s="2">
        <f>IF(ISBLANK(Table1[[#This Row],[Age]]),AVERAGE(Table1[Age]),Table1[[#This Row],[Age]])</f>
        <v>30</v>
      </c>
      <c r="S982" t="str">
        <f>PROPER(Table1[[#This Row],[Country]])</f>
        <v>United States</v>
      </c>
      <c r="T982" t="str">
        <f>TRIM(Table1[[#This Row],[Profession]])</f>
        <v>Customer Support Specialist</v>
      </c>
      <c r="U982" s="5">
        <f>IF(ISBLANK(H982),AVERAGEIF(Table1[Profession imputed],T982,Table1[Monthly_Income]),H982)</f>
        <v>10015</v>
      </c>
      <c r="V982" s="6" t="str">
        <f>PROPER(TRIM(Table1[AI_Tool]))</f>
        <v>Chat Gpt</v>
      </c>
      <c r="W982" s="8">
        <f>IF(ISBLANK(Table1[[#This Row],[Time_Saved_Hours_Per_Week]]),AVERAGEIF(Table1[Satisfaction_Score],Table1[[#This Row],[Satisfaction_Score]],Table1[Time_Saved_Hours_Per_Week]),Table1[[#This Row],[Time_Saved_Hours_Per_Week]])</f>
        <v>11.4</v>
      </c>
    </row>
    <row r="983" spans="1:23" x14ac:dyDescent="0.25">
      <c r="A983" t="s">
        <v>345</v>
      </c>
      <c r="C983" t="s">
        <v>29</v>
      </c>
      <c r="D983" t="s">
        <v>44</v>
      </c>
      <c r="E983" t="s">
        <v>24</v>
      </c>
      <c r="F983" t="s">
        <v>55</v>
      </c>
      <c r="G983" t="s">
        <v>346</v>
      </c>
      <c r="H983">
        <v>10311</v>
      </c>
      <c r="I983" t="s">
        <v>1186</v>
      </c>
      <c r="J983" s="6" t="s">
        <v>38</v>
      </c>
      <c r="K983" s="15">
        <v>2.1</v>
      </c>
      <c r="L983" s="5">
        <v>20</v>
      </c>
      <c r="M983" s="15">
        <v>4.2</v>
      </c>
      <c r="N983">
        <v>3</v>
      </c>
      <c r="O983">
        <v>5</v>
      </c>
      <c r="P983">
        <v>5.4</v>
      </c>
      <c r="Q983">
        <v>10.5</v>
      </c>
      <c r="R983" s="2">
        <f>IF(ISBLANK(Table1[[#This Row],[Age]]),AVERAGE(Table1[Age]),Table1[[#This Row],[Age]])</f>
        <v>30.023333333333333</v>
      </c>
      <c r="S983" t="str">
        <f>PROPER(Table1[[#This Row],[Country]])</f>
        <v>United States</v>
      </c>
      <c r="T983" t="str">
        <f>TRIM(Table1[[#This Row],[Profession]])</f>
        <v>Content Strategist</v>
      </c>
      <c r="U983" s="5">
        <f>IF(ISBLANK(H983),AVERAGEIF(Table1[[#This Row],[Profession imputed]],T983,Table1[Monthly_Income]),H983)</f>
        <v>10311</v>
      </c>
      <c r="V983" s="6" t="str">
        <f>PROPER(TRIM(Table1[AI_Tool]))</f>
        <v>Google Gemini</v>
      </c>
      <c r="W983" s="8">
        <f>IF(ISBLANK(Table1[[#This Row],[Time_Saved_Hours_Per_Week]]),AVERAGEIF(Table1[Satisfaction_Score],Table1[[#This Row],[Satisfaction_Score]],Table1[Time_Saved_Hours_Per_Week]),Table1[[#This Row],[Time_Saved_Hours_Per_Week]])</f>
        <v>5.4</v>
      </c>
    </row>
    <row r="984" spans="1:23" x14ac:dyDescent="0.25">
      <c r="A984" t="s">
        <v>350</v>
      </c>
      <c r="C984" t="s">
        <v>29</v>
      </c>
      <c r="D984" t="s">
        <v>44</v>
      </c>
      <c r="E984" t="s">
        <v>24</v>
      </c>
      <c r="F984" t="s">
        <v>55</v>
      </c>
      <c r="G984" t="s">
        <v>346</v>
      </c>
      <c r="H984">
        <v>10375</v>
      </c>
      <c r="I984" t="s">
        <v>1186</v>
      </c>
      <c r="J984" s="6" t="s">
        <v>38</v>
      </c>
      <c r="K984" s="15">
        <v>2.1</v>
      </c>
      <c r="L984" s="5">
        <v>20</v>
      </c>
      <c r="M984" s="15">
        <v>4.2</v>
      </c>
      <c r="N984">
        <v>3</v>
      </c>
      <c r="O984">
        <v>5</v>
      </c>
      <c r="P984">
        <v>5.4</v>
      </c>
      <c r="Q984">
        <v>10.5</v>
      </c>
      <c r="R984" s="2">
        <f>IF(ISBLANK(Table1[[#This Row],[Age]]),AVERAGE(Table1[Age]),Table1[[#This Row],[Age]])</f>
        <v>30.023333333333333</v>
      </c>
      <c r="S984" t="str">
        <f>PROPER(Table1[[#This Row],[Country]])</f>
        <v>United States</v>
      </c>
      <c r="T984" t="str">
        <f>TRIM(Table1[[#This Row],[Profession]])</f>
        <v>Content Strategist</v>
      </c>
      <c r="U984" s="5">
        <f>IF(ISBLANK(H984),AVERAGEIF(Table1[[#This Row],[Profession imputed]],T984,Table1[Monthly_Income]),H984)</f>
        <v>10375</v>
      </c>
      <c r="V984" s="6" t="str">
        <f>PROPER(TRIM(Table1[AI_Tool]))</f>
        <v>Google Gemini</v>
      </c>
      <c r="W984" s="8">
        <f>IF(ISBLANK(Table1[[#This Row],[Time_Saved_Hours_Per_Week]]),AVERAGEIF(Table1[Satisfaction_Score],Table1[[#This Row],[Satisfaction_Score]],Table1[Time_Saved_Hours_Per_Week]),Table1[[#This Row],[Time_Saved_Hours_Per_Week]])</f>
        <v>5.4</v>
      </c>
    </row>
    <row r="985" spans="1:23" x14ac:dyDescent="0.25">
      <c r="A985" t="s">
        <v>87</v>
      </c>
      <c r="B985">
        <v>37</v>
      </c>
      <c r="C985" t="s">
        <v>22</v>
      </c>
      <c r="D985" t="s">
        <v>44</v>
      </c>
      <c r="E985" t="s">
        <v>24</v>
      </c>
      <c r="F985" t="s">
        <v>31</v>
      </c>
      <c r="G985" t="s">
        <v>83</v>
      </c>
      <c r="H985">
        <v>10688</v>
      </c>
      <c r="I985" t="s">
        <v>58</v>
      </c>
      <c r="J985" s="6" t="s">
        <v>75</v>
      </c>
      <c r="K985" s="15">
        <v>1.7</v>
      </c>
      <c r="L985" s="5">
        <v>0</v>
      </c>
      <c r="M985" s="15">
        <v>5.8</v>
      </c>
      <c r="N985">
        <v>4</v>
      </c>
      <c r="O985">
        <v>5</v>
      </c>
      <c r="P985">
        <v>7.1</v>
      </c>
      <c r="Q985">
        <v>7.6</v>
      </c>
      <c r="R985" s="2">
        <f>IF(ISBLANK(Table1[[#This Row],[Age]]),AVERAGE(Table1[Age]),Table1[[#This Row],[Age]])</f>
        <v>37</v>
      </c>
      <c r="S985" t="str">
        <f>PROPER(Table1[[#This Row],[Country]])</f>
        <v>United States</v>
      </c>
      <c r="T985" t="str">
        <f>TRIM(Table1[[#This Row],[Profession]])</f>
        <v>AI Customer Success Manager</v>
      </c>
      <c r="U985" s="5">
        <f>IF(ISBLANK(H985),AVERAGEIF(Table1[[#This Row],[Profession imputed]],T985,Table1[Monthly_Income]),H985)</f>
        <v>10688</v>
      </c>
      <c r="V985" s="6" t="str">
        <f>PROPER(TRIM(Table1[AI_Tool]))</f>
        <v>Claude</v>
      </c>
      <c r="W985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986" spans="1:23" x14ac:dyDescent="0.25">
      <c r="A986" t="s">
        <v>86</v>
      </c>
      <c r="B986">
        <v>37</v>
      </c>
      <c r="C986" t="s">
        <v>22</v>
      </c>
      <c r="D986" t="s">
        <v>44</v>
      </c>
      <c r="E986" t="s">
        <v>24</v>
      </c>
      <c r="F986" t="s">
        <v>31</v>
      </c>
      <c r="G986" t="s">
        <v>83</v>
      </c>
      <c r="H986">
        <v>11268</v>
      </c>
      <c r="I986" t="s">
        <v>58</v>
      </c>
      <c r="J986" s="6" t="s">
        <v>75</v>
      </c>
      <c r="K986" s="15">
        <v>1.7</v>
      </c>
      <c r="L986" s="5">
        <v>0</v>
      </c>
      <c r="M986" s="15">
        <v>5.8</v>
      </c>
      <c r="N986">
        <v>4</v>
      </c>
      <c r="O986">
        <v>5</v>
      </c>
      <c r="P986">
        <v>7.1</v>
      </c>
      <c r="Q986">
        <v>7.6</v>
      </c>
      <c r="R986" s="2">
        <f>IF(ISBLANK(Table1[[#This Row],[Age]]),AVERAGE(Table1[Age]),Table1[[#This Row],[Age]])</f>
        <v>37</v>
      </c>
      <c r="S986" t="str">
        <f>PROPER(Table1[[#This Row],[Country]])</f>
        <v>United States</v>
      </c>
      <c r="T986" t="str">
        <f>TRIM(Table1[[#This Row],[Profession]])</f>
        <v>AI Customer Success Manager</v>
      </c>
      <c r="U986" s="5">
        <f>IF(ISBLANK(H986),AVERAGEIF(Table1[[#This Row],[Profession imputed]],T986,Table1[Monthly_Income]),H986)</f>
        <v>11268</v>
      </c>
      <c r="V986" s="6" t="str">
        <f>PROPER(TRIM(Table1[AI_Tool]))</f>
        <v>Claude</v>
      </c>
      <c r="W986" s="8">
        <f>IF(ISBLANK(Table1[[#This Row],[Time_Saved_Hours_Per_Week]]),AVERAGEIF(Table1[Satisfaction_Score],Table1[[#This Row],[Satisfaction_Score]],Table1[Time_Saved_Hours_Per_Week]),Table1[[#This Row],[Time_Saved_Hours_Per_Week]])</f>
        <v>7.1</v>
      </c>
    </row>
    <row r="987" spans="1:23" x14ac:dyDescent="0.25">
      <c r="A987" t="s">
        <v>655</v>
      </c>
      <c r="B987">
        <v>16</v>
      </c>
      <c r="C987" t="s">
        <v>29</v>
      </c>
      <c r="D987" t="s">
        <v>52</v>
      </c>
      <c r="E987" t="s">
        <v>111</v>
      </c>
      <c r="F987" t="s">
        <v>132</v>
      </c>
      <c r="G987" t="s">
        <v>653</v>
      </c>
      <c r="H987">
        <v>247607</v>
      </c>
      <c r="I987" t="s">
        <v>271</v>
      </c>
      <c r="J987" s="6" t="s">
        <v>130</v>
      </c>
      <c r="K987" s="15">
        <v>1.7</v>
      </c>
      <c r="L987" s="5">
        <v>0</v>
      </c>
      <c r="M987" s="15">
        <v>5.8</v>
      </c>
      <c r="N987">
        <v>4</v>
      </c>
      <c r="O987">
        <v>7</v>
      </c>
      <c r="P987">
        <v>5</v>
      </c>
      <c r="Q987">
        <v>7</v>
      </c>
      <c r="R987" s="2">
        <f>IF(ISBLANK(Table1[[#This Row],[Age]]),AVERAGE(Table1[Age]),Table1[[#This Row],[Age]])</f>
        <v>16</v>
      </c>
      <c r="S987" t="str">
        <f>PROPER(Table1[[#This Row],[Country]])</f>
        <v>India</v>
      </c>
      <c r="T987" t="str">
        <f>TRIM(Table1[[#This Row],[Profession]])</f>
        <v>Electronics and Communication Engineering Student</v>
      </c>
      <c r="U987" s="5">
        <f>IF(ISBLANK(H987),AVERAGEIF(Table1[Profession imputed],T987,Table1[Monthly_Income]),H987)</f>
        <v>247607</v>
      </c>
      <c r="V987" s="6" t="str">
        <f>PROPER(TRIM(Table1[AI_Tool]))</f>
        <v>Chat Gpt</v>
      </c>
      <c r="W987" s="8">
        <f>IF(ISBLANK(Table1[[#This Row],[Time_Saved_Hours_Per_Week]]),AVERAGEIF(Table1[Satisfaction_Score],Table1[[#This Row],[Satisfaction_Score]],Table1[Time_Saved_Hours_Per_Week]),Table1[[#This Row],[Time_Saved_Hours_Per_Week]])</f>
        <v>5</v>
      </c>
    </row>
    <row r="988" spans="1:23" x14ac:dyDescent="0.25">
      <c r="A988" t="s">
        <v>652</v>
      </c>
      <c r="B988">
        <v>17</v>
      </c>
      <c r="C988" t="s">
        <v>29</v>
      </c>
      <c r="D988" t="s">
        <v>52</v>
      </c>
      <c r="E988" t="s">
        <v>111</v>
      </c>
      <c r="F988" t="s">
        <v>132</v>
      </c>
      <c r="G988" t="s">
        <v>653</v>
      </c>
      <c r="H988">
        <v>250000</v>
      </c>
      <c r="I988" t="s">
        <v>271</v>
      </c>
      <c r="J988" s="6" t="s">
        <v>130</v>
      </c>
      <c r="K988" s="15">
        <v>1.7</v>
      </c>
      <c r="L988" s="5">
        <v>0</v>
      </c>
      <c r="M988" s="15">
        <v>5.8</v>
      </c>
      <c r="N988">
        <v>4</v>
      </c>
      <c r="O988">
        <v>7</v>
      </c>
      <c r="P988">
        <v>5</v>
      </c>
      <c r="Q988">
        <v>7</v>
      </c>
      <c r="R988" s="2">
        <f>IF(ISBLANK(Table1[[#This Row],[Age]]),AVERAGE(Table1[Age]),Table1[[#This Row],[Age]])</f>
        <v>17</v>
      </c>
      <c r="S988" t="str">
        <f>PROPER(Table1[[#This Row],[Country]])</f>
        <v>India</v>
      </c>
      <c r="T988" t="str">
        <f>TRIM(Table1[[#This Row],[Profession]])</f>
        <v>Electronics and Communication Engineering Student</v>
      </c>
      <c r="U988" s="5">
        <f>IF(ISBLANK(H988),AVERAGEIF(Table1[Profession imputed],T988,Table1[Monthly_Income]),H988)</f>
        <v>250000</v>
      </c>
      <c r="V988" s="6" t="str">
        <f>PROPER(TRIM(Table1[AI_Tool]))</f>
        <v>Chat Gpt</v>
      </c>
      <c r="W988" s="8">
        <f>IF(ISBLANK(Table1[[#This Row],[Time_Saved_Hours_Per_Week]]),AVERAGEIF(Table1[Satisfaction_Score],Table1[[#This Row],[Satisfaction_Score]],Table1[Time_Saved_Hours_Per_Week]),Table1[[#This Row],[Time_Saved_Hours_Per_Week]])</f>
        <v>5</v>
      </c>
    </row>
    <row r="989" spans="1:23" ht="92.25" customHeight="1" x14ac:dyDescent="0.25">
      <c r="A989" t="s">
        <v>654</v>
      </c>
      <c r="B989">
        <v>17</v>
      </c>
      <c r="C989" t="s">
        <v>29</v>
      </c>
      <c r="D989" t="s">
        <v>52</v>
      </c>
      <c r="E989" t="s">
        <v>111</v>
      </c>
      <c r="F989" t="s">
        <v>132</v>
      </c>
      <c r="G989" t="s">
        <v>653</v>
      </c>
      <c r="H989">
        <v>251756</v>
      </c>
      <c r="I989" t="s">
        <v>271</v>
      </c>
      <c r="J989" s="6" t="s">
        <v>130</v>
      </c>
      <c r="K989" s="15">
        <v>1.7</v>
      </c>
      <c r="L989" s="5">
        <v>0</v>
      </c>
      <c r="M989" s="15">
        <v>5.8</v>
      </c>
      <c r="N989">
        <v>4</v>
      </c>
      <c r="O989">
        <v>7</v>
      </c>
      <c r="P989">
        <v>5</v>
      </c>
      <c r="Q989">
        <v>7</v>
      </c>
      <c r="R989" s="2">
        <f>IF(ISBLANK(Table1[[#This Row],[Age]]),AVERAGE(Table1[Age]),Table1[[#This Row],[Age]])</f>
        <v>17</v>
      </c>
      <c r="S989" t="str">
        <f>PROPER(Table1[[#This Row],[Country]])</f>
        <v>India</v>
      </c>
      <c r="T989" t="str">
        <f>TRIM(Table1[[#This Row],[Profession]])</f>
        <v>Electronics and Communication Engineering Student</v>
      </c>
      <c r="U989" s="5">
        <f>IF(ISBLANK(H989),AVERAGEIF(Table1[Profession imputed],T989,Table1[Monthly_Income]),H989)</f>
        <v>251756</v>
      </c>
      <c r="V989" s="6" t="str">
        <f>PROPER(TRIM(Table1[AI_Tool]))</f>
        <v>Chat Gpt</v>
      </c>
      <c r="W989" s="8">
        <f>IF(ISBLANK(Table1[[#This Row],[Time_Saved_Hours_Per_Week]]),AVERAGEIF(Table1[Satisfaction_Score],Table1[[#This Row],[Satisfaction_Score]],Table1[Time_Saved_Hours_Per_Week]),Table1[[#This Row],[Time_Saved_Hours_Per_Week]])</f>
        <v>5</v>
      </c>
    </row>
  </sheetData>
  <conditionalFormatting sqref="A1:A1048576">
    <cfRule type="duplicateValues" dxfId="19" priority="6"/>
  </conditionalFormatting>
  <conditionalFormatting sqref="I1:I1048576">
    <cfRule type="top10" priority="5" rank="3"/>
    <cfRule type="top10" dxfId="18" priority="4" rank="3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{D7941B0B-A963-465B-A697-C4975821FE65}</x14:id>
        </ext>
      </extLst>
    </cfRule>
  </conditionalFormatting>
  <conditionalFormatting sqref="A1:XFD1048576">
    <cfRule type="top10" dxfId="17" priority="3" rank="3"/>
  </conditionalFormatting>
  <conditionalFormatting sqref="U1:U1048576">
    <cfRule type="top10" dxfId="13" priority="1" rank="5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941B0B-A963-465B-A697-C4975821F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"/>
  <sheetViews>
    <sheetView topLeftCell="A23" workbookViewId="0">
      <selection activeCell="B45" sqref="B45"/>
    </sheetView>
  </sheetViews>
  <sheetFormatPr defaultRowHeight="15" x14ac:dyDescent="0.25"/>
  <cols>
    <col min="1" max="1" width="16.5703125" customWidth="1"/>
    <col min="2" max="2" width="16.42578125" customWidth="1"/>
    <col min="3" max="3" width="23" customWidth="1"/>
    <col min="4" max="4" width="16.42578125" customWidth="1"/>
    <col min="5" max="5" width="24.140625" customWidth="1"/>
    <col min="6" max="11" width="2" customWidth="1"/>
    <col min="12" max="12" width="3" customWidth="1"/>
    <col min="13" max="13" width="11.28515625" customWidth="1"/>
    <col min="14" max="19" width="4" customWidth="1"/>
    <col min="20" max="20" width="2" customWidth="1"/>
    <col min="21" max="28" width="4" customWidth="1"/>
    <col min="29" max="29" width="2" customWidth="1"/>
    <col min="30" max="36" width="4" customWidth="1"/>
    <col min="37" max="37" width="2" customWidth="1"/>
    <col min="38" max="50" width="4" customWidth="1"/>
    <col min="51" max="51" width="2" customWidth="1"/>
    <col min="52" max="65" width="4" customWidth="1"/>
    <col min="66" max="66" width="2" customWidth="1"/>
    <col min="67" max="68" width="4" customWidth="1"/>
    <col min="69" max="69" width="2" customWidth="1"/>
    <col min="70" max="74" width="4" customWidth="1"/>
    <col min="75" max="93" width="5" customWidth="1"/>
    <col min="94" max="94" width="7.28515625" customWidth="1"/>
    <col min="95" max="95" width="11.28515625" customWidth="1"/>
    <col min="96" max="96" width="23.85546875" bestFit="1" customWidth="1"/>
    <col min="97" max="97" width="45.28515625" bestFit="1" customWidth="1"/>
    <col min="98" max="98" width="45.5703125" bestFit="1" customWidth="1"/>
    <col min="99" max="99" width="39" bestFit="1" customWidth="1"/>
    <col min="100" max="100" width="27.42578125" bestFit="1" customWidth="1"/>
    <col min="101" max="101" width="44.140625" bestFit="1" customWidth="1"/>
    <col min="102" max="102" width="19" bestFit="1" customWidth="1"/>
    <col min="103" max="103" width="37.5703125" bestFit="1" customWidth="1"/>
    <col min="104" max="104" width="26.42578125" bestFit="1" customWidth="1"/>
    <col min="105" max="105" width="29.7109375" bestFit="1" customWidth="1"/>
    <col min="106" max="106" width="28" bestFit="1" customWidth="1"/>
    <col min="107" max="107" width="15.28515625" bestFit="1" customWidth="1"/>
    <col min="108" max="108" width="26.85546875" bestFit="1" customWidth="1"/>
    <col min="109" max="109" width="39" bestFit="1" customWidth="1"/>
    <col min="110" max="110" width="40.7109375" bestFit="1" customWidth="1"/>
    <col min="111" max="111" width="16.42578125" bestFit="1" customWidth="1"/>
    <col min="112" max="112" width="18.28515625" bestFit="1" customWidth="1"/>
    <col min="113" max="113" width="12" bestFit="1" customWidth="1"/>
    <col min="114" max="114" width="15.7109375" bestFit="1" customWidth="1"/>
    <col min="115" max="115" width="25.85546875" bestFit="1" customWidth="1"/>
    <col min="116" max="116" width="11.28515625" bestFit="1" customWidth="1"/>
    <col min="117" max="117" width="12" bestFit="1" customWidth="1"/>
  </cols>
  <sheetData>
    <row r="3" spans="1:2" x14ac:dyDescent="0.25">
      <c r="A3" s="10"/>
    </row>
    <row r="4" spans="1:2" x14ac:dyDescent="0.25">
      <c r="A4" s="14"/>
    </row>
    <row r="5" spans="1:2" x14ac:dyDescent="0.25">
      <c r="A5" s="14"/>
    </row>
    <row r="6" spans="1:2" x14ac:dyDescent="0.25">
      <c r="A6" s="14"/>
    </row>
    <row r="7" spans="1:2" x14ac:dyDescent="0.25">
      <c r="A7" s="14"/>
    </row>
    <row r="8" spans="1:2" x14ac:dyDescent="0.25">
      <c r="A8" s="14"/>
    </row>
    <row r="9" spans="1:2" x14ac:dyDescent="0.25">
      <c r="A9" s="14"/>
    </row>
    <row r="10" spans="1:2" x14ac:dyDescent="0.25">
      <c r="A10" s="14"/>
    </row>
    <row r="11" spans="1:2" x14ac:dyDescent="0.25">
      <c r="A11" s="14"/>
    </row>
    <row r="12" spans="1:2" x14ac:dyDescent="0.25">
      <c r="A12" s="14"/>
      <c r="B12" s="13"/>
    </row>
    <row r="13" spans="1:2" x14ac:dyDescent="0.25">
      <c r="A13" s="14"/>
      <c r="B13" s="13"/>
    </row>
    <row r="14" spans="1:2" x14ac:dyDescent="0.25">
      <c r="A14" s="14"/>
      <c r="B14" s="13"/>
    </row>
    <row r="15" spans="1:2" x14ac:dyDescent="0.25">
      <c r="A15" s="14"/>
      <c r="B15" s="13"/>
    </row>
    <row r="16" spans="1:2" x14ac:dyDescent="0.25">
      <c r="B16" s="13"/>
    </row>
    <row r="17" spans="2:5" x14ac:dyDescent="0.25">
      <c r="B17" s="13"/>
    </row>
    <row r="18" spans="2:5" x14ac:dyDescent="0.25">
      <c r="B18" s="13"/>
    </row>
    <row r="19" spans="2:5" x14ac:dyDescent="0.25">
      <c r="B19" s="13"/>
    </row>
    <row r="20" spans="2:5" x14ac:dyDescent="0.25">
      <c r="B20" s="13"/>
    </row>
    <row r="21" spans="2:5" x14ac:dyDescent="0.25">
      <c r="B21" s="13"/>
    </row>
    <row r="22" spans="2:5" x14ac:dyDescent="0.25">
      <c r="B22" s="13"/>
    </row>
    <row r="23" spans="2:5" x14ac:dyDescent="0.25">
      <c r="B23" s="13"/>
    </row>
    <row r="24" spans="2:5" x14ac:dyDescent="0.25">
      <c r="B24" s="13"/>
    </row>
    <row r="25" spans="2:5" x14ac:dyDescent="0.25">
      <c r="D25" s="9" t="s">
        <v>1187</v>
      </c>
      <c r="E25" t="s">
        <v>1188</v>
      </c>
    </row>
    <row r="26" spans="2:5" x14ac:dyDescent="0.25">
      <c r="D26" s="13" t="s">
        <v>1181</v>
      </c>
      <c r="E26" s="6">
        <v>10</v>
      </c>
    </row>
    <row r="27" spans="2:5" x14ac:dyDescent="0.25">
      <c r="D27" s="13" t="s">
        <v>58</v>
      </c>
      <c r="E27" s="6">
        <v>9</v>
      </c>
    </row>
    <row r="28" spans="2:5" x14ac:dyDescent="0.25">
      <c r="D28" s="13" t="s">
        <v>1182</v>
      </c>
      <c r="E28" s="6">
        <v>9</v>
      </c>
    </row>
    <row r="29" spans="2:5" x14ac:dyDescent="0.25">
      <c r="D29" s="13" t="s">
        <v>53</v>
      </c>
      <c r="E29" s="6">
        <v>8</v>
      </c>
    </row>
    <row r="30" spans="2:5" x14ac:dyDescent="0.25">
      <c r="D30" s="13" t="s">
        <v>37</v>
      </c>
      <c r="E30" s="6">
        <v>9</v>
      </c>
    </row>
    <row r="31" spans="2:5" x14ac:dyDescent="0.25">
      <c r="D31" s="13" t="s">
        <v>1183</v>
      </c>
      <c r="E31" s="6">
        <v>8</v>
      </c>
    </row>
    <row r="32" spans="2:5" x14ac:dyDescent="0.25">
      <c r="D32" s="13" t="s">
        <v>139</v>
      </c>
      <c r="E32" s="6">
        <v>9</v>
      </c>
    </row>
    <row r="33" spans="4:5" x14ac:dyDescent="0.25">
      <c r="D33" s="13" t="s">
        <v>1184</v>
      </c>
      <c r="E33" s="6">
        <v>9</v>
      </c>
    </row>
    <row r="34" spans="4:5" x14ac:dyDescent="0.25">
      <c r="D34" s="13" t="s">
        <v>280</v>
      </c>
      <c r="E34" s="6">
        <v>10</v>
      </c>
    </row>
    <row r="35" spans="4:5" x14ac:dyDescent="0.25">
      <c r="D35" s="13" t="s">
        <v>1180</v>
      </c>
      <c r="E35" s="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B21" sqref="B21"/>
    </sheetView>
  </sheetViews>
  <sheetFormatPr defaultRowHeight="15" x14ac:dyDescent="0.25"/>
  <cols>
    <col min="1" max="1" width="12.7109375" customWidth="1"/>
    <col min="2" max="2" width="26.140625" customWidth="1"/>
    <col min="5" max="5" width="16.42578125" customWidth="1"/>
    <col min="6" max="6" width="29.140625" customWidth="1"/>
    <col min="7" max="7" width="16.140625" customWidth="1"/>
    <col min="8" max="8" width="16.42578125" customWidth="1"/>
    <col min="9" max="9" width="24.140625" customWidth="1"/>
    <col min="10" max="10" width="17.85546875" customWidth="1"/>
    <col min="11" max="11" width="6.28515625" customWidth="1"/>
    <col min="12" max="12" width="10" customWidth="1"/>
    <col min="13" max="13" width="14.5703125" bestFit="1" customWidth="1"/>
    <col min="14" max="14" width="10.85546875" customWidth="1"/>
    <col min="15" max="15" width="8" customWidth="1"/>
    <col min="16" max="16" width="16.5703125" bestFit="1" customWidth="1"/>
    <col min="17" max="17" width="12.42578125" bestFit="1" customWidth="1"/>
    <col min="18" max="18" width="9.5703125" bestFit="1" customWidth="1"/>
    <col min="19" max="19" width="11.28515625" bestFit="1" customWidth="1"/>
  </cols>
  <sheetData>
    <row r="1" spans="1:11" x14ac:dyDescent="0.25">
      <c r="A1" s="10"/>
    </row>
    <row r="2" spans="1:11" x14ac:dyDescent="0.25">
      <c r="A2" s="10" t="s">
        <v>1179</v>
      </c>
      <c r="E2" s="9" t="s">
        <v>1187</v>
      </c>
      <c r="F2" t="s">
        <v>1189</v>
      </c>
    </row>
    <row r="3" spans="1:11" x14ac:dyDescent="0.25">
      <c r="A3" s="11">
        <v>988</v>
      </c>
      <c r="E3" s="13" t="s">
        <v>1181</v>
      </c>
      <c r="F3" s="8">
        <v>5.5863636363636369</v>
      </c>
      <c r="J3" s="9" t="s">
        <v>12</v>
      </c>
      <c r="K3" s="13">
        <v>1.9</v>
      </c>
    </row>
    <row r="4" spans="1:11" x14ac:dyDescent="0.25">
      <c r="E4" s="13" t="s">
        <v>58</v>
      </c>
      <c r="F4" s="8">
        <v>6.2329545454545476</v>
      </c>
    </row>
    <row r="5" spans="1:11" x14ac:dyDescent="0.25">
      <c r="E5" s="13" t="s">
        <v>1182</v>
      </c>
      <c r="F5" s="8">
        <v>9.0962962962962948</v>
      </c>
      <c r="J5" s="9" t="s">
        <v>1187</v>
      </c>
    </row>
    <row r="6" spans="1:11" x14ac:dyDescent="0.25">
      <c r="E6" s="13" t="s">
        <v>53</v>
      </c>
      <c r="F6" s="8">
        <v>5.3444444444444503</v>
      </c>
      <c r="J6" s="13" t="s">
        <v>1181</v>
      </c>
    </row>
    <row r="7" spans="1:11" x14ac:dyDescent="0.25">
      <c r="E7" s="13" t="s">
        <v>37</v>
      </c>
      <c r="F7" s="8">
        <v>4.8632653061224485</v>
      </c>
      <c r="J7" s="13" t="s">
        <v>53</v>
      </c>
    </row>
    <row r="8" spans="1:11" x14ac:dyDescent="0.25">
      <c r="E8" s="13" t="s">
        <v>1183</v>
      </c>
      <c r="F8" s="8">
        <v>5.0281250000000002</v>
      </c>
      <c r="J8" s="13" t="s">
        <v>1184</v>
      </c>
    </row>
    <row r="9" spans="1:11" x14ac:dyDescent="0.25">
      <c r="E9" s="13" t="s">
        <v>139</v>
      </c>
      <c r="F9" s="8">
        <v>6.8900990099009913</v>
      </c>
      <c r="J9" s="13" t="s">
        <v>1180</v>
      </c>
    </row>
    <row r="10" spans="1:11" x14ac:dyDescent="0.25">
      <c r="A10" s="10"/>
      <c r="E10" s="13" t="s">
        <v>1184</v>
      </c>
      <c r="F10" s="8">
        <v>5.7506172839506178</v>
      </c>
    </row>
    <row r="11" spans="1:11" x14ac:dyDescent="0.25">
      <c r="A11" s="12" t="s">
        <v>6</v>
      </c>
      <c r="B11" s="10" t="s">
        <v>1190</v>
      </c>
      <c r="E11" s="13" t="s">
        <v>1180</v>
      </c>
      <c r="F11" s="8">
        <v>5.8181518151815066</v>
      </c>
    </row>
    <row r="12" spans="1:11" x14ac:dyDescent="0.25">
      <c r="A12" s="14" t="s">
        <v>24</v>
      </c>
      <c r="B12" s="11">
        <v>2891.7251359813245</v>
      </c>
    </row>
    <row r="13" spans="1:11" x14ac:dyDescent="0.25">
      <c r="A13" s="14" t="s">
        <v>111</v>
      </c>
      <c r="B13" s="11">
        <v>1662.9641363546016</v>
      </c>
    </row>
    <row r="14" spans="1:11" x14ac:dyDescent="0.25">
      <c r="A14" s="14" t="s">
        <v>1180</v>
      </c>
      <c r="B14" s="11">
        <v>2249.9835612774891</v>
      </c>
      <c r="E14" s="9" t="s">
        <v>1192</v>
      </c>
      <c r="F14" t="s">
        <v>1191</v>
      </c>
      <c r="H14" s="9" t="s">
        <v>1187</v>
      </c>
      <c r="I14" t="s">
        <v>1188</v>
      </c>
    </row>
    <row r="15" spans="1:11" x14ac:dyDescent="0.25">
      <c r="E15" s="13" t="s">
        <v>33</v>
      </c>
      <c r="F15" s="6">
        <v>216</v>
      </c>
      <c r="H15" s="13" t="s">
        <v>1181</v>
      </c>
      <c r="I15" s="6">
        <v>10</v>
      </c>
    </row>
    <row r="16" spans="1:11" x14ac:dyDescent="0.25">
      <c r="E16" s="13" t="s">
        <v>75</v>
      </c>
      <c r="F16" s="6">
        <v>99</v>
      </c>
      <c r="H16" s="13" t="s">
        <v>58</v>
      </c>
      <c r="I16" s="6">
        <v>9</v>
      </c>
    </row>
    <row r="17" spans="5:9" x14ac:dyDescent="0.25">
      <c r="E17" s="13" t="s">
        <v>27</v>
      </c>
      <c r="F17" s="6">
        <v>87</v>
      </c>
      <c r="H17" s="13" t="s">
        <v>1182</v>
      </c>
      <c r="I17" s="6">
        <v>9</v>
      </c>
    </row>
    <row r="18" spans="5:9" x14ac:dyDescent="0.25">
      <c r="E18" s="13" t="s">
        <v>106</v>
      </c>
      <c r="F18" s="6">
        <v>86</v>
      </c>
      <c r="H18" s="13" t="s">
        <v>53</v>
      </c>
      <c r="I18" s="6">
        <v>8</v>
      </c>
    </row>
    <row r="19" spans="5:9" x14ac:dyDescent="0.25">
      <c r="E19" s="13" t="s">
        <v>47</v>
      </c>
      <c r="F19" s="6">
        <v>32</v>
      </c>
      <c r="H19" s="13" t="s">
        <v>37</v>
      </c>
      <c r="I19" s="6">
        <v>9</v>
      </c>
    </row>
    <row r="20" spans="5:9" x14ac:dyDescent="0.25">
      <c r="E20" s="13" t="s">
        <v>130</v>
      </c>
      <c r="F20" s="6">
        <v>125</v>
      </c>
      <c r="H20" s="13" t="s">
        <v>1183</v>
      </c>
      <c r="I20" s="6">
        <v>8</v>
      </c>
    </row>
    <row r="21" spans="5:9" x14ac:dyDescent="0.25">
      <c r="E21" s="13" t="s">
        <v>124</v>
      </c>
      <c r="F21" s="6">
        <v>170</v>
      </c>
      <c r="H21" s="13" t="s">
        <v>139</v>
      </c>
      <c r="I21" s="6">
        <v>9</v>
      </c>
    </row>
    <row r="22" spans="5:9" x14ac:dyDescent="0.25">
      <c r="E22" s="13" t="s">
        <v>38</v>
      </c>
      <c r="F22" s="6">
        <v>172</v>
      </c>
      <c r="H22" s="13" t="s">
        <v>1184</v>
      </c>
      <c r="I22" s="6">
        <v>9</v>
      </c>
    </row>
    <row r="23" spans="5:9" x14ac:dyDescent="0.25">
      <c r="E23" s="13" t="s">
        <v>1180</v>
      </c>
      <c r="F23" s="6">
        <v>987</v>
      </c>
      <c r="H23" s="13" t="s">
        <v>1180</v>
      </c>
      <c r="I23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Sheet2</vt:lpstr>
      <vt:lpstr>pivot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/>
  <dcterms:created xsi:type="dcterms:W3CDTF">2026-09-29T09:28:09Z</dcterms:created>
  <dcterms:modified xsi:type="dcterms:W3CDTF">2026-09-30T15:21:29Z</dcterms:modified>
</cp:coreProperties>
</file>